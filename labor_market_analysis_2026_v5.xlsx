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NCLUSIONS" sheetId="1" state="visible" r:id="rId3"/>
    <sheet name="1_Tax_Assumptions" sheetId="2" state="visible" r:id="rId4"/>
    <sheet name="2_Market_Gross_USD" sheetId="3" state="visible" r:id="rId5"/>
    <sheet name="3_Calc_From_Gross" sheetId="4" state="visible" r:id="rId6"/>
    <sheet name="4_Calc_From_Net" sheetId="5" state="visible" r:id="rId7"/>
    <sheet name="EOR_Analysis" sheetId="6" state="visible" r:id="rId8"/>
    <sheet name="Sources_Research" sheetId="7" state="visible" r:id="rId9"/>
    <sheet name="S1_Gross_FTE" sheetId="8" state="visible" r:id="rId10"/>
    <sheet name="S2_Net_FTE" sheetId="9" state="visible" r:id="rId11"/>
    <sheet name="S3_TotalCost_FTE" sheetId="10" state="visible" r:id="rId12"/>
    <sheet name="S4_TotalCost_B2B" sheetId="11" state="visible" r:id="rId13"/>
    <sheet name="S5_TotalCost_EOR" sheetId="12" state="visible" r:id="rId14"/>
    <sheet name="S6_Overhead_FTE" sheetId="13" state="visible" r:id="rId15"/>
    <sheet name="S7_Middle_FTE" sheetId="14" state="visible" r:id="rId16"/>
    <sheet name="S8_Senior_FTE" sheetId="15" state="visible" r:id="rId17"/>
    <sheet name="S9_KeyPos_FTE" sheetId="16" state="visible" r:id="rId18"/>
    <sheet name="S10_Net_B2B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<sst xmlns="http://schemas.openxmlformats.org/spreadsheetml/2006/main" count="3291" uniqueCount="990">
  <si>
    <t xml:space="preserve">STRATEGIC BUSINESS CONCLUSIONS  --  Labor Market Analysis 2025/2026</t>
  </si>
  <si>
    <t xml:space="preserve">1. COUNTRY RANKING  --  Avg Total Cost to Company (FTE, Middle grade)</t>
  </si>
  <si>
    <t xml:space="preserve">Metric</t>
  </si>
  <si>
    <t xml:space="preserve">Value / Country</t>
  </si>
  <si>
    <t xml:space="preserve">Detail / Note</t>
  </si>
  <si>
    <t xml:space="preserve">Cheapest (1st)</t>
  </si>
  <si>
    <t xml:space="preserve">Romania  ~,450/mo</t>
  </si>
  <si>
    <t xml:space="preserve">Employer overhead only 2.25% -- near-zero; 0% income tax for IT; closest to UA cost</t>
  </si>
  <si>
    <t xml:space="preserve">2nd</t>
  </si>
  <si>
    <t xml:space="preserve">Czech Republic  ~,680/mo</t>
  </si>
  <si>
    <t xml:space="preserve">Overhead 33.8% is highest in list -- low gross compensates; watch senior salaries</t>
  </si>
  <si>
    <t xml:space="preserve">3rd</t>
  </si>
  <si>
    <t xml:space="preserve">Poland  ~,300/mo</t>
  </si>
  <si>
    <t xml:space="preserve">Largest CEE talent pool 770k+; 20.4% employer ZUS; strong B2B market</t>
  </si>
  <si>
    <t xml:space="preserve">4th</t>
  </si>
  <si>
    <t xml:space="preserve">Portugal  ~,600/mo</t>
  </si>
  <si>
    <t xml:space="preserve">TSU 23.75%; NHR tax regime for foreign hires (20% flat rate); growing tech hub</t>
  </si>
  <si>
    <t xml:space="preserve">5th</t>
  </si>
  <si>
    <t xml:space="preserve">UK  ~,600/mo</t>
  </si>
  <si>
    <t xml:space="preserve">Employer NIC 15% (raised from 13.8% in Apr 2025); high gross market</t>
  </si>
  <si>
    <t xml:space="preserve">6th</t>
  </si>
  <si>
    <t xml:space="preserve">Germany  ~,400/mo</t>
  </si>
  <si>
    <t xml:space="preserve">Employer ~21%; strong IP protection; complex compliance; best for enterprise clients</t>
  </si>
  <si>
    <t xml:space="preserve">7th</t>
  </si>
  <si>
    <t xml:space="preserve">Netherlands  ~,700/mo</t>
  </si>
  <si>
    <t xml:space="preserve">Employer ~20% but Box1 tax 36.97% = high employee burden; premium market</t>
  </si>
  <si>
    <t xml:space="preserve">Most expensive</t>
  </si>
  <si>
    <t xml:space="preserve">USA  ~1,200/mo</t>
  </si>
  <si>
    <t xml:space="preserve">Employer ~11% but 8.5x UA gross; requires local legal entity per state</t>
  </si>
  <si>
    <t xml:space="preserve">2. VERIFIED EMPLOYER OVERHEAD -- % on top of gross salary (2025/2026)</t>
  </si>
  <si>
    <t xml:space="preserve">UA FOP</t>
  </si>
  <si>
    <t xml:space="preserve">~3-5%  (fixed 5-40/mo)</t>
  </si>
  <si>
    <t xml:space="preserve">ESV fixed amount -- NOT % based. This is UA key competitive advantage vs all other countries</t>
  </si>
  <si>
    <t xml:space="preserve">UA Staff (UoP)</t>
  </si>
  <si>
    <t xml:space="preserve">~30/mo fixed</t>
  </si>
  <si>
    <t xml:space="preserve">ESV 22% of min wage (~90) = ~30; employee pays income tax 18% + military levy 1.5%</t>
  </si>
  <si>
    <t xml:space="preserve">Romania FTE</t>
  </si>
  <si>
    <t xml:space="preserve">2.25%</t>
  </si>
  <si>
    <t xml:space="preserve">Lowest % in entire EU; post-2023 reform shifted burden to employee side</t>
  </si>
  <si>
    <t xml:space="preserve">UK FTE</t>
  </si>
  <si>
    <t xml:space="preserve">15.0%</t>
  </si>
  <si>
    <t xml:space="preserve">INCREASED from 13.8% to 15% effective April 2025 -- budget update, recalculate budgets</t>
  </si>
  <si>
    <t xml:space="preserve">USA FTE</t>
  </si>
  <si>
    <t xml:space="preserve">~11%</t>
  </si>
  <si>
    <t xml:space="preserve">FICA 7.65% + FUTA + state SUI; low % but massive absolute amounts at US salary levels</t>
  </si>
  <si>
    <t xml:space="preserve">Germany FTE</t>
  </si>
  <si>
    <t xml:space="preserve">~21%</t>
  </si>
  <si>
    <t xml:space="preserve">Pension 9.3% + unemployment 1.3% + health 8.55% + care 1.7% + insolvency 0.15%</t>
  </si>
  <si>
    <t xml:space="preserve">Poland FTE</t>
  </si>
  <si>
    <t xml:space="preserve">20.4%</t>
  </si>
  <si>
    <t xml:space="preserve">ZUS: pension 9.76% + disability 6.5% + accident 1.67% + labour fund 2.45%</t>
  </si>
  <si>
    <t xml:space="preserve">Portugal FTE</t>
  </si>
  <si>
    <t xml:space="preserve">23.75%</t>
  </si>
  <si>
    <t xml:space="preserve">TSU fixed rate -- simple and predictable for budgeting</t>
  </si>
  <si>
    <t xml:space="preserve">Netherlands FTE</t>
  </si>
  <si>
    <t xml:space="preserve">~20%</t>
  </si>
  <si>
    <t xml:space="preserve">AWF + WIA + ZW + Aof; but Box1 rate 36.97% = high employee deductions</t>
  </si>
  <si>
    <t xml:space="preserve">Czech Rep FTE</t>
  </si>
  <si>
    <t xml:space="preserve">33.8%</t>
  </si>
  <si>
    <t xml:space="preserve">Pension 21.5% + sickness 2.1% + unemployment 1.2% + health 9% = HIGHEST % in list</t>
  </si>
  <si>
    <t xml:space="preserve">3. NET SALARY  --  What specialist actually receives in hand</t>
  </si>
  <si>
    <t xml:space="preserve">UA FOP Middle avg</t>
  </si>
  <si>
    <t xml:space="preserve">~,080-,390/mo</t>
  </si>
  <si>
    <t xml:space="preserve">Gross x 93.5%; ESV 5 extra from specialist own budget</t>
  </si>
  <si>
    <t xml:space="preserve">UA - RO parity</t>
  </si>
  <si>
    <t xml:space="preserve">RO Senior FTE net = UA Senior FOP net</t>
  </si>
  <si>
    <t xml:space="preserve">0% IT income tax + CAS/CASS 35% = net is 65% of gross; comparable take-home to Ukraine</t>
  </si>
  <si>
    <t xml:space="preserve">Best net/gross ratio</t>
  </si>
  <si>
    <t xml:space="preserve">Romania B2B (Micro SRL)</t>
  </si>
  <si>
    <t xml:space="preserve">Corp tax 1% on revenue; specialist keeps ~99% of gross; unique globally</t>
  </si>
  <si>
    <t xml:space="preserve">Worst net/gross ratio</t>
  </si>
  <si>
    <t xml:space="preserve">Box1 36.97% deduction; specialist keeps only ~63% of gross</t>
  </si>
  <si>
    <t xml:space="preserve">UK efficiency</t>
  </si>
  <si>
    <t xml:space="preserve">UK B2B (IR35-outside)</t>
  </si>
  <si>
    <t xml:space="preserve">Corp tax 19%; dividend extraction; effective ~75-80% net retention</t>
  </si>
  <si>
    <t xml:space="preserve">US reality</t>
  </si>
  <si>
    <t xml:space="preserve">Never compare gross to UA</t>
  </si>
  <si>
    <t xml:space="preserve">US 3,750 gross Senior = ~,200 net; UA ,625 gross = ~,390 net</t>
  </si>
  <si>
    <t xml:space="preserve">4. HIRING MODELS COMPARISON  --  Company perspective</t>
  </si>
  <si>
    <t xml:space="preserve">B2B / Contractor</t>
  </si>
  <si>
    <t xml:space="preserve">Best: company pays invoice only</t>
  </si>
  <si>
    <t xml:space="preserve">No employer social contrib; saves 20-34% vs FTE; specialist handles own taxes</t>
  </si>
  <si>
    <t xml:space="preserve">FTE Employment</t>
  </si>
  <si>
    <t xml:space="preserve">Highest cost + compliance</t>
  </si>
  <si>
    <t xml:space="preserve">Full employer burden; max employee protection; required if misclassification risk</t>
  </si>
  <si>
    <t xml:space="preserve">EOR (+00/mo)</t>
  </si>
  <si>
    <t xml:space="preserve">Best for market test</t>
  </si>
  <si>
    <t xml:space="preserve">No legal entity needed; full FTE compliance; 00/mo vs 0k+ legal setup cost</t>
  </si>
  <si>
    <t xml:space="preserve">UA FOP vs Staff</t>
  </si>
  <si>
    <t xml:space="preserve">FOP saves ~0-95/mo per person</t>
  </si>
  <si>
    <t xml:space="preserve">ESV 5 vs 30; no % overhead difference; recommend FOP or Diia City</t>
  </si>
  <si>
    <t xml:space="preserve">RO B2B Micro SRL</t>
  </si>
  <si>
    <t xml:space="preserve">Exceptional value</t>
  </si>
  <si>
    <t xml:space="preserve">1% corp tax on revenue; employer pays invoice only; near-zero tax burden</t>
  </si>
  <si>
    <t xml:space="preserve">PL B2B JDG</t>
  </si>
  <si>
    <t xml:space="preserve">Market standard</t>
  </si>
  <si>
    <t xml:space="preserve">~60% of Polish IT works on B2B; fixed ZUS ~92/mo regardless of income level</t>
  </si>
  <si>
    <t xml:space="preserve">5. STRATEGIC RECOMMENDATIONS</t>
  </si>
  <si>
    <t xml:space="preserve">Start with EOR</t>
  </si>
  <si>
    <t xml:space="preserve">All countries, immediately</t>
  </si>
  <si>
    <t xml:space="preserve">Zero legal setup time; 00/mo = test hiring in any country within days; use Deel or Remote</t>
  </si>
  <si>
    <t xml:space="preserve">Open entity if 3+ hires</t>
  </si>
  <si>
    <t xml:space="preserve">Romania or Portugal</t>
  </si>
  <si>
    <t xml:space="preserve">SRL/Lda: 1-2 weeks registration; lowest compliance burden; best ROI vs EOR fee</t>
  </si>
  <si>
    <t xml:space="preserve">For CEE talent pool</t>
  </si>
  <si>
    <t xml:space="preserve">Poland</t>
  </si>
  <si>
    <t xml:space="preserve">770k+ IT specialists; EU Pay Transparency Dir. 2025; top B2B culture</t>
  </si>
  <si>
    <t xml:space="preserve">For Western EU clients</t>
  </si>
  <si>
    <t xml:space="preserve">Germany or Netherlands</t>
  </si>
  <si>
    <t xml:space="preserve">Premium positioning; strong IP/GDPR; client confidence; justify higher billing rates</t>
  </si>
  <si>
    <t xml:space="preserve">Never hire US FTE directly</t>
  </si>
  <si>
    <t xml:space="preserve">Without EOR or local entity</t>
  </si>
  <si>
    <t xml:space="preserve">State-specific payroll rules; W-2 obligations; FUTA/SUI per state -- always use EOR</t>
  </si>
  <si>
    <t xml:space="preserve">Senior cost parity</t>
  </si>
  <si>
    <t xml:space="preserve">Romania Senior FTE = UA Senior FOP</t>
  </si>
  <si>
    <t xml:space="preserve">Only country where senior hire cost matches UA level -- strategic for team expansion</t>
  </si>
  <si>
    <t xml:space="preserve">CZ caution</t>
  </si>
  <si>
    <t xml:space="preserve">High overhead despite low gross</t>
  </si>
  <si>
    <t xml:space="preserve">33.8% employer burden erodes savings; prefer B2B Zivnost model</t>
  </si>
  <si>
    <t xml:space="preserve">6. KEY TAX CORRECTIONS vs previous analysis version</t>
  </si>
  <si>
    <t xml:space="preserve">UK employer NIC</t>
  </si>
  <si>
    <t xml:space="preserve">UPDATED: 15% (was 13.8%)</t>
  </si>
  <si>
    <t xml:space="preserve">Increased from 13.8% to 15% effective April 2025 per HMRC budget announcement</t>
  </si>
  <si>
    <t xml:space="preserve">PL employee ZUS</t>
  </si>
  <si>
    <t xml:space="preserve">13.71% + health 9% = 22.71%</t>
  </si>
  <si>
    <t xml:space="preserve">Full split: pension 9.76% + disability 1.5% + sickness 2.45% + health 9%</t>
  </si>
  <si>
    <t xml:space="preserve">PL employer ZUS</t>
  </si>
  <si>
    <t xml:space="preserve">20.38% (was 20.7%)</t>
  </si>
  <si>
    <t xml:space="preserve">Pension 9.76% + disability 6.5% + accident 1.67% + labour fund 2.45% = 20.38%</t>
  </si>
  <si>
    <t xml:space="preserve">DE employer SS</t>
  </si>
  <si>
    <t xml:space="preserve">~21% (breakdown added)</t>
  </si>
  <si>
    <t xml:space="preserve">Pension 9.3% + unempl. 1.3% + health 8.55% + care 1.7% + insolvency 0.15% = 21%</t>
  </si>
  <si>
    <t xml:space="preserve">NL employer</t>
  </si>
  <si>
    <t xml:space="preserve">~20% (was overstated at 29%)</t>
  </si>
  <si>
    <t xml:space="preserve">AWF + WIA + ZW + Aof ~20%; previous figure included employee Box1 tax incorrectly</t>
  </si>
  <si>
    <t xml:space="preserve">RO net formula</t>
  </si>
  <si>
    <t xml:space="preserve">Gross x 0.65</t>
  </si>
  <si>
    <t xml:space="preserve">IT income tax 0% but CAS 25% + CASS 10% = 35% from employee; net = gross x 65%</t>
  </si>
  <si>
    <t xml:space="preserve">RO employer</t>
  </si>
  <si>
    <t xml:space="preserve">2.25% confirmed</t>
  </si>
  <si>
    <t xml:space="preserve">CM 2.25%; lowest in EU; post-2023 reform; unchanged for 2026</t>
  </si>
  <si>
    <t xml:space="preserve">7. HOW TO USE THIS FILE</t>
  </si>
  <si>
    <t xml:space="preserve">Change salary data</t>
  </si>
  <si>
    <t xml:space="preserve">Tab: 2_Market_Gross_USD</t>
  </si>
  <si>
    <t xml:space="preserve">Edit blue cells only. All other tabs recalculate automatically via formulas.</t>
  </si>
  <si>
    <t xml:space="preserve">Change tax rates</t>
  </si>
  <si>
    <t xml:space="preserve">Tab: 1_Tax_Assumptions</t>
  </si>
  <si>
    <t xml:space="preserve">Edit blue cells only. Net/Cost formulas in tab 3 use hardcoded rates (update both if needed).</t>
  </si>
  <si>
    <t xml:space="preserve">Method 1 (from Gross)</t>
  </si>
  <si>
    <t xml:space="preserve">Tab: 3_Calc_From_Gross</t>
  </si>
  <si>
    <t xml:space="preserve">Market gross -&gt; Net -&gt; Employer Tax -&gt; Total Cost. All 3 models per country.</t>
  </si>
  <si>
    <t xml:space="preserve">Method 2 (from Net)</t>
  </si>
  <si>
    <t xml:space="preserve">Tab: 4_Calc_From_Net</t>
  </si>
  <si>
    <t xml:space="preserve">Target: same net as UA FOP -&gt; required gross and total cost in each country.</t>
  </si>
  <si>
    <t xml:space="preserve">Quick country compare</t>
  </si>
  <si>
    <t xml:space="preserve">Tabs S1-S10</t>
  </si>
  <si>
    <t xml:space="preserve">Summary views by metric: Gross / Net / Total Cost / Overhead / Middle only / Senior only.</t>
  </si>
  <si>
    <t xml:space="preserve">On first open</t>
  </si>
  <si>
    <t xml:space="preserve">Press Ctrl+Alt+F9</t>
  </si>
  <si>
    <t xml:space="preserve">Forces full recalculation of all formulas. Save after recalculation.</t>
  </si>
  <si>
    <t xml:space="preserve">Country</t>
  </si>
  <si>
    <t xml:space="preserve">Model</t>
  </si>
  <si>
    <t xml:space="preserve">Employee ПДФО %</t>
  </si>
  <si>
    <t xml:space="preserve">Employee Social %</t>
  </si>
  <si>
    <t xml:space="preserve">Employer Contrib %</t>
  </si>
  <si>
    <t xml:space="preserve">Employer Fixed $/mo</t>
  </si>
  <si>
    <t xml:space="preserve">Total Cost Formula</t>
  </si>
  <si>
    <t xml:space="preserve">Net Formula</t>
  </si>
  <si>
    <t xml:space="preserve">Source / Notes</t>
  </si>
  <si>
    <t xml:space="preserve">UA</t>
  </si>
  <si>
    <t xml:space="preserve">FOP</t>
  </si>
  <si>
    <t xml:space="preserve">Gross×(1+0.00%)  +$35/міс</t>
  </si>
  <si>
    <t xml:space="preserve">Gross×(1-6.5%)</t>
  </si>
  <si>
    <t xml:space="preserve">ЄП 5% + ВЗ 1.5% = 6.5% від gross. ЄСВ ~$35/міс фіксовано (сам підприємець). Компанія не платить % понад gross.</t>
  </si>
  <si>
    <t xml:space="preserve">DiiaCity</t>
  </si>
  <si>
    <t xml:space="preserve">Gross×(1+0.00%)  +$40/міс</t>
  </si>
  <si>
    <t xml:space="preserve">ПДФО 5% + ВЗ 1.5% = 6.5% від gross. ЄСВ ~$40/міс фікс (роботодавець). Без % нарахувань понад gross.</t>
  </si>
  <si>
    <t xml:space="preserve">Staff</t>
  </si>
  <si>
    <t xml:space="preserve">Gross + ESV 22% | Cost = Gross*(1+0.22) якщо Gross&lt;$3886, або Gross+$855 якщо Gross&gt;=$3886</t>
  </si>
  <si>
    <t xml:space="preserve">Gross*(1-0.195)  [ПДФО 18%+ВЗ 1.5%]</t>
  </si>
  <si>
    <t xml:space="preserve">ПДФО 18%+ВЗ 1.5%=19.5% від gross (без обмеження). ЄСВ employer 22% від gross до бази 3886 USD (~172,940 грн = 20×МЗП). Понад базу — ЄСВ фікс $855/міс.</t>
  </si>
  <si>
    <t xml:space="preserve">PL</t>
  </si>
  <si>
    <t xml:space="preserve">FTE</t>
  </si>
  <si>
    <t xml:space="preserve">Gross×(1+20.38%)  +$0/міс</t>
  </si>
  <si>
    <t xml:space="preserve">Gross×(1-27.7%)</t>
  </si>
  <si>
    <t xml:space="preserve">ПДФО 12%/32% (ефект ~14%); ZUS прац.: пенсія 9.76%+інвал 1.5%+хвороба 2.45%+здоров'я 9%=22.71%; Empr ZUS: 9.76%+6.5%+1.6</t>
  </si>
  <si>
    <t xml:space="preserve">B2B</t>
  </si>
  <si>
    <t xml:space="preserve">Gross×(1+0.00%)  +$0/міс</t>
  </si>
  <si>
    <t xml:space="preserve">Gross×(1-12.0%)</t>
  </si>
  <si>
    <t xml:space="preserve">Ryczałt 12% або flat tax 19%. ZUS для B2B фіксований ~PLN 1,927/міс (~$492). Компанія платить тільки invoice — без нарах</t>
  </si>
  <si>
    <t xml:space="preserve">UK</t>
  </si>
  <si>
    <t xml:space="preserve">Gross×(1+15.00%)  +$0/міс</t>
  </si>
  <si>
    <t xml:space="preserve">Gross×(1-28.0%)</t>
  </si>
  <si>
    <t xml:space="preserve">ПДФО 20% (до £50,270; personal allowance £12,570); NIC employee 8% (до £50,270) + 2% понад; Employer NIC 15% понад £5,00</t>
  </si>
  <si>
    <t xml:space="preserve">Gross×(1-19.0%)</t>
  </si>
  <si>
    <t xml:space="preserve">IR35-outside contractor Ltd: corp tax 19%; dividend strategy знижує ефективне навантаження. Без employer NIC.</t>
  </si>
  <si>
    <t xml:space="preserve">US</t>
  </si>
  <si>
    <t xml:space="preserve">Gross×(1+11.00%)  +$0/міс</t>
  </si>
  <si>
    <t xml:space="preserve">Gross×(1-29.6%)</t>
  </si>
  <si>
    <t xml:space="preserve">Fed ПДФО 22% bracket + state avg 5% = ефект ~27%; FICA employee 7.65%; Employer: FICA 7.65%+FUTA 0.6%+state SUI ~2.7%=~1</t>
  </si>
  <si>
    <t xml:space="preserve">Gross×(1-37.3%)</t>
  </si>
  <si>
    <t xml:space="preserve">1099 self-employed: SE tax 15.3% (both FICA halves) + income tax 22%+state. Без employer нарахувань.</t>
  </si>
  <si>
    <t xml:space="preserve">DE</t>
  </si>
  <si>
    <t xml:space="preserve">Gross×(1+21.00%)  +$0/міс</t>
  </si>
  <si>
    <t xml:space="preserve">Gross×(1-47.9%)</t>
  </si>
  <si>
    <t xml:space="preserve">ПДФО ефект ~27% (€60-80k bracket); Employee SS: пенсія 9.3%+безроб 1.3%+здоров'я 8.55%+догляд 1.7%=20.85%; Employer: ~21</t>
  </si>
  <si>
    <t xml:space="preserve">Gross×(1-25.0%)</t>
  </si>
  <si>
    <t xml:space="preserve">Freiberufler: Einkommensteuer ≈25% ефект; самостійно платить KSt/GewSt якщо GmbH. Без employer SS.</t>
  </si>
  <si>
    <t xml:space="preserve">NL</t>
  </si>
  <si>
    <t xml:space="preserve">Gross×(1+20.00%)  +$0/міс</t>
  </si>
  <si>
    <t xml:space="preserve">Gross×(1-37.0%)</t>
  </si>
  <si>
    <t xml:space="preserve">Box 1: 36.97% до €75,518 (включає SS); 49.5% понад. Employer: AWF+WIA+ZW+Aof ≈20% (від €75k gross SS відпадає — employer</t>
  </si>
  <si>
    <t xml:space="preserve">ZZP freelancer: Box 1 36.97%; без employer contributions. Компанія платить тільки invoice.</t>
  </si>
  <si>
    <t xml:space="preserve">CZ</t>
  </si>
  <si>
    <t xml:space="preserve">Gross×(1+33.80%)  +$0/міс</t>
  </si>
  <si>
    <t xml:space="preserve">Gross×(1-26.0%)</t>
  </si>
  <si>
    <t xml:space="preserve">ПДФО 15%/23%; Employee SS: соціальне 6.5%+здоров'я 4.5%=11%; Employer: пенсія 21.5%+хвороба 2.1%+безроб 1.2%+здоров'я 9%</t>
  </si>
  <si>
    <t xml:space="preserve">Gross×(1-15.0%)</t>
  </si>
  <si>
    <t xml:space="preserve">Živnostenský list: daň 15%; ZUS фіксований ~CZK 5,720/міс (~$263). Компанія платить тільки invoice.</t>
  </si>
  <si>
    <t xml:space="preserve">PORT</t>
  </si>
  <si>
    <t xml:space="preserve">Gross×(1+23.75%)  +$0/міс</t>
  </si>
  <si>
    <t xml:space="preserve">Gross×(1-34.0%)</t>
  </si>
  <si>
    <t xml:space="preserve">IRS (ПДФО) ≈23% ефект для €3-5k/міс; SS employee 11%; Employer TSU 23.75%</t>
  </si>
  <si>
    <t xml:space="preserve">Gross×(1-20.0%)</t>
  </si>
  <si>
    <t xml:space="preserve">Recibos Verdes: IRS ≈20% + SS 21.4% від 70% доходу (~15% від gross). Без employer contributions.</t>
  </si>
  <si>
    <t xml:space="preserve">RO</t>
  </si>
  <si>
    <t xml:space="preserve">Gross×(1+2.25%)  +$0/міс</t>
  </si>
  <si>
    <t xml:space="preserve">Gross×(1-35%)  [ПДФО 0% IT пільга]</t>
  </si>
  <si>
    <t xml:space="preserve">ПДФО 0% для IT спеціалістів (Legea nr.227/2015, Art.60, п.2 — пільга активна 2026); CAS 25%+CASS 10%=35% з працівника; E</t>
  </si>
  <si>
    <t xml:space="preserve">Gross×(1-1.0%)</t>
  </si>
  <si>
    <t xml:space="preserve">Micro-company SRL: корп.податок 1% від доходу до €500k. Без employer SS. Ефективне навантаження дуже низьке.</t>
  </si>
  <si>
    <t xml:space="preserve">MARKET GROSS SALARY (USD/month) — All countries, all positions</t>
  </si>
  <si>
    <t xml:space="preserve">Sources: UA=Djinni API 17.05.2026 (Middle=2-3yr, Senior=5+yr) | PL=JustJoinIT+Verita HR 2026 | UK=ITJobsWatch+Glassdoor 18May2026 | US=BLS OEWS+Glassdoor+ZipRecruiter 2026 | DE=Glassdoor+StepStone+Levels.fyi | NL=Glassdoor Amsterdam+Levels.fyi+Ravio 2026 | CZ=Platy.cz 871resp+Levels.fyi Prague | PT=itjobs.pt+Glassdoor PT+whatisthesalary.com | RO=SalaryExpert+Huntly+NewTech Salary Radar | AMBER cells = corrected values (v4, 19.05.2026). Research: 5-10 sources/country.</t>
  </si>
  <si>
    <t xml:space="preserve">#</t>
  </si>
  <si>
    <t xml:space="preserve">Category</t>
  </si>
  <si>
    <t xml:space="preserve">Position</t>
  </si>
  <si>
    <t xml:space="preserve">Grade</t>
  </si>
  <si>
    <t xml:space="preserve">🇺🇦 Ukraine</t>
  </si>
  <si>
    <t xml:space="preserve">🇵🇱 Poland</t>
  </si>
  <si>
    <t xml:space="preserve">🇬🇧 UK</t>
  </si>
  <si>
    <t xml:space="preserve">🇺🇸 USA</t>
  </si>
  <si>
    <t xml:space="preserve">🇩🇪 Germany</t>
  </si>
  <si>
    <t xml:space="preserve">🇳🇱 Netherlands</t>
  </si>
  <si>
    <t xml:space="preserve">🇨🇿 Czech Rep.</t>
  </si>
  <si>
    <t xml:space="preserve">🇵🇹 Portugal</t>
  </si>
  <si>
    <t xml:space="preserve">🇷🇴 Romania</t>
  </si>
  <si>
    <t xml:space="preserve">Backend</t>
  </si>
  <si>
    <t xml:space="preserve">BE Java</t>
  </si>
  <si>
    <t xml:space="preserve">Middle</t>
  </si>
  <si>
    <t xml:space="preserve">Senior</t>
  </si>
  <si>
    <t xml:space="preserve">BE Node</t>
  </si>
  <si>
    <t xml:space="preserve">BE Python</t>
  </si>
  <si>
    <t xml:space="preserve">BE Hybris*</t>
  </si>
  <si>
    <t xml:space="preserve">Fullstack</t>
  </si>
  <si>
    <t xml:space="preserve">FS Java</t>
  </si>
  <si>
    <t xml:space="preserve">FS Node</t>
  </si>
  <si>
    <t xml:space="preserve">FS PHP</t>
  </si>
  <si>
    <t xml:space="preserve">FS .Net</t>
  </si>
  <si>
    <t xml:space="preserve">FS Python</t>
  </si>
  <si>
    <t xml:space="preserve">Frontend</t>
  </si>
  <si>
    <t xml:space="preserve">FE</t>
  </si>
  <si>
    <t xml:space="preserve">FE Java*</t>
  </si>
  <si>
    <t xml:space="preserve">FE Hybris*</t>
  </si>
  <si>
    <t xml:space="preserve">FE Platforms*</t>
  </si>
  <si>
    <t xml:space="preserve">QA/Test</t>
  </si>
  <si>
    <t xml:space="preserve">QA</t>
  </si>
  <si>
    <t xml:space="preserve">Infra</t>
  </si>
  <si>
    <t xml:space="preserve">DevOps</t>
  </si>
  <si>
    <t xml:space="preserve">Management</t>
  </si>
  <si>
    <t xml:space="preserve">PM</t>
  </si>
  <si>
    <t xml:space="preserve">Design</t>
  </si>
  <si>
    <t xml:space="preserve">UI/UX Design</t>
  </si>
  <si>
    <t xml:space="preserve">Mobile</t>
  </si>
  <si>
    <t xml:space="preserve">Mobile IOS</t>
  </si>
  <si>
    <t xml:space="preserve">Mobile Hybrid*</t>
  </si>
  <si>
    <t xml:space="preserve">Mobile Native</t>
  </si>
  <si>
    <t xml:space="preserve">Data/AI</t>
  </si>
  <si>
    <t xml:space="preserve">Data Scientist</t>
  </si>
  <si>
    <t xml:space="preserve">Embedded</t>
  </si>
  <si>
    <t xml:space="preserve">Embedded Dev</t>
  </si>
  <si>
    <t xml:space="preserve">Specialist</t>
  </si>
  <si>
    <t xml:space="preserve">Salesforce Dev</t>
  </si>
  <si>
    <t xml:space="preserve">CALCULATION FROM GROSS — Net &amp; Total Cost by Country &amp; Model (Method 1)</t>
  </si>
  <si>
    <t xml:space="preserve">Gross (market data) → Net (employee take-home) → Employer Tax → Total Cost to Company. Formulas use verified tax rates from 1_Tax_Assumptions.</t>
  </si>
  <si>
    <t xml:space="preserve">Cat</t>
  </si>
  <si>
    <t xml:space="preserve">FOP (ФОП 3гр)</t>
  </si>
  <si>
    <t xml:space="preserve">Дія Сіті</t>
  </si>
  <si>
    <t xml:space="preserve">Штат (UoP)</t>
  </si>
  <si>
    <t xml:space="preserve">FTE (UoP)</t>
  </si>
  <si>
    <t xml:space="preserve">B2B (JDG)</t>
  </si>
  <si>
    <t xml:space="preserve">EOR (+$500)</t>
  </si>
  <si>
    <t xml:space="preserve">FTE (Employee)</t>
  </si>
  <si>
    <t xml:space="preserve">IR35 Contractor</t>
  </si>
  <si>
    <t xml:space="preserve">W-2 FTE</t>
  </si>
  <si>
    <t xml:space="preserve">1099 Contractor</t>
  </si>
  <si>
    <t xml:space="preserve">FTE (Angestellter)</t>
  </si>
  <si>
    <t xml:space="preserve">Freiberufler</t>
  </si>
  <si>
    <t xml:space="preserve">FTE (Werknemer)</t>
  </si>
  <si>
    <t xml:space="preserve">ZZP Freelancer</t>
  </si>
  <si>
    <t xml:space="preserve">FTE (Zaměstnanec)</t>
  </si>
  <si>
    <t xml:space="preserve">Živnostník B2B</t>
  </si>
  <si>
    <t xml:space="preserve">FTE (Trabalhador)</t>
  </si>
  <si>
    <t xml:space="preserve">Recibos Verdes</t>
  </si>
  <si>
    <t xml:space="preserve">FTE (Angajat)</t>
  </si>
  <si>
    <t xml:space="preserve">Micro SRL</t>
  </si>
  <si>
    <t xml:space="preserve">Gross $</t>
  </si>
  <si>
    <t xml:space="preserve">Net $</t>
  </si>
  <si>
    <t xml:space="preserve">Empr Tax $</t>
  </si>
  <si>
    <t xml:space="preserve">Total Cost $</t>
  </si>
  <si>
    <t xml:space="preserve">OH%</t>
  </si>
  <si>
    <t xml:space="preserve">CALCULATION FROM NET — Target: same net as UA FOP → required gross &amp; total cost in each country (Method 2)</t>
  </si>
  <si>
    <t xml:space="preserve">Question: 'If I want a specialist to take home the same amount as Ukrainian FOP net — how much gross and total cost would I need in each country?' UA FOP net = Gross × (1 − 6.5%)</t>
  </si>
  <si>
    <t xml:space="preserve">UA Net Ref $</t>
  </si>
  <si>
    <t xml:space="preserve">Gross Required $</t>
  </si>
  <si>
    <t xml:space="preserve">Delta vs UA $</t>
  </si>
  <si>
    <t xml:space="preserve">x UA Cost</t>
  </si>
  <si>
    <t xml:space="preserve">EOR (Employer of Record) -- Detailed Analysis &amp; Provider Comparison 2026</t>
  </si>
  <si>
    <t xml:space="preserve">Sources: Deel, Remote.com, Rippling, Multiplier, Remote People pricing pages (verified April-May 2026). All fees USD/employee/month EXCLUDING salary and statutory contributions.</t>
  </si>
  <si>
    <t xml:space="preserve">SECTION 1 -- EOR PROVIDER COMPARISON (fee only, excl. salary &amp; statutory)</t>
  </si>
  <si>
    <t xml:space="preserve">Provider</t>
  </si>
  <si>
    <t xml:space="preserve">EOR Fee/mo</t>
  </si>
  <si>
    <t xml:space="preserve">Countries</t>
  </si>
  <si>
    <t xml:space="preserve">Owned entities</t>
  </si>
  <si>
    <t xml:space="preserve">Annual ($1 emp)</t>
  </si>
  <si>
    <t xml:space="preserve">Key notes</t>
  </si>
  <si>
    <t xml:space="preserve">Deel</t>
  </si>
  <si>
    <t xml:space="preserve">Flat fee</t>
  </si>
  <si>
    <t xml:space="preserve">$599</t>
  </si>
  <si>
    <t xml:space="preserve">150+</t>
  </si>
  <si>
    <t xml:space="preserve">Yes (most)</t>
  </si>
  <si>
    <t xml:space="preserve">$7,188</t>
  </si>
  <si>
    <t xml:space="preserve">Market leader; deposit = 1mo gross required; FX markup 0.6-2%; add-ons extra</t>
  </si>
  <si>
    <t xml:space="preserve">Remote.com</t>
  </si>
  <si>
    <t xml:space="preserve">80+</t>
  </si>
  <si>
    <t xml:space="preserve">Yes (100%)</t>
  </si>
  <si>
    <t xml:space="preserve">Dropped from $699 in late 2024; startup discount 15% (Series A-); no deposit; FX markup undisclosed</t>
  </si>
  <si>
    <t xml:space="preserve">Rippling</t>
  </si>
  <si>
    <t xml:space="preserve">From $199</t>
  </si>
  <si>
    <t xml:space="preserve">$199-599</t>
  </si>
  <si>
    <t xml:space="preserve">Most</t>
  </si>
  <si>
    <t xml:space="preserve">$2,388+</t>
  </si>
  <si>
    <t xml:space="preserve">Most competitive; full HRIS included; best for US+intl combined; EOR 32 countries</t>
  </si>
  <si>
    <t xml:space="preserve">Multiplier</t>
  </si>
  <si>
    <t xml:space="preserve">$400</t>
  </si>
  <si>
    <t xml:space="preserve">Partial</t>
  </si>
  <si>
    <t xml:space="preserve">$4,800</t>
  </si>
  <si>
    <t xml:space="preserve">Mid-market; good Eastern Europe coverage; volume discounts</t>
  </si>
  <si>
    <t xml:space="preserve">Remote People</t>
  </si>
  <si>
    <t xml:space="preserve">$199</t>
  </si>
  <si>
    <t xml:space="preserve">$2,388</t>
  </si>
  <si>
    <t xml:space="preserve">Most affordable; strong CEE (PL, RO); no hidden fees claim; verify before signing</t>
  </si>
  <si>
    <t xml:space="preserve">Oyster</t>
  </si>
  <si>
    <t xml:space="preserve">$499</t>
  </si>
  <si>
    <t xml:space="preserve">130+</t>
  </si>
  <si>
    <t xml:space="preserve">$5,988</t>
  </si>
  <si>
    <t xml:space="preserve">Strong benefits admin; good EU coverage</t>
  </si>
  <si>
    <t xml:space="preserve">Remofirst</t>
  </si>
  <si>
    <t xml:space="preserve">Budget option; less support depth; SMB focused</t>
  </si>
  <si>
    <t xml:space="preserve">G-P (Globalization)</t>
  </si>
  <si>
    <t xml:space="preserve">Custom</t>
  </si>
  <si>
    <t xml:space="preserve">$599+</t>
  </si>
  <si>
    <t xml:space="preserve">180+</t>
  </si>
  <si>
    <t xml:space="preserve">Yes</t>
  </si>
  <si>
    <t xml:space="preserve">$7,188+</t>
  </si>
  <si>
    <t xml:space="preserve">Enterprise-grade; most countries; most expensive; best compliance</t>
  </si>
  <si>
    <t xml:space="preserve">SECTION 2 -- EOR TOTAL COST BY COUNTRY (fee + statutory, excl. salary)</t>
  </si>
  <si>
    <t xml:space="preserve">Employer statutory %</t>
  </si>
  <si>
    <t xml:space="preserve">Statutory on $3k gross</t>
  </si>
  <si>
    <t xml:space="preserve">EOR fee (budget $199)</t>
  </si>
  <si>
    <t xml:space="preserve">EOR fee (standard $599)</t>
  </si>
  <si>
    <t xml:space="preserve">Total burden (budget)</t>
  </si>
  <si>
    <t xml:space="preserve">Total burden (standard)</t>
  </si>
  <si>
    <t xml:space="preserve">Key complexity notes</t>
  </si>
  <si>
    <t xml:space="preserve">Ukraine (FOP)</t>
  </si>
  <si>
    <t xml:space="preserve">3-5% (fixed $35)</t>
  </si>
  <si>
    <t xml:space="preserve">$35</t>
  </si>
  <si>
    <t xml:space="preserve">+$199</t>
  </si>
  <si>
    <t xml:space="preserve">+$599</t>
  </si>
  <si>
    <t xml:space="preserve">$234/mo</t>
  </si>
  <si>
    <t xml:space="preserve">$634/mo</t>
  </si>
  <si>
    <t xml:space="preserve">Unique: fixed ESV not %. Cheapest baseline globally.</t>
  </si>
  <si>
    <t xml:space="preserve">Romania</t>
  </si>
  <si>
    <t xml:space="preserve">$68</t>
  </si>
  <si>
    <t xml:space="preserve">$267/mo</t>
  </si>
  <si>
    <t xml:space="preserve">$667/mo</t>
  </si>
  <si>
    <t xml:space="preserve">Lowest EU employer %; 0% IT income tax for employee</t>
  </si>
  <si>
    <t xml:space="preserve">Czech Republic</t>
  </si>
  <si>
    <t xml:space="preserve">$1,014</t>
  </si>
  <si>
    <t xml:space="preserve">$1,213/mo</t>
  </si>
  <si>
    <t xml:space="preserve">$1,613/mo</t>
  </si>
  <si>
    <t xml:space="preserve">Highest employer % in list; EOR fee minor vs statutory</t>
  </si>
  <si>
    <t xml:space="preserve">$612</t>
  </si>
  <si>
    <t xml:space="preserve">$811/mo</t>
  </si>
  <si>
    <t xml:space="preserve">$1,211/mo</t>
  </si>
  <si>
    <t xml:space="preserve">Standard EU; ZUS complex but predictable</t>
  </si>
  <si>
    <t xml:space="preserve">Portugal</t>
  </si>
  <si>
    <t xml:space="preserve">$713</t>
  </si>
  <si>
    <t xml:space="preserve">$912/mo</t>
  </si>
  <si>
    <t xml:space="preserve">$1,312/mo</t>
  </si>
  <si>
    <t xml:space="preserve">Simple TSU rate; NHR regime helps attract talent</t>
  </si>
  <si>
    <t xml:space="preserve">Germany</t>
  </si>
  <si>
    <t xml:space="preserve">21.0%</t>
  </si>
  <si>
    <t xml:space="preserve">$630</t>
  </si>
  <si>
    <t xml:space="preserve">$829/mo</t>
  </si>
  <si>
    <t xml:space="preserve">$1,229/mo</t>
  </si>
  <si>
    <t xml:space="preserve">Complex benefits; illness pay 100% for 6wks; high compliance</t>
  </si>
  <si>
    <t xml:space="preserve">United Kingdom</t>
  </si>
  <si>
    <t xml:space="preserve">$450</t>
  </si>
  <si>
    <t xml:space="preserve">$649/mo</t>
  </si>
  <si>
    <t xml:space="preserve">$1,049/mo</t>
  </si>
  <si>
    <t xml:space="preserve">Increased from 13.8% Apr 2025; IR35 risk for contractors</t>
  </si>
  <si>
    <t xml:space="preserve">Netherlands</t>
  </si>
  <si>
    <t xml:space="preserve">20.0%</t>
  </si>
  <si>
    <t xml:space="preserve">$600</t>
  </si>
  <si>
    <t xml:space="preserve">$799/mo</t>
  </si>
  <si>
    <t xml:space="preserve">$1,199/mo</t>
  </si>
  <si>
    <t xml:space="preserve">Illness pay 70% for 2 YEARS by law; significant hidden cost</t>
  </si>
  <si>
    <t xml:space="preserve">USA</t>
  </si>
  <si>
    <t xml:space="preserve">11.0%</t>
  </si>
  <si>
    <t xml:space="preserve">$330</t>
  </si>
  <si>
    <t xml:space="preserve">$529/mo</t>
  </si>
  <si>
    <t xml:space="preserve">$929/mo</t>
  </si>
  <si>
    <t xml:space="preserve">Low %; per-state complexity; no EOR = major compliance risk</t>
  </si>
  <si>
    <t xml:space="preserve">* Based on $3,000 gross for easy calculation. Actual statutory amount scales linearly with salary. EOR fees are flat regardless of salary.</t>
  </si>
  <si>
    <t xml:space="preserve">SECTION 3 -- EOR vs ENTITY SETUP: BREAK-EVEN ANALYSIS</t>
  </si>
  <si>
    <t xml:space="preserve">Entity setup cost</t>
  </si>
  <si>
    <t xml:space="preserve">Annual entity overhead</t>
  </si>
  <si>
    <t xml:space="preserve">EOR fee/yr ($399 avg)</t>
  </si>
  <si>
    <t xml:space="preserve">Break-even headcount</t>
  </si>
  <si>
    <t xml:space="preserve">Recommended model</t>
  </si>
  <si>
    <t xml:space="preserve">Notes</t>
  </si>
  <si>
    <t xml:space="preserve">$5k-15k</t>
  </si>
  <si>
    <t xml:space="preserve">$8k-15k/yr</t>
  </si>
  <si>
    <t xml:space="preserve">$4,788</t>
  </si>
  <si>
    <t xml:space="preserve">3-5 employees</t>
  </si>
  <si>
    <t xml:space="preserve">Entity at 3+ hires</t>
  </si>
  <si>
    <t xml:space="preserve">SRL = simplest setup in EU; 1-2 weeks</t>
  </si>
  <si>
    <t xml:space="preserve">$8k-20k</t>
  </si>
  <si>
    <t xml:space="preserve">$10k-20k/yr</t>
  </si>
  <si>
    <t xml:space="preserve">4-6 employees</t>
  </si>
  <si>
    <t xml:space="preserve">Entity at 4+ hires</t>
  </si>
  <si>
    <t xml:space="preserve">s.r.o. registration ~2-4 weeks</t>
  </si>
  <si>
    <t xml:space="preserve">$10k-25k</t>
  </si>
  <si>
    <t xml:space="preserve">$12k-20k/yr</t>
  </si>
  <si>
    <t xml:space="preserve">5-8 employees</t>
  </si>
  <si>
    <t xml:space="preserve">Entity at 5+ hires</t>
  </si>
  <si>
    <t xml:space="preserve">sp. z o.o.; strong B2B JDG alternative</t>
  </si>
  <si>
    <t xml:space="preserve">$10k-18k/yr</t>
  </si>
  <si>
    <t xml:space="preserve">Lda; NHR regime benefit for foreign hires</t>
  </si>
  <si>
    <t xml:space="preserve">$15k-40k</t>
  </si>
  <si>
    <t xml:space="preserve">$20k-35k/yr</t>
  </si>
  <si>
    <t xml:space="preserve">8-15 employees</t>
  </si>
  <si>
    <t xml:space="preserve">Entity at 10+ hires</t>
  </si>
  <si>
    <t xml:space="preserve">GmbH complex; high compliance; high stakes</t>
  </si>
  <si>
    <t xml:space="preserve">$10k-20k</t>
  </si>
  <si>
    <t xml:space="preserve">Ltd simple; IR35 rules still apply</t>
  </si>
  <si>
    <t xml:space="preserve">$12k-22k/yr</t>
  </si>
  <si>
    <t xml:space="preserve">BV; illness coverage 2yr = major hidden cost</t>
  </si>
  <si>
    <t xml:space="preserve">$15k-50k</t>
  </si>
  <si>
    <t xml:space="preserve">$20k-40k/yr</t>
  </si>
  <si>
    <t xml:space="preserve">8-20 employees</t>
  </si>
  <si>
    <t xml:space="preserve">State-by-state; most complex; Delaware C-Corp common</t>
  </si>
  <si>
    <t xml:space="preserve">SECTION 4 -- HIDDEN EOR COSTS (not on the pricing page)</t>
  </si>
  <si>
    <t xml:space="preserve">Cost item</t>
  </si>
  <si>
    <t xml:space="preserve">Typical amount</t>
  </si>
  <si>
    <t xml:space="preserve">Who charges it</t>
  </si>
  <si>
    <t xml:space="preserve">Avoidable?</t>
  </si>
  <si>
    <t xml:space="preserve">Financial impact</t>
  </si>
  <si>
    <t xml:space="preserve">Payroll deposit</t>
  </si>
  <si>
    <t xml:space="preserve">1 month gross salary</t>
  </si>
  <si>
    <t xml:space="preserve">Deel, most providers</t>
  </si>
  <si>
    <t xml:space="preserve">No (Deel); Yes (Remote)</t>
  </si>
  <si>
    <t xml:space="preserve">$1,000-20,000 locked</t>
  </si>
  <si>
    <t xml:space="preserve">Remote.com has no deposit; Deel requires it upfront</t>
  </si>
  <si>
    <t xml:space="preserve">FX markup</t>
  </si>
  <si>
    <t xml:space="preserve">0.6% - 2% per transfer</t>
  </si>
  <si>
    <t xml:space="preserve">All providers</t>
  </si>
  <si>
    <t xml:space="preserve">Partially</t>
  </si>
  <si>
    <t xml:space="preserve">$30-150/mo per $5k salary</t>
  </si>
  <si>
    <t xml:space="preserve">Never shown on pricing page; negotiable at scale</t>
  </si>
  <si>
    <t xml:space="preserve">Setup / onboarding</t>
  </si>
  <si>
    <t xml:space="preserve">$0-2,500 per employee</t>
  </si>
  <si>
    <t xml:space="preserve">Some providers</t>
  </si>
  <si>
    <t xml:space="preserve">Yes (negotiate)</t>
  </si>
  <si>
    <t xml:space="preserve">$0-2,500 one-time</t>
  </si>
  <si>
    <t xml:space="preserve">Check before signing; zero-fee providers exist</t>
  </si>
  <si>
    <t xml:space="preserve">Offboarding / termination</t>
  </si>
  <si>
    <t xml:space="preserve">$200-2,000+</t>
  </si>
  <si>
    <t xml:space="preserve">Most providers</t>
  </si>
  <si>
    <t xml:space="preserve">Negotiate cap</t>
  </si>
  <si>
    <t xml:space="preserve">Unknown until exit</t>
  </si>
  <si>
    <t xml:space="preserve">High in mandatory-severance countries (DE, NL)</t>
  </si>
  <si>
    <t xml:space="preserve">Benefits markup</t>
  </si>
  <si>
    <t xml:space="preserve">10-20% above cost</t>
  </si>
  <si>
    <t xml:space="preserve">Deel, Oyster</t>
  </si>
  <si>
    <t xml:space="preserve">Ask for passthrough</t>
  </si>
  <si>
    <t xml:space="preserve">$50-300/mo</t>
  </si>
  <si>
    <t xml:space="preserve">Health insurance passed through at markup; request itemized</t>
  </si>
  <si>
    <t xml:space="preserve">Off-cycle payroll</t>
  </si>
  <si>
    <t xml:space="preserve">$30-100 per run</t>
  </si>
  <si>
    <t xml:space="preserve">Avoid off-cycle</t>
  </si>
  <si>
    <t xml:space="preserve">$30-100/event</t>
  </si>
  <si>
    <t xml:space="preserve">Keep bonuses on regular payroll cycle</t>
  </si>
  <si>
    <t xml:space="preserve">Netherlands illness</t>
  </si>
  <si>
    <t xml:space="preserve">70% salary for 104 wks</t>
  </si>
  <si>
    <t xml:space="preserve">Statutory (law)</t>
  </si>
  <si>
    <t xml:space="preserve">No (mandatory)</t>
  </si>
  <si>
    <t xml:space="preserve">$800-4,000/mo/person</t>
  </si>
  <si>
    <t xml:space="preserve">Biggest hidden cost in NL; EOR absorbs risk but prices it in</t>
  </si>
  <si>
    <t xml:space="preserve">Annual min. contract</t>
  </si>
  <si>
    <t xml:space="preserve">12-month commitment</t>
  </si>
  <si>
    <t xml:space="preserve">Remote, Deel</t>
  </si>
  <si>
    <t xml:space="preserve">Negotiate monthly</t>
  </si>
  <si>
    <t xml:space="preserve">Early exit fee</t>
  </si>
  <si>
    <t xml:space="preserve">Monthly plans exist but cost 15-20% more</t>
  </si>
  <si>
    <t xml:space="preserve">SECTION 5 -- EOR RECOMMENDATIONS BY SCENARIO</t>
  </si>
  <si>
    <t xml:space="preserve">Scenario</t>
  </si>
  <si>
    <t xml:space="preserve">Recommended EOR provider</t>
  </si>
  <si>
    <t xml:space="preserve">Fee/mo</t>
  </si>
  <si>
    <t xml:space="preserve">Key reason</t>
  </si>
  <si>
    <t xml:space="preserve">Risk</t>
  </si>
  <si>
    <t xml:space="preserve">Alternative</t>
  </si>
  <si>
    <t xml:space="preserve">1 hire, test market</t>
  </si>
  <si>
    <t xml:space="preserve">Any</t>
  </si>
  <si>
    <t xml:space="preserve">Rippling or Remote People</t>
  </si>
  <si>
    <t xml:space="preserve">$199-299</t>
  </si>
  <si>
    <t xml:space="preserve">Cheapest; owned entities; no deposit</t>
  </si>
  <si>
    <t xml:space="preserve">Provider stability</t>
  </si>
  <si>
    <t xml:space="preserve">Multiplier if Rippling not available</t>
  </si>
  <si>
    <t xml:space="preserve">1-3 hires, Romania</t>
  </si>
  <si>
    <t xml:space="preserve">Remote People / Remofirst</t>
  </si>
  <si>
    <t xml:space="preserve">Lowest statutory 2.25%; cheap fee = minimal overhead</t>
  </si>
  <si>
    <t xml:space="preserve">Less support depth</t>
  </si>
  <si>
    <t xml:space="preserve">Deel if compliance critical</t>
  </si>
  <si>
    <t xml:space="preserve">1-3 hires, Poland</t>
  </si>
  <si>
    <t xml:space="preserve">Rippling / Multiplier</t>
  </si>
  <si>
    <t xml:space="preserve">$199-400</t>
  </si>
  <si>
    <t xml:space="preserve">Good CEE coverage; ZUS compliance handled</t>
  </si>
  <si>
    <t xml:space="preserve">B2B JDG viable alternative</t>
  </si>
  <si>
    <t xml:space="preserve">Consider B2B if specialist prefers it</t>
  </si>
  <si>
    <t xml:space="preserve">1-3 hires, Germany</t>
  </si>
  <si>
    <t xml:space="preserve">G-P or Remote.com</t>
  </si>
  <si>
    <t xml:space="preserve">High compliance market; own entities critical</t>
  </si>
  <si>
    <t xml:space="preserve">Expensive; illness cost hidden</t>
  </si>
  <si>
    <t xml:space="preserve">Wait for 5+ hires then entity</t>
  </si>
  <si>
    <t xml:space="preserve">1-3 hires, UK</t>
  </si>
  <si>
    <t xml:space="preserve">Remote.com / Rippling</t>
  </si>
  <si>
    <t xml:space="preserve">No deposit (Remote); IR35 guidance included</t>
  </si>
  <si>
    <t xml:space="preserve">NIC rate change impact</t>
  </si>
  <si>
    <t xml:space="preserve">IR35-outside contractor if safe</t>
  </si>
  <si>
    <t xml:space="preserve">1-3 hires, USA</t>
  </si>
  <si>
    <t xml:space="preserve">$199+</t>
  </si>
  <si>
    <t xml:space="preserve">Best US domestic + international combo</t>
  </si>
  <si>
    <t xml:space="preserve">Per-state complexity</t>
  </si>
  <si>
    <t xml:space="preserve">Gusto if US-only</t>
  </si>
  <si>
    <t xml:space="preserve">5+ hires same country</t>
  </si>
  <si>
    <t xml:space="preserve">Any EU</t>
  </si>
  <si>
    <t xml:space="preserve">Transition to own entity</t>
  </si>
  <si>
    <t xml:space="preserve">$0 fee</t>
  </si>
  <si>
    <t xml:space="preserve">Break-even at 5-10 hires in most EU countries</t>
  </si>
  <si>
    <t xml:space="preserve">Setup cost $10-40k</t>
  </si>
  <si>
    <t xml:space="preserve">Stay on EOR if &lt;18mo timeline</t>
  </si>
  <si>
    <t xml:space="preserve">Cost minimization</t>
  </si>
  <si>
    <t xml:space="preserve">Any country</t>
  </si>
  <si>
    <t xml:space="preserve">Remote People ($199)</t>
  </si>
  <si>
    <t xml:space="preserve">Flat rate, no hidden fees claim, CEE strong</t>
  </si>
  <si>
    <t xml:space="preserve">Verify per your country</t>
  </si>
  <si>
    <t xml:space="preserve">Negotiate with Deel at 10+ employees</t>
  </si>
  <si>
    <t xml:space="preserve">Maximum compliance</t>
  </si>
  <si>
    <t xml:space="preserve">DE/FR/NL/US</t>
  </si>
  <si>
    <t xml:space="preserve">G-P or Deel</t>
  </si>
  <si>
    <t xml:space="preserve">Own entities, deepest compliance, white-glove</t>
  </si>
  <si>
    <t xml:space="preserve">Only if compliance risk is highest priority</t>
  </si>
  <si>
    <t xml:space="preserve">SALARY RESEARCH SOURCES — 5-10 per country (Deep Analysis, 19.05.2026)</t>
  </si>
  <si>
    <t xml:space="preserve">FX rates used: 1 EUR = $1.13 | 1 GBP = $1.27 | 1 PLN = $0.255 | 1 CZK = $0.046 | 1 RON = $0.225 | All values = gross base salary (excl. RSU/bonuses unless noted)</t>
  </si>
  <si>
    <t xml:space="preserve">Source</t>
  </si>
  <si>
    <t xml:space="preserve">Reported Value</t>
  </si>
  <si>
    <t xml:space="preserve">USD/month</t>
  </si>
  <si>
    <t xml:space="preserve">Reliability</t>
  </si>
  <si>
    <t xml:space="preserve">Sample Size</t>
  </si>
  <si>
    <t xml:space="preserve">URL / Reference</t>
  </si>
  <si>
    <t xml:space="preserve">Glassdoor RO Java Developer</t>
  </si>
  <si>
    <t xml:space="preserve">RON 15,125/mo (126 salaries)</t>
  </si>
  <si>
    <t xml:space="preserve">$3,403</t>
  </si>
  <si>
    <t xml:space="preserve">Medium</t>
  </si>
  <si>
    <t xml:space="preserve">126</t>
  </si>
  <si>
    <t xml:space="preserve">Bucharest, Nov 2025. 25p=RON12,500; 75p=RON18,917</t>
  </si>
  <si>
    <t xml:space="preserve">glassdoor.com/romania-senior-java-developer</t>
  </si>
  <si>
    <t xml:space="preserve">SalaryExpert ERI Romania</t>
  </si>
  <si>
    <t xml:space="preserve">RON 174,694/yr (8+yr)</t>
  </si>
  <si>
    <t xml:space="preserve">$3,276</t>
  </si>
  <si>
    <t xml:space="preserve">High</t>
  </si>
  <si>
    <t xml:space="preserve">Employer survey</t>
  </si>
  <si>
    <t xml:space="preserve">Annual employer+employee survey. Senior=8+yr</t>
  </si>
  <si>
    <t xml:space="preserve">salaryexpert.com/java-developer/romania</t>
  </si>
  <si>
    <t xml:space="preserve">SalaryExpert ERI Bucharest</t>
  </si>
  <si>
    <t xml:space="preserve">RON 200,315/yr (8+yr)</t>
  </si>
  <si>
    <t xml:space="preserve">$3,756</t>
  </si>
  <si>
    <t xml:space="preserve">Bucharest premium +12% vs country avg</t>
  </si>
  <si>
    <t xml:space="preserve">salaryexpert.com/java-developer/romania/bucharest</t>
  </si>
  <si>
    <t xml:space="preserve">Levels.fyi SE Bucharest (5/2026)</t>
  </si>
  <si>
    <t xml:space="preserve">RON 203,732/yr avg</t>
  </si>
  <si>
    <t xml:space="preserve">$3,820</t>
  </si>
  <si>
    <t xml:space="preserve">1M+ datapoints</t>
  </si>
  <si>
    <t xml:space="preserve">Total comp incl bonuses; Bucharest focus. Updated 5/13/2026</t>
  </si>
  <si>
    <t xml:space="preserve">levels.fyi/t/software-engineer/locations/bucharest-rou</t>
  </si>
  <si>
    <t xml:space="preserve">NewTech.ro Salary Radar Jan 2026</t>
  </si>
  <si>
    <t xml:space="preserve">RON 15,000 net/mo avg</t>
  </si>
  <si>
    <t xml:space="preserve">$5,192</t>
  </si>
  <si>
    <t xml:space="preserve">devjob.ro + paylab.ro</t>
  </si>
  <si>
    <t xml:space="preserve">Local Romanian platform. Net → Gross ÷0.65. IT avg net RON 12,931 (INS Nov2025)</t>
  </si>
  <si>
    <t xml:space="preserve">newtech.ro/blog-it-salaries-january-2026</t>
  </si>
  <si>
    <t xml:space="preserve">tivazo.com / RemotePeople 2026</t>
  </si>
  <si>
    <t xml:space="preserve">RON 18k-25k net/mo senior</t>
  </si>
  <si>
    <t xml:space="preserve">$4,838</t>
  </si>
  <si>
    <t xml:space="preserve">Aggregated</t>
  </si>
  <si>
    <t xml:space="preserve">Senior SW dev net RON 18k-25k → avg 21,500 gross</t>
  </si>
  <si>
    <t xml:space="preserve">tivazo.com/blogs/average-salary-in-romania</t>
  </si>
  <si>
    <t xml:space="preserve">Huntly.ai / PBS Worldwide 2025</t>
  </si>
  <si>
    <t xml:space="preserve">$45k-$80k/yr senior</t>
  </si>
  <si>
    <t xml:space="preserve">$5,208</t>
  </si>
  <si>
    <t xml:space="preserve">Recruitment platform</t>
  </si>
  <si>
    <t xml:space="preserve">Outsourcing-focused data. Wide range. Senior avg $62.5k</t>
  </si>
  <si>
    <t xml:space="preserve">huntly.ai/blog/romanian-developers</t>
  </si>
  <si>
    <t xml:space="preserve">Paylab.ro IT survey</t>
  </si>
  <si>
    <t xml:space="preserve">RON 10,488 gross avg</t>
  </si>
  <si>
    <t xml:space="preserve">$2,360</t>
  </si>
  <si>
    <t xml:space="preserve">420k+ local survey</t>
  </si>
  <si>
    <t xml:space="preserve">Local HR platform, large sample. All IT roles incl junior</t>
  </si>
  <si>
    <t xml:space="preserve">paylab.ro/en/salaryinfo/information-technology</t>
  </si>
  <si>
    <t xml:space="preserve">ERI erieri.com avg Java</t>
  </si>
  <si>
    <t xml:space="preserve">RON 152,066/yr avg all</t>
  </si>
  <si>
    <t xml:space="preserve">$2,851</t>
  </si>
  <si>
    <t xml:space="preserve">Country avg Java Dev all experience levels</t>
  </si>
  <si>
    <t xml:space="preserve">erieri.com/salary/job/java-developer/romania</t>
  </si>
  <si>
    <t xml:space="preserve">GEOR.com 2026 country avg</t>
  </si>
  <si>
    <t xml:space="preserve">$35k+/yr all SE</t>
  </si>
  <si>
    <t xml:space="preserve">$2,917</t>
  </si>
  <si>
    <t xml:space="preserve">Low</t>
  </si>
  <si>
    <t xml:space="preserve">Conservative country avg, all SE roles blended</t>
  </si>
  <si>
    <t xml:space="preserve">theemployerofrecord.com/average-software-engineer-salary</t>
  </si>
  <si>
    <t xml:space="preserve">JustJoinIT Salary Report 2026</t>
  </si>
  <si>
    <t xml:space="preserve">PLN 20,162-27,766/mo UoP</t>
  </si>
  <si>
    <t xml:space="preserve">$6,111</t>
  </si>
  <si>
    <t xml:space="preserve">Market report</t>
  </si>
  <si>
    <t xml:space="preserve">Most comprehensive PL IT report 2026. UoP gross</t>
  </si>
  <si>
    <t xml:space="preserve">justjoin.it/salary-report</t>
  </si>
  <si>
    <t xml:space="preserve">Verita HR / Java specific</t>
  </si>
  <si>
    <t xml:space="preserve">PLN 23,250/mo UoP</t>
  </si>
  <si>
    <t xml:space="preserve">$5,929</t>
  </si>
  <si>
    <t xml:space="preserve">CPL/Devire data</t>
  </si>
  <si>
    <t xml:space="preserve">Java Senior UoP. Warsaw +15% vs avg city</t>
  </si>
  <si>
    <t xml:space="preserve">veritahr.com/poland-salary-guide-2026</t>
  </si>
  <si>
    <t xml:space="preserve">ITCompare.pl DevOps 2026</t>
  </si>
  <si>
    <t xml:space="preserve">PLN 21k-28.1k/mo B2B</t>
  </si>
  <si>
    <t xml:space="preserve">$6,375</t>
  </si>
  <si>
    <t xml:space="preserve">JustJoinIT + NFJ</t>
  </si>
  <si>
    <t xml:space="preserve">DevOps UoP 21k-28k. B2B premium ~20% more</t>
  </si>
  <si>
    <t xml:space="preserve">itcompare.pl/en-us/articles/87</t>
  </si>
  <si>
    <t xml:space="preserve">Alcor / BulldogJob 2026</t>
  </si>
  <si>
    <t xml:space="preserve">$7,270/mo avg senior</t>
  </si>
  <si>
    <t xml:space="preserve">$7,270</t>
  </si>
  <si>
    <t xml:space="preserve">BulldogJob survey</t>
  </si>
  <si>
    <t xml:space="preserve">Cited as 'Senior tech Poland ~$7,270/mo vs US $15,025'</t>
  </si>
  <si>
    <t xml:space="preserve">alcor.com/polish-developers-pros-cons-rates-insights</t>
  </si>
  <si>
    <t xml:space="preserve">PayScale PL Java Developer 2026</t>
  </si>
  <si>
    <t xml:space="preserve">PLN 202k/yr Senior Java</t>
  </si>
  <si>
    <t xml:space="preserve">$4,292</t>
  </si>
  <si>
    <t xml:space="preserve">29 responses</t>
  </si>
  <si>
    <t xml:space="preserve">Very small sample. Likely understated</t>
  </si>
  <si>
    <t xml:space="preserve">payscale.com/research/PL/Job=Java_Developer</t>
  </si>
  <si>
    <t xml:space="preserve">whatisthesalary.com PL 2026</t>
  </si>
  <si>
    <t xml:space="preserve">PLN 200-350k/yr senior</t>
  </si>
  <si>
    <t xml:space="preserve">$5,844</t>
  </si>
  <si>
    <t xml:space="preserve">Levels.fyi+PayScale</t>
  </si>
  <si>
    <t xml:space="preserve">Blended avg. Mid-market product companies</t>
  </si>
  <si>
    <t xml:space="preserve">whatisthesalary.com/it-salaries/software-engineer-salary-in-poland</t>
  </si>
  <si>
    <t xml:space="preserve">ITMAGINATION B2B AI/ML Poland</t>
  </si>
  <si>
    <t xml:space="preserve">PLN 14k-19.7k/mo B2B mid</t>
  </si>
  <si>
    <t xml:space="preserve">$4,208</t>
  </si>
  <si>
    <t xml:space="preserve">NFJ+JJIT+LinkedIn</t>
  </si>
  <si>
    <t xml:space="preserve">B2B rates. Backend proxy. AI premium ~8%</t>
  </si>
  <si>
    <t xml:space="preserve">itmagination.com/reports/ai-salaries-poland</t>
  </si>
  <si>
    <t xml:space="preserve">nexttechnology.io 2024+</t>
  </si>
  <si>
    <t xml:space="preserve">PLN 20.2k-27.8k senior</t>
  </si>
  <si>
    <t xml:space="preserve">Market report 2024</t>
  </si>
  <si>
    <t xml:space="preserve">2024 data +3.5% inflation adj. JustJoinIT source</t>
  </si>
  <si>
    <t xml:space="preserve">nexttechnology.io/salaries-of-it-specialists-in-poland</t>
  </si>
  <si>
    <t xml:space="preserve">Glassdoor PL Java (147 resp)</t>
  </si>
  <si>
    <t xml:space="preserve">PLN 9,458/mo avg</t>
  </si>
  <si>
    <t xml:space="preserve">$2,412</t>
  </si>
  <si>
    <t xml:space="preserve">147 responses</t>
  </si>
  <si>
    <t xml:space="preserve">⚠️ WARNING: Glassdoor PL shows anomalously low — likely annual/12 display bug</t>
  </si>
  <si>
    <t xml:space="preserve">glassdoor.com/poland-java-developer-salary</t>
  </si>
  <si>
    <t xml:space="preserve">Platy.cz Java Programmer 2026</t>
  </si>
  <si>
    <t xml:space="preserve">CZK 107,356/mo (after 5yr)</t>
  </si>
  <si>
    <t xml:space="preserve">$4,938</t>
  </si>
  <si>
    <t xml:space="preserve">Very High</t>
  </si>
  <si>
    <t xml:space="preserve">871 respondents</t>
  </si>
  <si>
    <t xml:space="preserve">Best local CZ source. 871 verified survey resp. Java-specific</t>
  </si>
  <si>
    <t xml:space="preserve">platy.cz/en/salaryinfo/information-technology/java-programmer</t>
  </si>
  <si>
    <t xml:space="preserve">Platy.cz Backend Developer 2026</t>
  </si>
  <si>
    <t xml:space="preserve">CZK 106,199/mo (after 5yr)</t>
  </si>
  <si>
    <t xml:space="preserve">$4,885</t>
  </si>
  <si>
    <t xml:space="preserve">Large sample</t>
  </si>
  <si>
    <t xml:space="preserve">Backend dev specific. Consistent with Java</t>
  </si>
  <si>
    <t xml:space="preserve">platy.cz/en/salaryinfo/information-technology/backend-developer</t>
  </si>
  <si>
    <t xml:space="preserve">Platy.cz Software Engineer 2026</t>
  </si>
  <si>
    <t xml:space="preserve">CZK 129,629/mo (after 5yr)</t>
  </si>
  <si>
    <t xml:space="preserve">$5,963</t>
  </si>
  <si>
    <t xml:space="preserve">1497 respondents</t>
  </si>
  <si>
    <t xml:space="preserve">Broader SE role. Highest Platy.cz value</t>
  </si>
  <si>
    <t xml:space="preserve">platy.cz/en/salaryinfo/information-technology/software-engineer</t>
  </si>
  <si>
    <t xml:space="preserve">Levels.fyi Czech Republic 2026</t>
  </si>
  <si>
    <t xml:space="preserve">CZK 1,377,334/yr avg</t>
  </si>
  <si>
    <t xml:space="preserve">$5,280</t>
  </si>
  <si>
    <t xml:space="preserve">Total comp incl bonuses. Updated 3/10/2026</t>
  </si>
  <si>
    <t xml:space="preserve">levels.fyi/t/software-engineer/locations/czech-republic</t>
  </si>
  <si>
    <t xml:space="preserve">Levels.fyi Prague Senior 2026</t>
  </si>
  <si>
    <t xml:space="preserve">CZK 1,480,987/yr avg Prague</t>
  </si>
  <si>
    <t xml:space="preserve">$5,677</t>
  </si>
  <si>
    <t xml:space="preserve">Prague premium. Senior range CZK 1.48M-1.87M</t>
  </si>
  <si>
    <t xml:space="preserve">whatisthesalary.com/it-salaries/software-engineer-salary-in-prague</t>
  </si>
  <si>
    <t xml:space="preserve">SalaryExpert ERI DevOps CZ</t>
  </si>
  <si>
    <t xml:space="preserve">CZK 1,282,216/yr (8+yr)</t>
  </si>
  <si>
    <t xml:space="preserve">$4,915</t>
  </si>
  <si>
    <t xml:space="preserve">DevOps senior 8yr+. Country avg</t>
  </si>
  <si>
    <t xml:space="preserve">salaryexpert.com/salary/job/devops-engineer/czech-republic</t>
  </si>
  <si>
    <t xml:space="preserve">Oracle Prague Levels.fyi</t>
  </si>
  <si>
    <t xml:space="preserve">CZK 1,248,172/yr median</t>
  </si>
  <si>
    <t xml:space="preserve">$4,785</t>
  </si>
  <si>
    <t xml:space="preserve">Verified submissions</t>
  </si>
  <si>
    <t xml:space="preserve">Multinational benchmark. Oracle Prague</t>
  </si>
  <si>
    <t xml:space="preserve">levels.fyi/companies/oracle/salaries/software-engineer/locations/czech-republic</t>
  </si>
  <si>
    <t xml:space="preserve">PayScale CZ Software Dev 2025</t>
  </si>
  <si>
    <t xml:space="preserve">CZK 60,000/mo avg</t>
  </si>
  <si>
    <t xml:space="preserve">$2,760</t>
  </si>
  <si>
    <t xml:space="preserve">Small sample</t>
  </si>
  <si>
    <t xml:space="preserve">Conservative. Low response count</t>
  </si>
  <si>
    <t xml:space="preserve">payscale.com/research/CZ/Job=Software_Developer</t>
  </si>
  <si>
    <t xml:space="preserve">Glassdoor DE SE 6615 resp May2026</t>
  </si>
  <si>
    <t xml:space="preserve">€63,163/yr avg (25p-75p)</t>
  </si>
  <si>
    <t xml:space="preserve">$5,950</t>
  </si>
  <si>
    <t xml:space="preserve">6,615 responses</t>
  </si>
  <si>
    <t xml:space="preserve">Largest Glassdoor DE sample. 25p=€51,700; 75p=€74,625</t>
  </si>
  <si>
    <t xml:space="preserve">glassdoor.com/germany-software-developer-salary</t>
  </si>
  <si>
    <t xml:space="preserve">PayScale DE Java Developer 2026</t>
  </si>
  <si>
    <t xml:space="preserve">€58,643/yr avg</t>
  </si>
  <si>
    <t xml:space="preserve">$5,522</t>
  </si>
  <si>
    <t xml:space="preserve">Market survey</t>
  </si>
  <si>
    <t xml:space="preserve">Java-specific Germany. Multi-source</t>
  </si>
  <si>
    <t xml:space="preserve">payscale.com/research/DE/Job=Java_Developer</t>
  </si>
  <si>
    <t xml:space="preserve">StepStone / stackfuel.com 2026</t>
  </si>
  <si>
    <t xml:space="preserve">€58k-72k avg IT sector</t>
  </si>
  <si>
    <t xml:space="preserve">$7,083</t>
  </si>
  <si>
    <t xml:space="preserve">StepStone DB</t>
  </si>
  <si>
    <t xml:space="preserve">IT sector avg. Munich senior up to €85k</t>
  </si>
  <si>
    <t xml:space="preserve">stackfuel.com/en/blog/software-developer-salary</t>
  </si>
  <si>
    <t xml:space="preserve">Levels.fyi DE Senior SE May2026</t>
  </si>
  <si>
    <t xml:space="preserve">€80,610-114,282/yr range</t>
  </si>
  <si>
    <t xml:space="preserve">$9,176</t>
  </si>
  <si>
    <t xml:space="preserve">Range avg €97,446. Includes RSU</t>
  </si>
  <si>
    <t xml:space="preserve">levels.fyi/t/software-engineer/levels/senior/locations/germany</t>
  </si>
  <si>
    <t xml:space="preserve">FMC Group DE employment guide</t>
  </si>
  <si>
    <t xml:space="preserve">€80k-100k/yr senior backend</t>
  </si>
  <si>
    <t xml:space="preserve">$8,438</t>
  </si>
  <si>
    <t xml:space="preserve">HR consultancy</t>
  </si>
  <si>
    <t xml:space="preserve">Germany employment cost guide 2026</t>
  </si>
  <si>
    <t xml:space="preserve">fmcgroup.com/employment-cost-germany</t>
  </si>
  <si>
    <t xml:space="preserve">whatisthesalary.com DE 2026</t>
  </si>
  <si>
    <t xml:space="preserve">avg €74,750 gross</t>
  </si>
  <si>
    <t xml:space="preserve">$7,038</t>
  </si>
  <si>
    <t xml:space="preserve">Country avg all levels. Mid ~€70k</t>
  </si>
  <si>
    <t xml:space="preserve">whatisthesalary.com/it-salaries/software-engineer-salary-in-germany</t>
  </si>
  <si>
    <t xml:space="preserve">Glassdoor Amsterdam SE Apr2026</t>
  </si>
  <si>
    <t xml:space="preserve">€94,375/yr avg (3290 resp)</t>
  </si>
  <si>
    <t xml:space="preserve">$8,882</t>
  </si>
  <si>
    <t xml:space="preserve">3,290 responses</t>
  </si>
  <si>
    <t xml:space="preserve">Amsterdam-specific. 25p=€70,750; 75p=€118k. Updated Apr2026</t>
  </si>
  <si>
    <t xml:space="preserve">glassdoor.com/amsterdam-netherlands-software-engineer-salary</t>
  </si>
  <si>
    <t xml:space="preserve">Glassdoor Amsterdam Snr SE</t>
  </si>
  <si>
    <t xml:space="preserve">€100,000/yr avg (2163 resp)</t>
  </si>
  <si>
    <t xml:space="preserve">$9,417</t>
  </si>
  <si>
    <t xml:space="preserve">2,163 responses</t>
  </si>
  <si>
    <t xml:space="preserve">Senior-specific. Avg €100k. May2026</t>
  </si>
  <si>
    <t xml:space="preserve">glassdoor.com/amsterdam-netherlands-senior-software-engineer</t>
  </si>
  <si>
    <t xml:space="preserve">Levels.fyi NL SE May2026</t>
  </si>
  <si>
    <t xml:space="preserve">€90,872/yr avg</t>
  </si>
  <si>
    <t xml:space="preserve">$8,557</t>
  </si>
  <si>
    <t xml:space="preserve">Total comp NL. Updated 5/16/2026</t>
  </si>
  <si>
    <t xml:space="preserve">levels.fyi/t/software-engineer/locations/netherlands</t>
  </si>
  <si>
    <t xml:space="preserve">Levels.fyi Amsterdam Senior</t>
  </si>
  <si>
    <t xml:space="preserve">€91,960-148,378 range</t>
  </si>
  <si>
    <t xml:space="preserve">$11,315</t>
  </si>
  <si>
    <t xml:space="preserve">Amsterdam senior range avg €120k. Updated 5/12/2026</t>
  </si>
  <si>
    <t xml:space="preserve">levels.fyi/t/software-engineer/levels/senior/locations/amsterdam-nld</t>
  </si>
  <si>
    <t xml:space="preserve">Glassdoor Amsterdam DevOps</t>
  </si>
  <si>
    <t xml:space="preserve">€58,000-82,000 (533 resp)</t>
  </si>
  <si>
    <t xml:space="preserve">$6,347</t>
  </si>
  <si>
    <t xml:space="preserve">533 responses</t>
  </si>
  <si>
    <t xml:space="preserve">DevOps specific. Amsterdam. Apr2026</t>
  </si>
  <si>
    <t xml:space="preserve">glassdoor.com/amsterdam-devops-engineer-salary</t>
  </si>
  <si>
    <t xml:space="preserve">PayScale NL Java mid-career</t>
  </si>
  <si>
    <t xml:space="preserve">€56,500/yr avg</t>
  </si>
  <si>
    <t xml:space="preserve">$5,320</t>
  </si>
  <si>
    <t xml:space="preserve">Java-specific NL. 90p=€109k</t>
  </si>
  <si>
    <t xml:space="preserve">payscale.com/research/NL/Job=Java_Software_Developer</t>
  </si>
  <si>
    <t xml:space="preserve">Ravio + whatisthesalary NL 2026</t>
  </si>
  <si>
    <t xml:space="preserve">€80k-110k base senior</t>
  </si>
  <si>
    <t xml:space="preserve">$9,134</t>
  </si>
  <si>
    <t xml:space="preserve">Ravio HR data</t>
  </si>
  <si>
    <t xml:space="preserve">Senior base avg €95k. Ravio 2026 trends €110k</t>
  </si>
  <si>
    <t xml:space="preserve">whatisthesalary.com/it-salaries/software-engineer-salary-in-netherlands</t>
  </si>
  <si>
    <t xml:space="preserve">GEOR / GermanTechJobs 2025</t>
  </si>
  <si>
    <t xml:space="preserve">$65k+/yr country avg</t>
  </si>
  <si>
    <t xml:space="preserve">$5,417</t>
  </si>
  <si>
    <t xml:space="preserve">Conservative country-level average. Underestimates market</t>
  </si>
  <si>
    <t xml:space="preserve">ITJobsWatch Senior Java 18May2026</t>
  </si>
  <si>
    <t xml:space="preserve">£75,000/yr median (UK)</t>
  </si>
  <si>
    <t xml:space="preserve">$7,938</t>
  </si>
  <si>
    <t xml:space="preserve">Live vacancies</t>
  </si>
  <si>
    <t xml:space="preserve">BEST UK SOURCE. Real job posting medians. Updated 18 May 2026</t>
  </si>
  <si>
    <t xml:space="preserve">itjobswatch.co.uk/jobs/uk/senior+java+developer.do</t>
  </si>
  <si>
    <t xml:space="preserve">ITJobsWatch Senior Dev 14May2026</t>
  </si>
  <si>
    <t xml:space="preserve">£70,000/yr median (UK)</t>
  </si>
  <si>
    <t xml:space="preserve">$7,408</t>
  </si>
  <si>
    <t xml:space="preserve">Senior Developer (all tech) median. 14 May 2026</t>
  </si>
  <si>
    <t xml:space="preserve">itjobswatch.co.uk/jobs/uk/senior+developer.do</t>
  </si>
  <si>
    <t xml:space="preserve">Glassdoor UK Snr Java 759 resp</t>
  </si>
  <si>
    <t xml:space="preserve">£66,762/yr avg (UK-wide)</t>
  </si>
  <si>
    <t xml:space="preserve">$7,066</t>
  </si>
  <si>
    <t xml:space="preserve">759 responses</t>
  </si>
  <si>
    <t xml:space="preserve">UK national avg. 25p=£52k; 75p=£86k. May2026</t>
  </si>
  <si>
    <t xml:space="preserve">glassdoor.co.uk/senior-java-developer-salary</t>
  </si>
  <si>
    <t xml:space="preserve">Glassdoor London Snr Java 427resp</t>
  </si>
  <si>
    <t xml:space="preserve">£75,495/yr avg (London)</t>
  </si>
  <si>
    <t xml:space="preserve">$7,990</t>
  </si>
  <si>
    <t xml:space="preserve">427 responses</t>
  </si>
  <si>
    <t xml:space="preserve">London premium. Mar2026</t>
  </si>
  <si>
    <t xml:space="preserve">glassdoor.co.uk/london-senior-java-developer-salary</t>
  </si>
  <si>
    <t xml:space="preserve">Indeed UK Snr Java 512 salaries</t>
  </si>
  <si>
    <t xml:space="preserve">£69,095/yr avg</t>
  </si>
  <si>
    <t xml:space="preserve">$7,313</t>
  </si>
  <si>
    <t xml:space="preserve">512 salaries</t>
  </si>
  <si>
    <t xml:space="preserve">Updated 11 May 2026</t>
  </si>
  <si>
    <t xml:space="preserve">uk.indeed.com/career/senior-java-developer/salaries</t>
  </si>
  <si>
    <t xml:space="preserve">PayScale UK Senior Java London</t>
  </si>
  <si>
    <t xml:space="preserve">£79,249/yr London</t>
  </si>
  <si>
    <t xml:space="preserve">$8,387</t>
  </si>
  <si>
    <t xml:space="preserve">London-specific senior</t>
  </si>
  <si>
    <t xml:space="preserve">payscale.com/senior-java-developer-salary/London</t>
  </si>
  <si>
    <t xml:space="preserve">PayScale UK Java Developer avg</t>
  </si>
  <si>
    <t xml:space="preserve">£41,564/yr avg</t>
  </si>
  <si>
    <t xml:space="preserve">$4,400</t>
  </si>
  <si>
    <t xml:space="preserve">All Java Dev UK incl junior, pulls avg down</t>
  </si>
  <si>
    <t xml:space="preserve">payscale.com/research/UK/Job=Java_Developer</t>
  </si>
  <si>
    <t xml:space="preserve">Glassdoor UK Java Dev 755 resp</t>
  </si>
  <si>
    <t xml:space="preserve">£49,380/yr avg</t>
  </si>
  <si>
    <t xml:space="preserve">$5,226</t>
  </si>
  <si>
    <t xml:space="preserve">755 responses</t>
  </si>
  <si>
    <t xml:space="preserve">Java Developer (mixed levels). 25p=£36k; 75p=£67k</t>
  </si>
  <si>
    <t xml:space="preserve">glassdoor.co.uk/java-developer-salary</t>
  </si>
  <si>
    <t xml:space="preserve">BLS OEWS 2024 official</t>
  </si>
  <si>
    <t xml:space="preserve">$130,160/yr median</t>
  </si>
  <si>
    <t xml:space="preserve">$10,847</t>
  </si>
  <si>
    <t xml:space="preserve">National survey</t>
  </si>
  <si>
    <t xml:space="preserve">Most authoritative. US Govt. All SW devs median</t>
  </si>
  <si>
    <t xml:space="preserve">bls.gov/ooes/software-developers</t>
  </si>
  <si>
    <t xml:space="preserve">Glassdoor SE USA May2026</t>
  </si>
  <si>
    <t xml:space="preserve">$149,070/yr avg base</t>
  </si>
  <si>
    <t xml:space="preserve">$12,423</t>
  </si>
  <si>
    <t xml:space="preserve">Millions of responses</t>
  </si>
  <si>
    <t xml:space="preserve">Glassdoor avg SE USA. 25p=$120k; 75p=$173k</t>
  </si>
  <si>
    <t xml:space="preserve">glassdoor.com/software-developer-salary</t>
  </si>
  <si>
    <t xml:space="preserve">ZipRecruiter SE USA Apr2026</t>
  </si>
  <si>
    <t xml:space="preserve">$147,524/yr avg</t>
  </si>
  <si>
    <t xml:space="preserve">$12,294</t>
  </si>
  <si>
    <t xml:space="preserve">25th pct=$120k; 75th pct=$173k. Apr7,2026</t>
  </si>
  <si>
    <t xml:space="preserve">ziprecruiter.com/salaries/software-engineer</t>
  </si>
  <si>
    <t xml:space="preserve">ZipRecruiter Snr Java SE Feb2026</t>
  </si>
  <si>
    <t xml:space="preserve">$150,928/yr avg</t>
  </si>
  <si>
    <t xml:space="preserve">$12,577</t>
  </si>
  <si>
    <t xml:space="preserve">Senior Java specific. 25p=$125k; 75p=$164.5k</t>
  </si>
  <si>
    <t xml:space="preserve">ziprecruiter.com/salaries/senior-java-software-engineer</t>
  </si>
  <si>
    <t xml:space="preserve">KORE1 DevOps Salary Guide 2026</t>
  </si>
  <si>
    <t xml:space="preserve">$140k-175k senior base</t>
  </si>
  <si>
    <t xml:space="preserve">$13,125</t>
  </si>
  <si>
    <t xml:space="preserve">KORE1 recruiter data</t>
  </si>
  <si>
    <t xml:space="preserve">DevOps 7+yr. Cross-referenced Glassdoor/ZipRecruiter/Built In</t>
  </si>
  <si>
    <t xml:space="preserve">kore1.com/devops-engineer-salary-guide</t>
  </si>
  <si>
    <t xml:space="preserve">Coursera DevOps avg Apr2026</t>
  </si>
  <si>
    <t xml:space="preserve">$144,000/yr avg DevOps</t>
  </si>
  <si>
    <t xml:space="preserve">$12,000</t>
  </si>
  <si>
    <t xml:space="preserve">Glassdoor+BLS</t>
  </si>
  <si>
    <t xml:space="preserve">Average all DevOps US. Apr2026</t>
  </si>
  <si>
    <t xml:space="preserve">coursera.org/articles/devops-engineer-salary</t>
  </si>
  <si>
    <t xml:space="preserve">Levels.fyi USA SE May2026</t>
  </si>
  <si>
    <t xml:space="preserve">$191,625/yr MEDIAN TOTAL</t>
  </si>
  <si>
    <t xml:space="preserve">$15,969</t>
  </si>
  <si>
    <t xml:space="preserve">⚠️ TOTAL COMP incl RSU/bonus. NOT base salary. Excludes from avg</t>
  </si>
  <si>
    <t xml:space="preserve">levels.fyi/t/software-engineer</t>
  </si>
  <si>
    <t xml:space="preserve">PayScale US Software Dev 2026</t>
  </si>
  <si>
    <t xml:space="preserve">$97,804/yr avg</t>
  </si>
  <si>
    <t xml:space="preserve">$8,150</t>
  </si>
  <si>
    <t xml:space="preserve">Skewed sample</t>
  </si>
  <si>
    <t xml:space="preserve">Likely includes many junior/mid-level. Below market</t>
  </si>
  <si>
    <t xml:space="preserve">payscale.com/research/US/Job=Software_Developer</t>
  </si>
  <si>
    <t xml:space="preserve">itjobs.pt local FTE 2026</t>
  </si>
  <si>
    <t xml:space="preserve">PT</t>
  </si>
  <si>
    <t xml:space="preserve">€5,000-6,000/mo gross</t>
  </si>
  <si>
    <t xml:space="preserve">$6,215</t>
  </si>
  <si>
    <t xml:space="preserve">Local market</t>
  </si>
  <si>
    <t xml:space="preserve">Portugal IT job board. Local FTE rates (not remote)</t>
  </si>
  <si>
    <t xml:space="preserve">itjobs.pt</t>
  </si>
  <si>
    <t xml:space="preserve">whatisthesalary.com PT 2026</t>
  </si>
  <si>
    <t xml:space="preserve">€55k-70k/yr senior</t>
  </si>
  <si>
    <t xml:space="preserve">$5,885</t>
  </si>
  <si>
    <t xml:space="preserve">Mid-level €42-52k; Senior €55-70k. FTE local</t>
  </si>
  <si>
    <t xml:space="preserve">whatisthesalary.com/software-engineer-salary-portugal</t>
  </si>
  <si>
    <t xml:space="preserve">Glassdoor PT local (not remote)</t>
  </si>
  <si>
    <t xml:space="preserve">~€55k/yr senior local</t>
  </si>
  <si>
    <t xml:space="preserve">$5,179</t>
  </si>
  <si>
    <t xml:space="preserve">Local submissions</t>
  </si>
  <si>
    <t xml:space="preserve">Filtering remote-only submissions. Local FTE focus</t>
  </si>
  <si>
    <t xml:space="preserve">glassdoor.pt</t>
  </si>
  <si>
    <t xml:space="preserve">Arc.dev remote PT 2026</t>
  </si>
  <si>
    <t xml:space="preserve">$61,608/yr remote avg</t>
  </si>
  <si>
    <t xml:space="preserve">$5,134</t>
  </si>
  <si>
    <t xml:space="preserve">Remote premium</t>
  </si>
  <si>
    <t xml:space="preserve">Remote workers only — above local market</t>
  </si>
  <si>
    <t xml:space="preserve">arc.dev/salaries/software-engineers-in-portugal</t>
  </si>
  <si>
    <t xml:space="preserve">PayScale PT Software Dev 2026</t>
  </si>
  <si>
    <t xml:space="preserve">€25,182/yr avg</t>
  </si>
  <si>
    <t xml:space="preserve">$2,371</t>
  </si>
  <si>
    <t xml:space="preserve">Very Low</t>
  </si>
  <si>
    <t xml:space="preserve">Very small sample</t>
  </si>
  <si>
    <t xml:space="preserve">⚠️ EXCLUDED: obvious undercount, small sample, includes part-time</t>
  </si>
  <si>
    <t xml:space="preserve">payscale.com/research/PT/Job=Software_Developer</t>
  </si>
  <si>
    <t xml:space="preserve">Jobicy PT remote 2026</t>
  </si>
  <si>
    <t xml:space="preserve">$81.6k-122.4k/yr senior</t>
  </si>
  <si>
    <t xml:space="preserve">$8,500</t>
  </si>
  <si>
    <t xml:space="preserve">Remote roles only</t>
  </si>
  <si>
    <t xml:space="preserve">⚠️ EXCLUDED: remote international roles, not local PT market</t>
  </si>
  <si>
    <t xml:space="preserve">jobicy.com/salaries/pt/software-developer</t>
  </si>
  <si>
    <t xml:space="preserve">S1 | GROSS — FTE Model (market salary comparison)</t>
  </si>
  <si>
    <t xml:space="preserve">Market Gross Salary USD/month under FTE model. UA=FOP gross as reference. Compare what the market pays before any deductions.</t>
  </si>
  <si>
    <t xml:space="preserve">🇺🇦 Ukraine
FOP</t>
  </si>
  <si>
    <t xml:space="preserve">🇵🇱 Poland
FTE</t>
  </si>
  <si>
    <t xml:space="preserve">🇬🇧 UK
FTE</t>
  </si>
  <si>
    <t xml:space="preserve">🇺🇸 USA
FTE</t>
  </si>
  <si>
    <t xml:space="preserve">🇩🇪 Germany
FTE</t>
  </si>
  <si>
    <t xml:space="preserve">🇳🇱 Netherlands
FTE</t>
  </si>
  <si>
    <t xml:space="preserve">🇨🇿 Czech Rep.
FTE</t>
  </si>
  <si>
    <t xml:space="preserve">🇵🇹 Portugal
FTE</t>
  </si>
  <si>
    <t xml:space="preserve">🇷🇴 Romania
FTE</t>
  </si>
  <si>
    <t xml:space="preserve">AVERAGE — all positions in this view</t>
  </si>
  <si>
    <t xml:space="preserve">S2 | NET — FTE Model (employee take-home)</t>
  </si>
  <si>
    <t xml:space="preserve">Net salary USD/month after all employee taxes (ПДФО + social). What the specialist actually receives in hand.</t>
  </si>
  <si>
    <t xml:space="preserve">S3 | TOTAL COST — FTE Model</t>
  </si>
  <si>
    <t xml:space="preserve">Total cost to company USD/month under FTE: Gross + all employer contributions. This is what appears on your P&amp;L.</t>
  </si>
  <si>
    <t xml:space="preserve">S4 | TOTAL COST — B2B / Contractor</t>
  </si>
  <si>
    <t xml:space="preserve">Total cost under B2B/contractor model. UA=FOP, PL=JDG, UK=IR35, US=1099, DE=Freiberufler, NL=ZZP, CZ=Živnost, PT=Recibos Verdes, RO=Micro SRL. No employer social contributions.</t>
  </si>
  <si>
    <t xml:space="preserve">🇵🇱 Poland
B2B</t>
  </si>
  <si>
    <t xml:space="preserve">🇬🇧 UK
B2B</t>
  </si>
  <si>
    <t xml:space="preserve">🇺🇸 USA
B2B</t>
  </si>
  <si>
    <t xml:space="preserve">🇩🇪 Germany
B2B</t>
  </si>
  <si>
    <t xml:space="preserve">🇳🇱 Netherlands
B2B</t>
  </si>
  <si>
    <t xml:space="preserve">🇨🇿 Czech Rep.
B2B</t>
  </si>
  <si>
    <t xml:space="preserve">🇵🇹 Portugal
B2B</t>
  </si>
  <si>
    <t xml:space="preserve">🇷🇴 Romania
B2B</t>
  </si>
  <si>
    <t xml:space="preserve">S5 | TOTAL COST — EOR Model (+$500/mo fee)</t>
  </si>
  <si>
    <t xml:space="preserve">Total cost via Employer of Record (Deel/Remote). FTE taxes + $500/mo EOR service fee. No local legal entity needed.</t>
  </si>
  <si>
    <t xml:space="preserve">🇵🇱 Poland
EOR</t>
  </si>
  <si>
    <t xml:space="preserve">🇬🇧 UK
EOR</t>
  </si>
  <si>
    <t xml:space="preserve">🇺🇸 USA
EOR</t>
  </si>
  <si>
    <t xml:space="preserve">🇩🇪 Germany
EOR</t>
  </si>
  <si>
    <t xml:space="preserve">🇳🇱 Netherlands
EOR</t>
  </si>
  <si>
    <t xml:space="preserve">🇨🇿 Czech Rep.
EOR</t>
  </si>
  <si>
    <t xml:space="preserve">🇵🇹 Portugal
EOR</t>
  </si>
  <si>
    <t xml:space="preserve">🇷🇴 Romania
EOR</t>
  </si>
  <si>
    <t xml:space="preserve">S6 | EMPLOYER OVERHEAD % — FTE Model</t>
  </si>
  <si>
    <t xml:space="preserve">Overhead % = Employer contributions / Gross. Shows the % the company pays ON TOP of gross salary. UA~3-5% vs EU 14-34%.</t>
  </si>
  <si>
    <t xml:space="preserve">S7 | TOTAL COST — Middle grade only (FTE)</t>
  </si>
  <si>
    <t xml:space="preserve">Total cost for Middle-grade specialists, FTE model, all 23 positions × 9 countries.</t>
  </si>
  <si>
    <t xml:space="preserve">S8 | TOTAL COST — Senior grade only (FTE)</t>
  </si>
  <si>
    <t xml:space="preserve">Total cost for Senior-grade specialists, FTE model, all 23 positions × 9 countries.</t>
  </si>
  <si>
    <t xml:space="preserve">S9 | KEY POSITIONS — BE Java / FS Node / QA / DevOps (FTE)</t>
  </si>
  <si>
    <t xml:space="preserve">Focus view: highest-volume positions for strategic hiring decisions.</t>
  </si>
  <si>
    <t xml:space="preserve">S10 | NET — B2B/Contractor Model</t>
  </si>
  <si>
    <t xml:space="preserve">Net take-home for specialist under B2B/contractor model. Useful for recruiting negotiations.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</si>
</sst>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-0.0%;\-"/>
    <numFmt numFmtId="166" formatCode="\$#,##0;&quot;($&quot;#,##0\);\-"/>
    <numFmt numFmtId="167" formatCode="0.0%"/>
    <numFmt numFmtId="168" formatCode="\$#,##0"/>
    <numFmt numFmtId="169" formatCode="0.00\x"/>
  </numFmts>
  <fonts count="22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8"/>
      <color rgb="FF33333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i val="true"/>
      <sz val="8"/>
      <color rgb="FF555555"/>
      <name val="Arial"/>
      <family val="0"/>
      <charset val="1"/>
    </font>
    <font>
      <sz val="8"/>
      <color rgb="FF1565C0"/>
      <name val="Arial"/>
      <family val="0"/>
      <charset val="1"/>
    </font>
    <font>
      <sz val="8"/>
      <color rgb="FFC62828"/>
      <name val="Arial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595959"/>
        <bgColor rgb="FF555555"/>
      </patternFill>
    </fill>
    <fill>
      <patternFill patternType="solid">
        <fgColor rgb="FFF7FBFF"/>
        <bgColor rgb="FFFAFAFA"/>
      </patternFill>
    </fill>
    <fill>
      <patternFill patternType="solid">
        <fgColor rgb="FFEBF3FB"/>
        <bgColor rgb="FFF0F4FA"/>
      </patternFill>
    </fill>
    <fill>
      <patternFill patternType="solid">
        <fgColor rgb="FFFAFAFA"/>
        <bgColor rgb="FFF9F9F9"/>
      </patternFill>
    </fill>
    <fill>
      <patternFill patternType="solid">
        <fgColor rgb="FFFFFFFF"/>
        <bgColor rgb="FFFAFAFA"/>
      </patternFill>
    </fill>
    <fill>
      <patternFill patternType="solid">
        <fgColor rgb="FF375623"/>
        <bgColor rgb="FF555555"/>
      </patternFill>
    </fill>
    <fill>
      <patternFill patternType="solid">
        <fgColor rgb="FFC65911"/>
        <bgColor rgb="FFC62828"/>
      </patternFill>
    </fill>
    <fill>
      <patternFill patternType="solid">
        <fgColor rgb="FFA32323"/>
        <bgColor rgb="FFC62828"/>
      </patternFill>
    </fill>
    <fill>
      <patternFill patternType="solid">
        <fgColor rgb="FF2E75B6"/>
        <bgColor rgb="FF1565C0"/>
      </patternFill>
    </fill>
    <fill>
      <patternFill patternType="solid">
        <fgColor rgb="FFFCE4D6"/>
        <bgColor rgb="FFFFEBEE"/>
      </patternFill>
    </fill>
    <fill>
      <patternFill patternType="solid">
        <fgColor rgb="FFE2EFDA"/>
        <bgColor rgb="FFE8F5E9"/>
      </patternFill>
    </fill>
    <fill>
      <patternFill patternType="solid">
        <fgColor rgb="FFFFFF00"/>
        <bgColor rgb="FFFFF2CC"/>
      </patternFill>
    </fill>
    <fill>
      <patternFill patternType="solid">
        <fgColor rgb="FFFFF2CC"/>
        <bgColor rgb="FFFFF3CD"/>
      </patternFill>
    </fill>
    <fill>
      <patternFill patternType="solid">
        <fgColor rgb="FFF0F4FA"/>
        <bgColor rgb="FFEBF3FB"/>
      </patternFill>
    </fill>
    <fill>
      <patternFill patternType="solid">
        <fgColor rgb="FFF2F2F2"/>
        <bgColor rgb="FFF0F4FA"/>
      </patternFill>
    </fill>
    <fill>
      <patternFill patternType="solid">
        <fgColor rgb="FFDEEAF1"/>
        <bgColor rgb="FFE2EFDA"/>
      </patternFill>
    </fill>
    <fill>
      <patternFill patternType="solid">
        <fgColor rgb="FFD9D9D9"/>
        <bgColor rgb="FFDEEAF1"/>
      </patternFill>
    </fill>
    <fill>
      <patternFill patternType="solid">
        <fgColor rgb="FFF9F9F9"/>
        <bgColor rgb="FFFAFAFA"/>
      </patternFill>
    </fill>
    <fill>
      <patternFill patternType="solid">
        <fgColor rgb="FFFFF3CD"/>
        <bgColor rgb="FFFFF2CC"/>
      </patternFill>
    </fill>
    <fill>
      <patternFill patternType="solid">
        <fgColor rgb="FFFFF8E1"/>
        <bgColor rgb="FFFFF3E0"/>
      </patternFill>
    </fill>
    <fill>
      <patternFill patternType="solid">
        <fgColor rgb="FFF1F8E9"/>
        <bgColor rgb="FFE8F5E9"/>
      </patternFill>
    </fill>
    <fill>
      <patternFill patternType="solid">
        <fgColor rgb="FFFFF3E0"/>
        <bgColor rgb="FFFFF8E1"/>
      </patternFill>
    </fill>
    <fill>
      <patternFill patternType="solid">
        <fgColor rgb="FFE8F5E9"/>
        <bgColor rgb="FFF1F8E9"/>
      </patternFill>
    </fill>
    <fill>
      <patternFill patternType="solid">
        <fgColor rgb="FFFFEBEE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2" fillId="1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1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12" fillId="1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2" fillId="1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12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2" fillId="1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1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1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1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8" fillId="1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1" fillId="1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1" fillId="1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8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8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1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8" fillId="1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1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1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2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21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2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2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2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2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2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2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2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2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2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2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2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2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2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2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2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2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2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2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2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2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2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2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2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0" fillId="11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8" fillId="1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8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8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0" fillId="11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EEAF1"/>
      <rgbColor rgb="FF808080"/>
      <rgbColor rgb="FFF1F8E9"/>
      <rgbColor rgb="FFC62828"/>
      <rgbColor rgb="FFFFF8E1"/>
      <rgbColor rgb="FFE8F5E9"/>
      <rgbColor rgb="FF660066"/>
      <rgbColor rgb="FFF9F9F9"/>
      <rgbColor rgb="FF1565C0"/>
      <rgbColor rgb="FFD9D9D9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3CD"/>
      <rgbColor rgb="FFF0F4FA"/>
      <rgbColor rgb="FFFFEBEE"/>
      <rgbColor rgb="FFF2F2F2"/>
      <rgbColor rgb="FFFCE4D6"/>
      <rgbColor rgb="FF2E75B6"/>
      <rgbColor rgb="FF33CCCC"/>
      <rgbColor rgb="FFFAFAFA"/>
      <rgbColor rgb="FFFFF3E0"/>
      <rgbColor rgb="FFF7FBFF"/>
      <rgbColor rgb="FFC65911"/>
      <rgbColor rgb="FF595959"/>
      <rgbColor rgb="FFAAAAAA"/>
      <rgbColor rgb="FF1F3864"/>
      <rgbColor rgb="FF339966"/>
      <rgbColor rgb="FF003300"/>
      <rgbColor rgb="FF375623"/>
      <rgbColor rgb="FFA32323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8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52"/>
  </cols>
  <sheetData>
    <row r="1" customFormat="false" ht="27.75" hidden="false" customHeight="true" outlineLevel="0" collapsed="false">
      <c r="A1" s="2" t="s">
        <v>0</v>
      </c>
      <c r="B1" s="2"/>
      <c r="C1" s="2"/>
      <c r="D1" s="2"/>
    </row>
    <row r="3" customFormat="false" ht="21.75" hidden="false" customHeight="true" outlineLevel="0" collapsed="false">
      <c r="A3" s="3" t="s">
        <v>1</v>
      </c>
      <c r="B3" s="3"/>
      <c r="C3" s="3"/>
      <c r="D3" s="3"/>
    </row>
    <row r="4" customFormat="false" ht="18" hidden="false" customHeight="true" outlineLevel="0" collapsed="false">
      <c r="A4" s="4" t="s">
        <v>2</v>
      </c>
      <c r="B4" s="4" t="s">
        <v>3</v>
      </c>
      <c r="C4" s="4"/>
      <c r="D4" s="4" t="s">
        <v>4</v>
      </c>
    </row>
    <row r="5" customFormat="false" ht="19.5" hidden="false" customHeight="true" outlineLevel="0" collapsed="false">
      <c r="A5" s="5" t="s">
        <v>5</v>
      </c>
      <c r="B5" s="6" t="s">
        <v>6</v>
      </c>
      <c r="C5" s="6"/>
      <c r="D5" s="7" t="s">
        <v>7</v>
      </c>
    </row>
    <row r="6" customFormat="false" ht="19.5" hidden="false" customHeight="true" outlineLevel="0" collapsed="false">
      <c r="A6" s="8" t="s">
        <v>8</v>
      </c>
      <c r="B6" s="6" t="s">
        <v>9</v>
      </c>
      <c r="C6" s="6"/>
      <c r="D6" s="7" t="s">
        <v>10</v>
      </c>
    </row>
    <row r="7" customFormat="false" ht="19.5" hidden="false" customHeight="true" outlineLevel="0" collapsed="false">
      <c r="A7" s="5" t="s">
        <v>11</v>
      </c>
      <c r="B7" s="6" t="s">
        <v>12</v>
      </c>
      <c r="C7" s="6"/>
      <c r="D7" s="7" t="s">
        <v>13</v>
      </c>
    </row>
    <row r="8" customFormat="false" ht="19.5" hidden="false" customHeight="true" outlineLevel="0" collapsed="false">
      <c r="A8" s="8" t="s">
        <v>14</v>
      </c>
      <c r="B8" s="6" t="s">
        <v>15</v>
      </c>
      <c r="C8" s="6"/>
      <c r="D8" s="7" t="s">
        <v>16</v>
      </c>
    </row>
    <row r="9" customFormat="false" ht="19.5" hidden="false" customHeight="true" outlineLevel="0" collapsed="false">
      <c r="A9" s="5" t="s">
        <v>17</v>
      </c>
      <c r="B9" s="6" t="s">
        <v>18</v>
      </c>
      <c r="C9" s="6"/>
      <c r="D9" s="7" t="s">
        <v>19</v>
      </c>
    </row>
    <row r="10" customFormat="false" ht="19.5" hidden="false" customHeight="true" outlineLevel="0" collapsed="false">
      <c r="A10" s="8" t="s">
        <v>20</v>
      </c>
      <c r="B10" s="6" t="s">
        <v>21</v>
      </c>
      <c r="C10" s="6"/>
      <c r="D10" s="7" t="s">
        <v>22</v>
      </c>
    </row>
    <row r="11" customFormat="false" ht="19.5" hidden="false" customHeight="true" outlineLevel="0" collapsed="false">
      <c r="A11" s="5" t="s">
        <v>23</v>
      </c>
      <c r="B11" s="6" t="s">
        <v>24</v>
      </c>
      <c r="C11" s="6"/>
      <c r="D11" s="7" t="s">
        <v>25</v>
      </c>
    </row>
    <row r="12" customFormat="false" ht="19.5" hidden="false" customHeight="true" outlineLevel="0" collapsed="false">
      <c r="A12" s="8" t="s">
        <v>26</v>
      </c>
      <c r="B12" s="6" t="s">
        <v>27</v>
      </c>
      <c r="C12" s="6"/>
      <c r="D12" s="7" t="s">
        <v>28</v>
      </c>
    </row>
    <row r="15" customFormat="false" ht="21.75" hidden="false" customHeight="true" outlineLevel="0" collapsed="false">
      <c r="A15" s="9" t="s">
        <v>29</v>
      </c>
      <c r="B15" s="9"/>
      <c r="C15" s="9"/>
      <c r="D15" s="9"/>
    </row>
    <row r="16" customFormat="false" ht="18" hidden="false" customHeight="true" outlineLevel="0" collapsed="false">
      <c r="A16" s="4" t="s">
        <v>2</v>
      </c>
      <c r="B16" s="4" t="s">
        <v>3</v>
      </c>
      <c r="C16" s="4"/>
      <c r="D16" s="4" t="s">
        <v>4</v>
      </c>
    </row>
    <row r="17" customFormat="false" ht="19.5" hidden="false" customHeight="true" outlineLevel="0" collapsed="false">
      <c r="A17" s="5" t="s">
        <v>30</v>
      </c>
      <c r="B17" s="6" t="s">
        <v>31</v>
      </c>
      <c r="C17" s="6"/>
      <c r="D17" s="7" t="s">
        <v>32</v>
      </c>
    </row>
    <row r="18" customFormat="false" ht="19.5" hidden="false" customHeight="true" outlineLevel="0" collapsed="false">
      <c r="A18" s="8" t="s">
        <v>33</v>
      </c>
      <c r="B18" s="6" t="s">
        <v>34</v>
      </c>
      <c r="C18" s="6"/>
      <c r="D18" s="7" t="s">
        <v>35</v>
      </c>
    </row>
    <row r="19" customFormat="false" ht="19.5" hidden="false" customHeight="true" outlineLevel="0" collapsed="false">
      <c r="A19" s="5" t="s">
        <v>36</v>
      </c>
      <c r="B19" s="6" t="s">
        <v>37</v>
      </c>
      <c r="C19" s="6"/>
      <c r="D19" s="7" t="s">
        <v>38</v>
      </c>
    </row>
    <row r="20" customFormat="false" ht="19.5" hidden="false" customHeight="true" outlineLevel="0" collapsed="false">
      <c r="A20" s="8" t="s">
        <v>39</v>
      </c>
      <c r="B20" s="6" t="s">
        <v>40</v>
      </c>
      <c r="C20" s="6"/>
      <c r="D20" s="7" t="s">
        <v>41</v>
      </c>
    </row>
    <row r="21" customFormat="false" ht="19.5" hidden="false" customHeight="true" outlineLevel="0" collapsed="false">
      <c r="A21" s="5" t="s">
        <v>42</v>
      </c>
      <c r="B21" s="6" t="s">
        <v>43</v>
      </c>
      <c r="C21" s="6"/>
      <c r="D21" s="7" t="s">
        <v>44</v>
      </c>
    </row>
    <row r="22" customFormat="false" ht="19.5" hidden="false" customHeight="true" outlineLevel="0" collapsed="false">
      <c r="A22" s="8" t="s">
        <v>45</v>
      </c>
      <c r="B22" s="6" t="s">
        <v>46</v>
      </c>
      <c r="C22" s="6"/>
      <c r="D22" s="7" t="s">
        <v>47</v>
      </c>
    </row>
    <row r="23" customFormat="false" ht="19.5" hidden="false" customHeight="true" outlineLevel="0" collapsed="false">
      <c r="A23" s="5" t="s">
        <v>48</v>
      </c>
      <c r="B23" s="6" t="s">
        <v>49</v>
      </c>
      <c r="C23" s="6"/>
      <c r="D23" s="7" t="s">
        <v>50</v>
      </c>
    </row>
    <row r="24" customFormat="false" ht="19.5" hidden="false" customHeight="true" outlineLevel="0" collapsed="false">
      <c r="A24" s="8" t="s">
        <v>51</v>
      </c>
      <c r="B24" s="6" t="s">
        <v>52</v>
      </c>
      <c r="C24" s="6"/>
      <c r="D24" s="7" t="s">
        <v>53</v>
      </c>
    </row>
    <row r="25" customFormat="false" ht="19.5" hidden="false" customHeight="true" outlineLevel="0" collapsed="false">
      <c r="A25" s="5" t="s">
        <v>54</v>
      </c>
      <c r="B25" s="6" t="s">
        <v>55</v>
      </c>
      <c r="C25" s="6"/>
      <c r="D25" s="7" t="s">
        <v>56</v>
      </c>
    </row>
    <row r="26" customFormat="false" ht="19.5" hidden="false" customHeight="true" outlineLevel="0" collapsed="false">
      <c r="A26" s="8" t="s">
        <v>57</v>
      </c>
      <c r="B26" s="6" t="s">
        <v>58</v>
      </c>
      <c r="C26" s="6"/>
      <c r="D26" s="7" t="s">
        <v>59</v>
      </c>
    </row>
    <row r="29" customFormat="false" ht="21.75" hidden="false" customHeight="true" outlineLevel="0" collapsed="false">
      <c r="A29" s="10" t="s">
        <v>60</v>
      </c>
      <c r="B29" s="10"/>
      <c r="C29" s="10"/>
      <c r="D29" s="10"/>
    </row>
    <row r="30" customFormat="false" ht="18" hidden="false" customHeight="true" outlineLevel="0" collapsed="false">
      <c r="A30" s="4" t="s">
        <v>2</v>
      </c>
      <c r="B30" s="4" t="s">
        <v>3</v>
      </c>
      <c r="C30" s="4"/>
      <c r="D30" s="4" t="s">
        <v>4</v>
      </c>
    </row>
    <row r="31" customFormat="false" ht="19.5" hidden="false" customHeight="true" outlineLevel="0" collapsed="false">
      <c r="A31" s="5" t="s">
        <v>61</v>
      </c>
      <c r="B31" s="6" t="s">
        <v>62</v>
      </c>
      <c r="C31" s="6"/>
      <c r="D31" s="7" t="s">
        <v>63</v>
      </c>
    </row>
    <row r="32" customFormat="false" ht="19.5" hidden="false" customHeight="true" outlineLevel="0" collapsed="false">
      <c r="A32" s="8" t="s">
        <v>64</v>
      </c>
      <c r="B32" s="6" t="s">
        <v>65</v>
      </c>
      <c r="C32" s="6"/>
      <c r="D32" s="7" t="s">
        <v>66</v>
      </c>
    </row>
    <row r="33" customFormat="false" ht="19.5" hidden="false" customHeight="true" outlineLevel="0" collapsed="false">
      <c r="A33" s="5" t="s">
        <v>67</v>
      </c>
      <c r="B33" s="6" t="s">
        <v>68</v>
      </c>
      <c r="C33" s="6"/>
      <c r="D33" s="7" t="s">
        <v>69</v>
      </c>
    </row>
    <row r="34" customFormat="false" ht="19.5" hidden="false" customHeight="true" outlineLevel="0" collapsed="false">
      <c r="A34" s="8" t="s">
        <v>70</v>
      </c>
      <c r="B34" s="6" t="s">
        <v>54</v>
      </c>
      <c r="C34" s="6"/>
      <c r="D34" s="7" t="s">
        <v>71</v>
      </c>
    </row>
    <row r="35" customFormat="false" ht="19.5" hidden="false" customHeight="true" outlineLevel="0" collapsed="false">
      <c r="A35" s="5" t="s">
        <v>72</v>
      </c>
      <c r="B35" s="6" t="s">
        <v>73</v>
      </c>
      <c r="C35" s="6"/>
      <c r="D35" s="7" t="s">
        <v>74</v>
      </c>
    </row>
    <row r="36" customFormat="false" ht="19.5" hidden="false" customHeight="true" outlineLevel="0" collapsed="false">
      <c r="A36" s="8" t="s">
        <v>75</v>
      </c>
      <c r="B36" s="6" t="s">
        <v>76</v>
      </c>
      <c r="C36" s="6"/>
      <c r="D36" s="7" t="s">
        <v>77</v>
      </c>
    </row>
    <row r="39" customFormat="false" ht="21.75" hidden="false" customHeight="true" outlineLevel="0" collapsed="false">
      <c r="A39" s="11" t="s">
        <v>78</v>
      </c>
      <c r="B39" s="11"/>
      <c r="C39" s="11"/>
      <c r="D39" s="11"/>
    </row>
    <row r="40" customFormat="false" ht="18" hidden="false" customHeight="true" outlineLevel="0" collapsed="false">
      <c r="A40" s="4" t="s">
        <v>2</v>
      </c>
      <c r="B40" s="4" t="s">
        <v>3</v>
      </c>
      <c r="C40" s="4"/>
      <c r="D40" s="4" t="s">
        <v>4</v>
      </c>
    </row>
    <row r="41" customFormat="false" ht="19.5" hidden="false" customHeight="true" outlineLevel="0" collapsed="false">
      <c r="A41" s="5" t="s">
        <v>79</v>
      </c>
      <c r="B41" s="6" t="s">
        <v>80</v>
      </c>
      <c r="C41" s="6"/>
      <c r="D41" s="7" t="s">
        <v>81</v>
      </c>
    </row>
    <row r="42" customFormat="false" ht="19.5" hidden="false" customHeight="true" outlineLevel="0" collapsed="false">
      <c r="A42" s="8" t="s">
        <v>82</v>
      </c>
      <c r="B42" s="6" t="s">
        <v>83</v>
      </c>
      <c r="C42" s="6"/>
      <c r="D42" s="7" t="s">
        <v>84</v>
      </c>
    </row>
    <row r="43" customFormat="false" ht="19.5" hidden="false" customHeight="true" outlineLevel="0" collapsed="false">
      <c r="A43" s="5" t="s">
        <v>85</v>
      </c>
      <c r="B43" s="6" t="s">
        <v>86</v>
      </c>
      <c r="C43" s="6"/>
      <c r="D43" s="7" t="s">
        <v>87</v>
      </c>
    </row>
    <row r="44" customFormat="false" ht="19.5" hidden="false" customHeight="true" outlineLevel="0" collapsed="false">
      <c r="A44" s="8" t="s">
        <v>88</v>
      </c>
      <c r="B44" s="6" t="s">
        <v>89</v>
      </c>
      <c r="C44" s="6"/>
      <c r="D44" s="7" t="s">
        <v>90</v>
      </c>
    </row>
    <row r="45" customFormat="false" ht="19.5" hidden="false" customHeight="true" outlineLevel="0" collapsed="false">
      <c r="A45" s="5" t="s">
        <v>91</v>
      </c>
      <c r="B45" s="6" t="s">
        <v>92</v>
      </c>
      <c r="C45" s="6"/>
      <c r="D45" s="7" t="s">
        <v>93</v>
      </c>
    </row>
    <row r="46" customFormat="false" ht="19.5" hidden="false" customHeight="true" outlineLevel="0" collapsed="false">
      <c r="A46" s="8" t="s">
        <v>94</v>
      </c>
      <c r="B46" s="6" t="s">
        <v>95</v>
      </c>
      <c r="C46" s="6"/>
      <c r="D46" s="7" t="s">
        <v>96</v>
      </c>
    </row>
    <row r="49" customFormat="false" ht="21.75" hidden="false" customHeight="true" outlineLevel="0" collapsed="false">
      <c r="A49" s="3" t="s">
        <v>97</v>
      </c>
      <c r="B49" s="3"/>
      <c r="C49" s="3"/>
      <c r="D49" s="3"/>
    </row>
    <row r="50" customFormat="false" ht="18" hidden="false" customHeight="true" outlineLevel="0" collapsed="false">
      <c r="A50" s="4" t="s">
        <v>2</v>
      </c>
      <c r="B50" s="4" t="s">
        <v>3</v>
      </c>
      <c r="C50" s="4"/>
      <c r="D50" s="4" t="s">
        <v>4</v>
      </c>
    </row>
    <row r="51" customFormat="false" ht="19.5" hidden="false" customHeight="true" outlineLevel="0" collapsed="false">
      <c r="A51" s="5" t="s">
        <v>98</v>
      </c>
      <c r="B51" s="6" t="s">
        <v>99</v>
      </c>
      <c r="C51" s="6"/>
      <c r="D51" s="7" t="s">
        <v>100</v>
      </c>
    </row>
    <row r="52" customFormat="false" ht="19.5" hidden="false" customHeight="true" outlineLevel="0" collapsed="false">
      <c r="A52" s="8" t="s">
        <v>101</v>
      </c>
      <c r="B52" s="6" t="s">
        <v>102</v>
      </c>
      <c r="C52" s="6"/>
      <c r="D52" s="7" t="s">
        <v>103</v>
      </c>
    </row>
    <row r="53" customFormat="false" ht="19.5" hidden="false" customHeight="true" outlineLevel="0" collapsed="false">
      <c r="A53" s="5" t="s">
        <v>104</v>
      </c>
      <c r="B53" s="6" t="s">
        <v>105</v>
      </c>
      <c r="C53" s="6"/>
      <c r="D53" s="7" t="s">
        <v>106</v>
      </c>
    </row>
    <row r="54" customFormat="false" ht="19.5" hidden="false" customHeight="true" outlineLevel="0" collapsed="false">
      <c r="A54" s="8" t="s">
        <v>107</v>
      </c>
      <c r="B54" s="6" t="s">
        <v>108</v>
      </c>
      <c r="C54" s="6"/>
      <c r="D54" s="7" t="s">
        <v>109</v>
      </c>
    </row>
    <row r="55" customFormat="false" ht="19.5" hidden="false" customHeight="true" outlineLevel="0" collapsed="false">
      <c r="A55" s="5" t="s">
        <v>110</v>
      </c>
      <c r="B55" s="6" t="s">
        <v>111</v>
      </c>
      <c r="C55" s="6"/>
      <c r="D55" s="7" t="s">
        <v>112</v>
      </c>
    </row>
    <row r="56" customFormat="false" ht="19.5" hidden="false" customHeight="true" outlineLevel="0" collapsed="false">
      <c r="A56" s="8" t="s">
        <v>113</v>
      </c>
      <c r="B56" s="6" t="s">
        <v>114</v>
      </c>
      <c r="C56" s="6"/>
      <c r="D56" s="7" t="s">
        <v>115</v>
      </c>
    </row>
    <row r="57" customFormat="false" ht="19.5" hidden="false" customHeight="true" outlineLevel="0" collapsed="false">
      <c r="A57" s="5" t="s">
        <v>116</v>
      </c>
      <c r="B57" s="6" t="s">
        <v>117</v>
      </c>
      <c r="C57" s="6"/>
      <c r="D57" s="7" t="s">
        <v>118</v>
      </c>
    </row>
    <row r="60" customFormat="false" ht="21.75" hidden="false" customHeight="true" outlineLevel="0" collapsed="false">
      <c r="A60" s="12" t="s">
        <v>119</v>
      </c>
      <c r="B60" s="12"/>
      <c r="C60" s="12"/>
      <c r="D60" s="12"/>
    </row>
    <row r="61" customFormat="false" ht="18" hidden="false" customHeight="true" outlineLevel="0" collapsed="false">
      <c r="A61" s="4" t="s">
        <v>2</v>
      </c>
      <c r="B61" s="4" t="s">
        <v>3</v>
      </c>
      <c r="C61" s="4"/>
      <c r="D61" s="4" t="s">
        <v>4</v>
      </c>
    </row>
    <row r="62" customFormat="false" ht="19.5" hidden="false" customHeight="true" outlineLevel="0" collapsed="false">
      <c r="A62" s="5" t="s">
        <v>120</v>
      </c>
      <c r="B62" s="6" t="s">
        <v>121</v>
      </c>
      <c r="C62" s="6"/>
      <c r="D62" s="7" t="s">
        <v>122</v>
      </c>
    </row>
    <row r="63" customFormat="false" ht="19.5" hidden="false" customHeight="true" outlineLevel="0" collapsed="false">
      <c r="A63" s="8" t="s">
        <v>123</v>
      </c>
      <c r="B63" s="6" t="s">
        <v>124</v>
      </c>
      <c r="C63" s="6"/>
      <c r="D63" s="7" t="s">
        <v>125</v>
      </c>
    </row>
    <row r="64" customFormat="false" ht="19.5" hidden="false" customHeight="true" outlineLevel="0" collapsed="false">
      <c r="A64" s="5" t="s">
        <v>126</v>
      </c>
      <c r="B64" s="6" t="s">
        <v>127</v>
      </c>
      <c r="C64" s="6"/>
      <c r="D64" s="7" t="s">
        <v>128</v>
      </c>
    </row>
    <row r="65" customFormat="false" ht="19.5" hidden="false" customHeight="true" outlineLevel="0" collapsed="false">
      <c r="A65" s="8" t="s">
        <v>129</v>
      </c>
      <c r="B65" s="6" t="s">
        <v>130</v>
      </c>
      <c r="C65" s="6"/>
      <c r="D65" s="7" t="s">
        <v>131</v>
      </c>
    </row>
    <row r="66" customFormat="false" ht="19.5" hidden="false" customHeight="true" outlineLevel="0" collapsed="false">
      <c r="A66" s="5" t="s">
        <v>132</v>
      </c>
      <c r="B66" s="6" t="s">
        <v>133</v>
      </c>
      <c r="C66" s="6"/>
      <c r="D66" s="7" t="s">
        <v>134</v>
      </c>
    </row>
    <row r="67" customFormat="false" ht="19.5" hidden="false" customHeight="true" outlineLevel="0" collapsed="false">
      <c r="A67" s="8" t="s">
        <v>135</v>
      </c>
      <c r="B67" s="6" t="s">
        <v>136</v>
      </c>
      <c r="C67" s="6"/>
      <c r="D67" s="7" t="s">
        <v>137</v>
      </c>
    </row>
    <row r="68" customFormat="false" ht="19.5" hidden="false" customHeight="true" outlineLevel="0" collapsed="false">
      <c r="A68" s="5" t="s">
        <v>138</v>
      </c>
      <c r="B68" s="6" t="s">
        <v>139</v>
      </c>
      <c r="C68" s="6"/>
      <c r="D68" s="7" t="s">
        <v>140</v>
      </c>
    </row>
    <row r="71" customFormat="false" ht="21.75" hidden="false" customHeight="true" outlineLevel="0" collapsed="false">
      <c r="A71" s="13" t="s">
        <v>141</v>
      </c>
      <c r="B71" s="13"/>
      <c r="C71" s="13"/>
      <c r="D71" s="13"/>
    </row>
    <row r="72" customFormat="false" ht="18" hidden="false" customHeight="true" outlineLevel="0" collapsed="false">
      <c r="A72" s="4" t="s">
        <v>2</v>
      </c>
      <c r="B72" s="4" t="s">
        <v>3</v>
      </c>
      <c r="C72" s="4"/>
      <c r="D72" s="4" t="s">
        <v>4</v>
      </c>
    </row>
    <row r="73" customFormat="false" ht="19.5" hidden="false" customHeight="true" outlineLevel="0" collapsed="false">
      <c r="A73" s="5" t="s">
        <v>142</v>
      </c>
      <c r="B73" s="6" t="s">
        <v>143</v>
      </c>
      <c r="C73" s="6"/>
      <c r="D73" s="7" t="s">
        <v>144</v>
      </c>
    </row>
    <row r="74" customFormat="false" ht="19.5" hidden="false" customHeight="true" outlineLevel="0" collapsed="false">
      <c r="A74" s="8" t="s">
        <v>145</v>
      </c>
      <c r="B74" s="6" t="s">
        <v>146</v>
      </c>
      <c r="C74" s="6"/>
      <c r="D74" s="7" t="s">
        <v>147</v>
      </c>
    </row>
    <row r="75" customFormat="false" ht="19.5" hidden="false" customHeight="true" outlineLevel="0" collapsed="false">
      <c r="A75" s="5" t="s">
        <v>148</v>
      </c>
      <c r="B75" s="6" t="s">
        <v>149</v>
      </c>
      <c r="C75" s="6"/>
      <c r="D75" s="7" t="s">
        <v>150</v>
      </c>
    </row>
    <row r="76" customFormat="false" ht="19.5" hidden="false" customHeight="true" outlineLevel="0" collapsed="false">
      <c r="A76" s="8" t="s">
        <v>151</v>
      </c>
      <c r="B76" s="6" t="s">
        <v>152</v>
      </c>
      <c r="C76" s="6"/>
      <c r="D76" s="7" t="s">
        <v>153</v>
      </c>
    </row>
    <row r="77" customFormat="false" ht="19.5" hidden="false" customHeight="true" outlineLevel="0" collapsed="false">
      <c r="A77" s="5" t="s">
        <v>154</v>
      </c>
      <c r="B77" s="6" t="s">
        <v>155</v>
      </c>
      <c r="C77" s="6"/>
      <c r="D77" s="7" t="s">
        <v>156</v>
      </c>
    </row>
    <row r="78" customFormat="false" ht="19.5" hidden="false" customHeight="true" outlineLevel="0" collapsed="false">
      <c r="A78" s="8" t="s">
        <v>157</v>
      </c>
      <c r="B78" s="6" t="s">
        <v>158</v>
      </c>
      <c r="C78" s="6"/>
      <c r="D78" s="7" t="s">
        <v>159</v>
      </c>
    </row>
  </sheetData>
  <mergeCells count="58">
    <mergeCell ref="A1:D1"/>
    <mergeCell ref="A3:D3"/>
    <mergeCell ref="B5:C5"/>
    <mergeCell ref="B6:C6"/>
    <mergeCell ref="B7:C7"/>
    <mergeCell ref="B8:C8"/>
    <mergeCell ref="B9:C9"/>
    <mergeCell ref="B10:C10"/>
    <mergeCell ref="B11:C11"/>
    <mergeCell ref="B12:C12"/>
    <mergeCell ref="A15:D15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A29:D29"/>
    <mergeCell ref="B31:C31"/>
    <mergeCell ref="B32:C32"/>
    <mergeCell ref="B33:C33"/>
    <mergeCell ref="B34:C34"/>
    <mergeCell ref="B35:C35"/>
    <mergeCell ref="B36:C36"/>
    <mergeCell ref="A39:D39"/>
    <mergeCell ref="B41:C41"/>
    <mergeCell ref="B42:C42"/>
    <mergeCell ref="B43:C43"/>
    <mergeCell ref="B44:C44"/>
    <mergeCell ref="B45:C45"/>
    <mergeCell ref="B46:C46"/>
    <mergeCell ref="A49:D49"/>
    <mergeCell ref="B51:C51"/>
    <mergeCell ref="B52:C52"/>
    <mergeCell ref="B53:C53"/>
    <mergeCell ref="B54:C54"/>
    <mergeCell ref="B55:C55"/>
    <mergeCell ref="B56:C56"/>
    <mergeCell ref="B57:C57"/>
    <mergeCell ref="A60:D60"/>
    <mergeCell ref="B62:C62"/>
    <mergeCell ref="B63:C63"/>
    <mergeCell ref="B64:C64"/>
    <mergeCell ref="B65:C65"/>
    <mergeCell ref="B66:C66"/>
    <mergeCell ref="B67:C67"/>
    <mergeCell ref="B68:C68"/>
    <mergeCell ref="A71:D71"/>
    <mergeCell ref="B73:C73"/>
    <mergeCell ref="B74:C74"/>
    <mergeCell ref="B75:C75"/>
    <mergeCell ref="B76:C76"/>
    <mergeCell ref="B77:C77"/>
    <mergeCell ref="B78:C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3" topLeftCell="A4" activePane="bottomLeft" state="frozen"/>
      <selection pane="topLeft" activeCell="A1" activeCellId="0" sqref="A1"/>
      <selection pane="bottomLeft" activeCell="F21" activeCellId="0" sqref="F2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6" min="2" style="1" width="16"/>
    <col collapsed="false" customWidth="true" hidden="false" outlineLevel="0" max="8" min="7" style="1" width="30"/>
    <col collapsed="false" customWidth="true" hidden="false" outlineLevel="0" max="9" min="9" style="1" width="67.21"/>
    <col collapsed="false" customWidth="true" hidden="false" outlineLevel="0" max="16384" min="16384" style="0" width="11.53"/>
  </cols>
  <sheetData>
    <row r="1" customFormat="false" ht="22.55" hidden="false" customHeight="false" outlineLevel="0" collapsed="false">
      <c r="A1" s="14" t="s">
        <v>160</v>
      </c>
      <c r="B1" s="14" t="s">
        <v>161</v>
      </c>
      <c r="C1" s="15" t="s">
        <v>162</v>
      </c>
      <c r="D1" s="15" t="s">
        <v>163</v>
      </c>
      <c r="E1" s="16" t="s">
        <v>164</v>
      </c>
      <c r="F1" s="16" t="s">
        <v>165</v>
      </c>
      <c r="G1" s="17" t="s">
        <v>166</v>
      </c>
      <c r="H1" s="18" t="s">
        <v>167</v>
      </c>
      <c r="I1" s="19" t="s">
        <v>168</v>
      </c>
    </row>
    <row r="2" customFormat="false" ht="19.25" hidden="false" customHeight="false" outlineLevel="0" collapsed="false">
      <c r="A2" s="20" t="s">
        <v>169</v>
      </c>
      <c r="B2" s="21" t="s">
        <v>170</v>
      </c>
      <c r="C2" s="22" t="n">
        <v>0.05</v>
      </c>
      <c r="D2" s="22" t="n">
        <v>0.015</v>
      </c>
      <c r="E2" s="22" t="n">
        <v>0</v>
      </c>
      <c r="F2" s="23" t="n">
        <v>40</v>
      </c>
      <c r="G2" s="24" t="s">
        <v>171</v>
      </c>
      <c r="H2" s="24" t="s">
        <v>172</v>
      </c>
      <c r="I2" s="25" t="s">
        <v>173</v>
      </c>
    </row>
    <row r="3" customFormat="false" ht="19.25" hidden="false" customHeight="false" outlineLevel="0" collapsed="false">
      <c r="A3" s="20" t="s">
        <v>169</v>
      </c>
      <c r="B3" s="21" t="s">
        <v>174</v>
      </c>
      <c r="C3" s="22" t="n">
        <v>0.05</v>
      </c>
      <c r="D3" s="22" t="n">
        <v>0.015</v>
      </c>
      <c r="E3" s="22" t="n">
        <v>0</v>
      </c>
      <c r="F3" s="23" t="n">
        <v>40</v>
      </c>
      <c r="G3" s="24" t="s">
        <v>175</v>
      </c>
      <c r="H3" s="24" t="s">
        <v>172</v>
      </c>
      <c r="I3" s="25" t="s">
        <v>176</v>
      </c>
    </row>
    <row r="4" customFormat="false" ht="28.3" hidden="false" customHeight="false" outlineLevel="0" collapsed="false">
      <c r="A4" s="20" t="s">
        <v>169</v>
      </c>
      <c r="B4" s="21" t="s">
        <v>177</v>
      </c>
      <c r="C4" s="22" t="n">
        <v>0.18</v>
      </c>
      <c r="D4" s="22" t="n">
        <v>0.015</v>
      </c>
      <c r="E4" s="26" t="n">
        <v>0.22</v>
      </c>
      <c r="F4" s="27"/>
      <c r="G4" s="24" t="s">
        <v>178</v>
      </c>
      <c r="H4" s="24" t="s">
        <v>179</v>
      </c>
      <c r="I4" s="25" t="s">
        <v>180</v>
      </c>
    </row>
    <row r="5" customFormat="false" ht="19.25" hidden="false" customHeight="false" outlineLevel="0" collapsed="false">
      <c r="A5" s="8" t="s">
        <v>181</v>
      </c>
      <c r="B5" s="28" t="s">
        <v>182</v>
      </c>
      <c r="C5" s="29" t="n">
        <v>0.12</v>
      </c>
      <c r="D5" s="30" t="n">
        <v>0.1371</v>
      </c>
      <c r="E5" s="22" t="n">
        <v>0.2038</v>
      </c>
      <c r="F5" s="23" t="n">
        <v>0</v>
      </c>
      <c r="G5" s="31" t="s">
        <v>183</v>
      </c>
      <c r="H5" s="24" t="s">
        <v>184</v>
      </c>
      <c r="I5" s="25" t="s">
        <v>185</v>
      </c>
    </row>
    <row r="6" customFormat="false" ht="19.25" hidden="false" customHeight="false" outlineLevel="0" collapsed="false">
      <c r="A6" s="8" t="s">
        <v>181</v>
      </c>
      <c r="B6" s="32" t="s">
        <v>186</v>
      </c>
      <c r="C6" s="33" t="n">
        <v>0.12</v>
      </c>
      <c r="D6" s="33" t="n">
        <v>0</v>
      </c>
      <c r="E6" s="22" t="n">
        <v>0</v>
      </c>
      <c r="F6" s="23" t="n">
        <v>500</v>
      </c>
      <c r="G6" s="34" t="s">
        <v>187</v>
      </c>
      <c r="H6" s="24" t="s">
        <v>188</v>
      </c>
      <c r="I6" s="25" t="s">
        <v>189</v>
      </c>
    </row>
    <row r="7" customFormat="false" ht="19.25" hidden="false" customHeight="false" outlineLevel="0" collapsed="false">
      <c r="A7" s="5" t="s">
        <v>190</v>
      </c>
      <c r="B7" s="32" t="s">
        <v>182</v>
      </c>
      <c r="C7" s="33" t="n">
        <v>0.2</v>
      </c>
      <c r="D7" s="33" t="n">
        <v>0.08</v>
      </c>
      <c r="E7" s="22" t="n">
        <v>0.15</v>
      </c>
      <c r="F7" s="23" t="n">
        <v>0</v>
      </c>
      <c r="G7" s="34" t="s">
        <v>191</v>
      </c>
      <c r="H7" s="24" t="s">
        <v>192</v>
      </c>
      <c r="I7" s="25" t="s">
        <v>193</v>
      </c>
    </row>
    <row r="8" customFormat="false" ht="19.25" hidden="false" customHeight="false" outlineLevel="0" collapsed="false">
      <c r="A8" s="8" t="s">
        <v>190</v>
      </c>
      <c r="B8" s="28" t="s">
        <v>186</v>
      </c>
      <c r="C8" s="30" t="n">
        <v>0.19</v>
      </c>
      <c r="D8" s="30" t="n">
        <v>0</v>
      </c>
      <c r="E8" s="22" t="n">
        <v>0</v>
      </c>
      <c r="F8" s="23" t="n">
        <v>150</v>
      </c>
      <c r="G8" s="31" t="s">
        <v>187</v>
      </c>
      <c r="H8" s="24" t="s">
        <v>194</v>
      </c>
      <c r="I8" s="25" t="s">
        <v>195</v>
      </c>
    </row>
    <row r="9" customFormat="false" ht="19.25" hidden="false" customHeight="false" outlineLevel="0" collapsed="false">
      <c r="A9" s="8" t="s">
        <v>196</v>
      </c>
      <c r="B9" s="28" t="s">
        <v>182</v>
      </c>
      <c r="C9" s="30" t="n">
        <v>0.22</v>
      </c>
      <c r="D9" s="30" t="n">
        <v>0.0765</v>
      </c>
      <c r="E9" s="22" t="n">
        <v>0.11</v>
      </c>
      <c r="F9" s="23" t="n">
        <v>0</v>
      </c>
      <c r="G9" s="31" t="s">
        <v>197</v>
      </c>
      <c r="H9" s="24" t="s">
        <v>198</v>
      </c>
      <c r="I9" s="25" t="s">
        <v>199</v>
      </c>
    </row>
    <row r="10" customFormat="false" ht="19.25" hidden="false" customHeight="false" outlineLevel="0" collapsed="false">
      <c r="A10" s="5" t="s">
        <v>196</v>
      </c>
      <c r="B10" s="32" t="s">
        <v>186</v>
      </c>
      <c r="C10" s="33" t="n">
        <v>0.22</v>
      </c>
      <c r="D10" s="33" t="n">
        <v>0.153</v>
      </c>
      <c r="E10" s="22" t="n">
        <v>0</v>
      </c>
      <c r="F10" s="23" t="n">
        <v>0</v>
      </c>
      <c r="G10" s="34" t="s">
        <v>187</v>
      </c>
      <c r="H10" s="24" t="s">
        <v>200</v>
      </c>
      <c r="I10" s="25" t="s">
        <v>201</v>
      </c>
    </row>
    <row r="11" customFormat="false" ht="19.25" hidden="false" customHeight="false" outlineLevel="0" collapsed="false">
      <c r="A11" s="5" t="s">
        <v>202</v>
      </c>
      <c r="B11" s="32" t="s">
        <v>182</v>
      </c>
      <c r="C11" s="33" t="n">
        <v>0.27</v>
      </c>
      <c r="D11" s="33" t="n">
        <v>0.2085</v>
      </c>
      <c r="E11" s="22" t="n">
        <v>0.21</v>
      </c>
      <c r="F11" s="23" t="n">
        <v>0</v>
      </c>
      <c r="G11" s="34" t="s">
        <v>203</v>
      </c>
      <c r="H11" s="24" t="s">
        <v>204</v>
      </c>
      <c r="I11" s="25" t="s">
        <v>205</v>
      </c>
    </row>
    <row r="12" customFormat="false" ht="19.25" hidden="false" customHeight="false" outlineLevel="0" collapsed="false">
      <c r="A12" s="8" t="s">
        <v>202</v>
      </c>
      <c r="B12" s="28" t="s">
        <v>186</v>
      </c>
      <c r="C12" s="30" t="n">
        <v>0.25</v>
      </c>
      <c r="D12" s="30" t="n">
        <v>0</v>
      </c>
      <c r="E12" s="22" t="n">
        <v>0</v>
      </c>
      <c r="F12" s="23" t="n">
        <v>500</v>
      </c>
      <c r="G12" s="31" t="s">
        <v>187</v>
      </c>
      <c r="H12" s="24" t="s">
        <v>206</v>
      </c>
      <c r="I12" s="25" t="s">
        <v>207</v>
      </c>
    </row>
    <row r="13" customFormat="false" ht="19.25" hidden="false" customHeight="false" outlineLevel="0" collapsed="false">
      <c r="A13" s="8" t="s">
        <v>208</v>
      </c>
      <c r="B13" s="28" t="s">
        <v>182</v>
      </c>
      <c r="C13" s="30" t="n">
        <v>0.3697</v>
      </c>
      <c r="D13" s="30" t="n">
        <v>0</v>
      </c>
      <c r="E13" s="22" t="n">
        <v>0.2</v>
      </c>
      <c r="F13" s="23" t="n">
        <v>0</v>
      </c>
      <c r="G13" s="31" t="s">
        <v>209</v>
      </c>
      <c r="H13" s="24" t="s">
        <v>210</v>
      </c>
      <c r="I13" s="25" t="s">
        <v>211</v>
      </c>
    </row>
    <row r="14" customFormat="false" ht="15" hidden="false" customHeight="false" outlineLevel="0" collapsed="false">
      <c r="A14" s="5" t="s">
        <v>208</v>
      </c>
      <c r="B14" s="32" t="s">
        <v>186</v>
      </c>
      <c r="C14" s="33" t="n">
        <v>0.3697</v>
      </c>
      <c r="D14" s="33" t="n">
        <v>0</v>
      </c>
      <c r="E14" s="22" t="n">
        <v>0</v>
      </c>
      <c r="F14" s="23" t="n">
        <v>0</v>
      </c>
      <c r="G14" s="34" t="s">
        <v>187</v>
      </c>
      <c r="H14" s="24" t="s">
        <v>210</v>
      </c>
      <c r="I14" s="25" t="s">
        <v>212</v>
      </c>
    </row>
    <row r="15" customFormat="false" ht="19.25" hidden="false" customHeight="false" outlineLevel="0" collapsed="false">
      <c r="A15" s="5" t="s">
        <v>213</v>
      </c>
      <c r="B15" s="32" t="s">
        <v>182</v>
      </c>
      <c r="C15" s="33" t="n">
        <v>0.15</v>
      </c>
      <c r="D15" s="33" t="n">
        <v>0.11</v>
      </c>
      <c r="E15" s="22" t="n">
        <v>0.338</v>
      </c>
      <c r="F15" s="23" t="n">
        <v>0</v>
      </c>
      <c r="G15" s="34" t="s">
        <v>214</v>
      </c>
      <c r="H15" s="24" t="s">
        <v>215</v>
      </c>
      <c r="I15" s="25" t="s">
        <v>216</v>
      </c>
    </row>
    <row r="16" customFormat="false" ht="15" hidden="false" customHeight="false" outlineLevel="0" collapsed="false">
      <c r="A16" s="8" t="s">
        <v>213</v>
      </c>
      <c r="B16" s="28" t="s">
        <v>186</v>
      </c>
      <c r="C16" s="30"/>
      <c r="D16" s="30" t="n">
        <v>0</v>
      </c>
      <c r="E16" s="22" t="n">
        <v>0</v>
      </c>
      <c r="F16" s="23" t="n">
        <v>430</v>
      </c>
      <c r="G16" s="31" t="s">
        <v>187</v>
      </c>
      <c r="H16" s="24" t="s">
        <v>217</v>
      </c>
      <c r="I16" s="25" t="s">
        <v>218</v>
      </c>
    </row>
    <row r="17" customFormat="false" ht="15" hidden="false" customHeight="false" outlineLevel="0" collapsed="false">
      <c r="A17" s="8" t="s">
        <v>219</v>
      </c>
      <c r="B17" s="28" t="s">
        <v>182</v>
      </c>
      <c r="C17" s="30" t="n">
        <v>0.23</v>
      </c>
      <c r="D17" s="30" t="n">
        <v>0.11</v>
      </c>
      <c r="E17" s="22" t="n">
        <v>0.2375</v>
      </c>
      <c r="F17" s="23" t="n">
        <v>0</v>
      </c>
      <c r="G17" s="31" t="s">
        <v>220</v>
      </c>
      <c r="H17" s="24" t="s">
        <v>221</v>
      </c>
      <c r="I17" s="25" t="s">
        <v>222</v>
      </c>
    </row>
    <row r="18" customFormat="false" ht="15" hidden="false" customHeight="false" outlineLevel="0" collapsed="false">
      <c r="A18" s="5" t="s">
        <v>219</v>
      </c>
      <c r="B18" s="32" t="s">
        <v>186</v>
      </c>
      <c r="C18" s="33" t="n">
        <v>0.2</v>
      </c>
      <c r="D18" s="33" t="n">
        <v>0</v>
      </c>
      <c r="E18" s="22" t="n">
        <v>0</v>
      </c>
      <c r="F18" s="23" t="n">
        <v>0</v>
      </c>
      <c r="G18" s="34" t="s">
        <v>187</v>
      </c>
      <c r="H18" s="24" t="s">
        <v>223</v>
      </c>
      <c r="I18" s="25" t="s">
        <v>224</v>
      </c>
    </row>
    <row r="19" customFormat="false" ht="19.25" hidden="false" customHeight="false" outlineLevel="0" collapsed="false">
      <c r="A19" s="5" t="s">
        <v>225</v>
      </c>
      <c r="B19" s="32" t="s">
        <v>182</v>
      </c>
      <c r="C19" s="33" t="n">
        <v>0</v>
      </c>
      <c r="D19" s="33" t="n">
        <v>0.35</v>
      </c>
      <c r="E19" s="22" t="n">
        <v>0.0225</v>
      </c>
      <c r="F19" s="23" t="n">
        <v>0</v>
      </c>
      <c r="G19" s="34" t="s">
        <v>226</v>
      </c>
      <c r="H19" s="24" t="s">
        <v>227</v>
      </c>
      <c r="I19" s="25" t="s">
        <v>228</v>
      </c>
    </row>
    <row r="20" customFormat="false" ht="19.25" hidden="false" customHeight="false" outlineLevel="0" collapsed="false">
      <c r="A20" s="8" t="s">
        <v>225</v>
      </c>
      <c r="B20" s="28" t="s">
        <v>186</v>
      </c>
      <c r="C20" s="30" t="n">
        <v>0.01</v>
      </c>
      <c r="D20" s="30" t="n">
        <v>0</v>
      </c>
      <c r="E20" s="22" t="n">
        <v>0</v>
      </c>
      <c r="F20" s="23" t="n">
        <v>300</v>
      </c>
      <c r="G20" s="31" t="s">
        <v>187</v>
      </c>
      <c r="H20" s="24" t="s">
        <v>229</v>
      </c>
      <c r="I20" s="25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9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9"/>
    <col collapsed="false" customWidth="true" hidden="false" outlineLevel="0" max="13" min="5" style="1" width="13"/>
  </cols>
  <sheetData>
    <row r="1" customFormat="false" ht="25.5" hidden="false" customHeight="true" outlineLevel="0" collapsed="false">
      <c r="A1" s="35" t="s">
        <v>231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customFormat="false" ht="15" hidden="false" customHeight="false" outlineLevel="0" collapsed="false">
      <c r="A2" s="36" t="s">
        <v>232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customFormat="false" ht="27.75" hidden="false" customHeight="true" outlineLevel="0" collapsed="false">
      <c r="A3" s="14" t="s">
        <v>233</v>
      </c>
      <c r="B3" s="14" t="s">
        <v>234</v>
      </c>
      <c r="C3" s="14" t="s">
        <v>235</v>
      </c>
      <c r="D3" s="14" t="s">
        <v>236</v>
      </c>
      <c r="E3" s="18" t="s">
        <v>237</v>
      </c>
      <c r="F3" s="15" t="s">
        <v>238</v>
      </c>
      <c r="G3" s="15" t="s">
        <v>239</v>
      </c>
      <c r="H3" s="15" t="s">
        <v>240</v>
      </c>
      <c r="I3" s="15" t="s">
        <v>241</v>
      </c>
      <c r="J3" s="15" t="s">
        <v>242</v>
      </c>
      <c r="K3" s="15" t="s">
        <v>243</v>
      </c>
      <c r="L3" s="15" t="s">
        <v>244</v>
      </c>
      <c r="M3" s="15" t="s">
        <v>245</v>
      </c>
    </row>
    <row r="4" customFormat="false" ht="15" hidden="false" customHeight="false" outlineLevel="0" collapsed="false">
      <c r="A4" s="37" t="n">
        <v>1</v>
      </c>
      <c r="B4" s="32" t="s">
        <v>246</v>
      </c>
      <c r="C4" s="32" t="s">
        <v>247</v>
      </c>
      <c r="D4" s="38" t="s">
        <v>248</v>
      </c>
      <c r="E4" s="23" t="n">
        <v>1500</v>
      </c>
      <c r="F4" s="39" t="n">
        <v>3825</v>
      </c>
      <c r="G4" s="39" t="n">
        <v>5292</v>
      </c>
      <c r="H4" s="40" t="n">
        <v>11000</v>
      </c>
      <c r="I4" s="39" t="n">
        <v>5726</v>
      </c>
      <c r="J4" s="39" t="n">
        <v>6404</v>
      </c>
      <c r="K4" s="40" t="n">
        <v>3095</v>
      </c>
      <c r="L4" s="39" t="n">
        <v>3955</v>
      </c>
      <c r="M4" s="39" t="n">
        <v>2500</v>
      </c>
    </row>
    <row r="5" customFormat="false" ht="15" hidden="false" customHeight="false" outlineLevel="0" collapsed="false">
      <c r="A5" s="41" t="n">
        <v>2</v>
      </c>
      <c r="B5" s="28" t="s">
        <v>246</v>
      </c>
      <c r="C5" s="8" t="s">
        <v>247</v>
      </c>
      <c r="D5" s="42" t="s">
        <v>249</v>
      </c>
      <c r="E5" s="23" t="n">
        <v>4750</v>
      </c>
      <c r="F5" s="43" t="n">
        <v>6375</v>
      </c>
      <c r="G5" s="43" t="n">
        <v>7938</v>
      </c>
      <c r="H5" s="40" t="n">
        <v>14025</v>
      </c>
      <c r="I5" s="43" t="n">
        <v>8193</v>
      </c>
      <c r="J5" s="43" t="n">
        <v>9417</v>
      </c>
      <c r="K5" s="40" t="n">
        <v>5009</v>
      </c>
      <c r="L5" s="43" t="n">
        <v>6215</v>
      </c>
      <c r="M5" s="40" t="n">
        <v>4200</v>
      </c>
    </row>
    <row r="6" customFormat="false" ht="15" hidden="false" customHeight="false" outlineLevel="0" collapsed="false">
      <c r="A6" s="37" t="n">
        <v>3</v>
      </c>
      <c r="B6" s="32" t="s">
        <v>246</v>
      </c>
      <c r="C6" s="32" t="s">
        <v>250</v>
      </c>
      <c r="D6" s="38" t="s">
        <v>248</v>
      </c>
      <c r="E6" s="23" t="n">
        <v>1600</v>
      </c>
      <c r="F6" s="39" t="n">
        <v>3825</v>
      </c>
      <c r="G6" s="39" t="n">
        <v>5292</v>
      </c>
      <c r="H6" s="40" t="n">
        <v>11000</v>
      </c>
      <c r="I6" s="39" t="n">
        <v>5650</v>
      </c>
      <c r="J6" s="39" t="n">
        <v>6121</v>
      </c>
      <c r="K6" s="40" t="n">
        <v>2935</v>
      </c>
      <c r="L6" s="39" t="n">
        <v>3766</v>
      </c>
      <c r="M6" s="39" t="n">
        <v>2500</v>
      </c>
    </row>
    <row r="7" customFormat="false" ht="15" hidden="false" customHeight="false" outlineLevel="0" collapsed="false">
      <c r="A7" s="41" t="n">
        <v>4</v>
      </c>
      <c r="B7" s="28" t="s">
        <v>246</v>
      </c>
      <c r="C7" s="8" t="s">
        <v>250</v>
      </c>
      <c r="D7" s="42" t="s">
        <v>249</v>
      </c>
      <c r="E7" s="23" t="n">
        <v>4500</v>
      </c>
      <c r="F7" s="43" t="n">
        <v>6375</v>
      </c>
      <c r="G7" s="43" t="n">
        <v>7407</v>
      </c>
      <c r="H7" s="40" t="n">
        <v>13600</v>
      </c>
      <c r="I7" s="43" t="n">
        <v>7910</v>
      </c>
      <c r="J7" s="43" t="n">
        <v>9040</v>
      </c>
      <c r="K7" s="40" t="n">
        <v>4731</v>
      </c>
      <c r="L7" s="43" t="n">
        <v>5839</v>
      </c>
      <c r="M7" s="40" t="n">
        <v>3920</v>
      </c>
    </row>
    <row r="8" customFormat="false" ht="15" hidden="false" customHeight="false" outlineLevel="0" collapsed="false">
      <c r="A8" s="37" t="n">
        <v>5</v>
      </c>
      <c r="B8" s="32" t="s">
        <v>246</v>
      </c>
      <c r="C8" s="32" t="s">
        <v>251</v>
      </c>
      <c r="D8" s="38" t="s">
        <v>248</v>
      </c>
      <c r="E8" s="23" t="n">
        <v>1488</v>
      </c>
      <c r="F8" s="39" t="n">
        <v>3825</v>
      </c>
      <c r="G8" s="39" t="n">
        <v>5820</v>
      </c>
      <c r="H8" s="40" t="n">
        <v>11500</v>
      </c>
      <c r="I8" s="39" t="n">
        <v>5744</v>
      </c>
      <c r="J8" s="39" t="n">
        <v>6215</v>
      </c>
      <c r="K8" s="40" t="n">
        <v>2988</v>
      </c>
      <c r="L8" s="39" t="n">
        <v>3955</v>
      </c>
      <c r="M8" s="39" t="n">
        <v>2500</v>
      </c>
    </row>
    <row r="9" customFormat="false" ht="15" hidden="false" customHeight="false" outlineLevel="0" collapsed="false">
      <c r="A9" s="41" t="n">
        <v>6</v>
      </c>
      <c r="B9" s="28" t="s">
        <v>246</v>
      </c>
      <c r="C9" s="8" t="s">
        <v>251</v>
      </c>
      <c r="D9" s="42" t="s">
        <v>249</v>
      </c>
      <c r="E9" s="23" t="n">
        <v>4500</v>
      </c>
      <c r="F9" s="43" t="n">
        <v>6375</v>
      </c>
      <c r="G9" s="43" t="n">
        <v>8467</v>
      </c>
      <c r="H9" s="40" t="n">
        <v>14450</v>
      </c>
      <c r="I9" s="43" t="n">
        <v>8286</v>
      </c>
      <c r="J9" s="43" t="n">
        <v>9229</v>
      </c>
      <c r="K9" s="40" t="n">
        <v>4731</v>
      </c>
      <c r="L9" s="43" t="n">
        <v>6215</v>
      </c>
      <c r="M9" s="40" t="n">
        <v>4200</v>
      </c>
    </row>
    <row r="10" customFormat="false" ht="15" hidden="false" customHeight="false" outlineLevel="0" collapsed="false">
      <c r="A10" s="37" t="n">
        <v>7</v>
      </c>
      <c r="B10" s="32" t="s">
        <v>246</v>
      </c>
      <c r="C10" s="32" t="s">
        <v>252</v>
      </c>
      <c r="D10" s="38" t="s">
        <v>248</v>
      </c>
      <c r="E10" s="23" t="n">
        <v>1500</v>
      </c>
      <c r="F10" s="39" t="n">
        <v>3825</v>
      </c>
      <c r="G10" s="39" t="n">
        <v>5292</v>
      </c>
      <c r="H10" s="40" t="n">
        <v>11000</v>
      </c>
      <c r="I10" s="39" t="n">
        <v>5726</v>
      </c>
      <c r="J10" s="39" t="n">
        <v>6404</v>
      </c>
      <c r="K10" s="40" t="n">
        <v>3095</v>
      </c>
      <c r="L10" s="39" t="n">
        <v>3955</v>
      </c>
      <c r="M10" s="39" t="n">
        <v>2500</v>
      </c>
    </row>
    <row r="11" customFormat="false" ht="15" hidden="false" customHeight="false" outlineLevel="0" collapsed="false">
      <c r="A11" s="41" t="n">
        <v>8</v>
      </c>
      <c r="B11" s="28" t="s">
        <v>246</v>
      </c>
      <c r="C11" s="8" t="s">
        <v>252</v>
      </c>
      <c r="D11" s="42" t="s">
        <v>249</v>
      </c>
      <c r="E11" s="23" t="n">
        <v>4750</v>
      </c>
      <c r="F11" s="43" t="n">
        <v>6375</v>
      </c>
      <c r="G11" s="43" t="n">
        <v>7938</v>
      </c>
      <c r="H11" s="40" t="n">
        <v>14025</v>
      </c>
      <c r="I11" s="43" t="n">
        <v>8193</v>
      </c>
      <c r="J11" s="43" t="n">
        <v>9417</v>
      </c>
      <c r="K11" s="40" t="n">
        <v>5009</v>
      </c>
      <c r="L11" s="43" t="n">
        <v>6215</v>
      </c>
      <c r="M11" s="40" t="n">
        <v>4200</v>
      </c>
    </row>
    <row r="12" customFormat="false" ht="15" hidden="false" customHeight="false" outlineLevel="0" collapsed="false">
      <c r="A12" s="37" t="n">
        <v>9</v>
      </c>
      <c r="B12" s="32" t="s">
        <v>253</v>
      </c>
      <c r="C12" s="32" t="s">
        <v>254</v>
      </c>
      <c r="D12" s="38" t="s">
        <v>248</v>
      </c>
      <c r="E12" s="23" t="n">
        <v>1500</v>
      </c>
      <c r="F12" s="39" t="n">
        <v>3825</v>
      </c>
      <c r="G12" s="39" t="n">
        <v>5292</v>
      </c>
      <c r="H12" s="40" t="n">
        <v>11500</v>
      </c>
      <c r="I12" s="39" t="n">
        <v>5726</v>
      </c>
      <c r="J12" s="39" t="n">
        <v>6404</v>
      </c>
      <c r="K12" s="40" t="n">
        <v>3095</v>
      </c>
      <c r="L12" s="39" t="n">
        <v>3955</v>
      </c>
      <c r="M12" s="39" t="n">
        <v>2500</v>
      </c>
    </row>
    <row r="13" customFormat="false" ht="15" hidden="false" customHeight="false" outlineLevel="0" collapsed="false">
      <c r="A13" s="41" t="n">
        <v>10</v>
      </c>
      <c r="B13" s="28" t="s">
        <v>253</v>
      </c>
      <c r="C13" s="8" t="s">
        <v>254</v>
      </c>
      <c r="D13" s="42" t="s">
        <v>249</v>
      </c>
      <c r="E13" s="23" t="n">
        <v>4750</v>
      </c>
      <c r="F13" s="43" t="n">
        <v>6375</v>
      </c>
      <c r="G13" s="43" t="n">
        <v>7938</v>
      </c>
      <c r="H13" s="40" t="n">
        <v>14450</v>
      </c>
      <c r="I13" s="43" t="n">
        <v>8193</v>
      </c>
      <c r="J13" s="43" t="n">
        <v>9417</v>
      </c>
      <c r="K13" s="40" t="n">
        <v>5009</v>
      </c>
      <c r="L13" s="43" t="n">
        <v>6215</v>
      </c>
      <c r="M13" s="40" t="n">
        <v>4200</v>
      </c>
    </row>
    <row r="14" customFormat="false" ht="15" hidden="false" customHeight="false" outlineLevel="0" collapsed="false">
      <c r="A14" s="37" t="n">
        <v>11</v>
      </c>
      <c r="B14" s="32" t="s">
        <v>253</v>
      </c>
      <c r="C14" s="32" t="s">
        <v>255</v>
      </c>
      <c r="D14" s="38" t="s">
        <v>248</v>
      </c>
      <c r="E14" s="23" t="n">
        <v>1600</v>
      </c>
      <c r="F14" s="39" t="n">
        <v>3570</v>
      </c>
      <c r="G14" s="39" t="n">
        <v>4763</v>
      </c>
      <c r="H14" s="40" t="n">
        <v>11000</v>
      </c>
      <c r="I14" s="39" t="n">
        <v>5556</v>
      </c>
      <c r="J14" s="39" t="n">
        <v>6121</v>
      </c>
      <c r="K14" s="40" t="n">
        <v>2881</v>
      </c>
      <c r="L14" s="39" t="n">
        <v>3766</v>
      </c>
      <c r="M14" s="39" t="n">
        <v>2333</v>
      </c>
    </row>
    <row r="15" customFormat="false" ht="15" hidden="false" customHeight="false" outlineLevel="0" collapsed="false">
      <c r="A15" s="41" t="n">
        <v>12</v>
      </c>
      <c r="B15" s="28" t="s">
        <v>253</v>
      </c>
      <c r="C15" s="8" t="s">
        <v>255</v>
      </c>
      <c r="D15" s="42" t="s">
        <v>249</v>
      </c>
      <c r="E15" s="23" t="n">
        <v>4500</v>
      </c>
      <c r="F15" s="43" t="n">
        <v>6120</v>
      </c>
      <c r="G15" s="43" t="n">
        <v>6879</v>
      </c>
      <c r="H15" s="40" t="n">
        <v>13175</v>
      </c>
      <c r="I15" s="43" t="n">
        <v>7628</v>
      </c>
      <c r="J15" s="43" t="n">
        <v>8663</v>
      </c>
      <c r="K15" s="40" t="n">
        <v>4564</v>
      </c>
      <c r="L15" s="43" t="n">
        <v>5650</v>
      </c>
      <c r="M15" s="40" t="n">
        <v>3733</v>
      </c>
    </row>
    <row r="16" customFormat="false" ht="15" hidden="false" customHeight="false" outlineLevel="0" collapsed="false">
      <c r="A16" s="37" t="n">
        <v>13</v>
      </c>
      <c r="B16" s="32" t="s">
        <v>253</v>
      </c>
      <c r="C16" s="32" t="s">
        <v>256</v>
      </c>
      <c r="D16" s="38" t="s">
        <v>248</v>
      </c>
      <c r="E16" s="23" t="n">
        <v>1250</v>
      </c>
      <c r="F16" s="39" t="n">
        <v>3315</v>
      </c>
      <c r="G16" s="39" t="n">
        <v>4498</v>
      </c>
      <c r="H16" s="40" t="n">
        <v>9000</v>
      </c>
      <c r="I16" s="39" t="n">
        <v>4991</v>
      </c>
      <c r="J16" s="39" t="n">
        <v>5461</v>
      </c>
      <c r="K16" s="40" t="n">
        <v>2561</v>
      </c>
      <c r="L16" s="39" t="n">
        <v>3390</v>
      </c>
      <c r="M16" s="39" t="n">
        <v>2083</v>
      </c>
    </row>
    <row r="17" customFormat="false" ht="15" hidden="false" customHeight="false" outlineLevel="0" collapsed="false">
      <c r="A17" s="41" t="n">
        <v>14</v>
      </c>
      <c r="B17" s="28" t="s">
        <v>253</v>
      </c>
      <c r="C17" s="8" t="s">
        <v>256</v>
      </c>
      <c r="D17" s="42" t="s">
        <v>249</v>
      </c>
      <c r="E17" s="23" t="n">
        <v>3250</v>
      </c>
      <c r="F17" s="43" t="n">
        <v>5100</v>
      </c>
      <c r="G17" s="43" t="n">
        <v>6350</v>
      </c>
      <c r="H17" s="40" t="n">
        <v>11050</v>
      </c>
      <c r="I17" s="43" t="n">
        <v>7063</v>
      </c>
      <c r="J17" s="43" t="n">
        <v>7721</v>
      </c>
      <c r="K17" s="40" t="n">
        <v>4008</v>
      </c>
      <c r="L17" s="43" t="n">
        <v>5085</v>
      </c>
      <c r="M17" s="40" t="n">
        <v>3360</v>
      </c>
    </row>
    <row r="18" customFormat="false" ht="15" hidden="false" customHeight="false" outlineLevel="0" collapsed="false">
      <c r="A18" s="37" t="n">
        <v>15</v>
      </c>
      <c r="B18" s="32" t="s">
        <v>253</v>
      </c>
      <c r="C18" s="32" t="s">
        <v>257</v>
      </c>
      <c r="D18" s="38" t="s">
        <v>248</v>
      </c>
      <c r="E18" s="23" t="n">
        <v>1450</v>
      </c>
      <c r="F18" s="39" t="n">
        <v>3698</v>
      </c>
      <c r="G18" s="39" t="n">
        <v>5292</v>
      </c>
      <c r="H18" s="40" t="n">
        <v>11000</v>
      </c>
      <c r="I18" s="39" t="n">
        <v>5556</v>
      </c>
      <c r="J18" s="39" t="n">
        <v>6026</v>
      </c>
      <c r="K18" s="40" t="n">
        <v>2935</v>
      </c>
      <c r="L18" s="39" t="n">
        <v>3766</v>
      </c>
      <c r="M18" s="39" t="n">
        <v>2333</v>
      </c>
    </row>
    <row r="19" customFormat="false" ht="15" hidden="false" customHeight="false" outlineLevel="0" collapsed="false">
      <c r="A19" s="41" t="n">
        <v>16</v>
      </c>
      <c r="B19" s="28" t="s">
        <v>253</v>
      </c>
      <c r="C19" s="8" t="s">
        <v>257</v>
      </c>
      <c r="D19" s="42" t="s">
        <v>249</v>
      </c>
      <c r="E19" s="23" t="n">
        <v>4450</v>
      </c>
      <c r="F19" s="43" t="n">
        <v>6120</v>
      </c>
      <c r="G19" s="43" t="n">
        <v>7938</v>
      </c>
      <c r="H19" s="40" t="n">
        <v>13600</v>
      </c>
      <c r="I19" s="43" t="n">
        <v>7910</v>
      </c>
      <c r="J19" s="43" t="n">
        <v>8946</v>
      </c>
      <c r="K19" s="40" t="n">
        <v>4731</v>
      </c>
      <c r="L19" s="43" t="n">
        <v>5839</v>
      </c>
      <c r="M19" s="40" t="n">
        <v>3733</v>
      </c>
    </row>
    <row r="20" customFormat="false" ht="15" hidden="false" customHeight="false" outlineLevel="0" collapsed="false">
      <c r="A20" s="37" t="n">
        <v>17</v>
      </c>
      <c r="B20" s="32" t="s">
        <v>253</v>
      </c>
      <c r="C20" s="32" t="s">
        <v>258</v>
      </c>
      <c r="D20" s="38" t="s">
        <v>248</v>
      </c>
      <c r="E20" s="23" t="n">
        <v>1488</v>
      </c>
      <c r="F20" s="39" t="n">
        <v>3698</v>
      </c>
      <c r="G20" s="39" t="n">
        <v>5820</v>
      </c>
      <c r="H20" s="40" t="n">
        <v>11500</v>
      </c>
      <c r="I20" s="39" t="n">
        <v>5744</v>
      </c>
      <c r="J20" s="39" t="n">
        <v>6215</v>
      </c>
      <c r="K20" s="40" t="n">
        <v>2988</v>
      </c>
      <c r="L20" s="39" t="n">
        <v>3955</v>
      </c>
      <c r="M20" s="39" t="n">
        <v>2500</v>
      </c>
    </row>
    <row r="21" customFormat="false" ht="15" hidden="false" customHeight="false" outlineLevel="0" collapsed="false">
      <c r="A21" s="41" t="n">
        <v>18</v>
      </c>
      <c r="B21" s="28" t="s">
        <v>253</v>
      </c>
      <c r="C21" s="8" t="s">
        <v>258</v>
      </c>
      <c r="D21" s="42" t="s">
        <v>249</v>
      </c>
      <c r="E21" s="23" t="n">
        <v>4500</v>
      </c>
      <c r="F21" s="43" t="n">
        <v>6248</v>
      </c>
      <c r="G21" s="43" t="n">
        <v>8467</v>
      </c>
      <c r="H21" s="40" t="n">
        <v>14450</v>
      </c>
      <c r="I21" s="43" t="n">
        <v>8286</v>
      </c>
      <c r="J21" s="43" t="n">
        <v>9229</v>
      </c>
      <c r="K21" s="40" t="n">
        <v>4731</v>
      </c>
      <c r="L21" s="43" t="n">
        <v>6215</v>
      </c>
      <c r="M21" s="40" t="n">
        <v>4200</v>
      </c>
    </row>
    <row r="22" customFormat="false" ht="15" hidden="false" customHeight="false" outlineLevel="0" collapsed="false">
      <c r="A22" s="37" t="n">
        <v>19</v>
      </c>
      <c r="B22" s="32" t="s">
        <v>259</v>
      </c>
      <c r="C22" s="32" t="s">
        <v>260</v>
      </c>
      <c r="D22" s="38" t="s">
        <v>248</v>
      </c>
      <c r="E22" s="23" t="n">
        <v>1231</v>
      </c>
      <c r="F22" s="39" t="n">
        <v>3188</v>
      </c>
      <c r="G22" s="39" t="n">
        <v>4233</v>
      </c>
      <c r="H22" s="40" t="n">
        <v>9500</v>
      </c>
      <c r="I22" s="39" t="n">
        <v>4803</v>
      </c>
      <c r="J22" s="39" t="n">
        <v>5650</v>
      </c>
      <c r="K22" s="40" t="n">
        <v>2561</v>
      </c>
      <c r="L22" s="39" t="n">
        <v>3390</v>
      </c>
      <c r="M22" s="39" t="n">
        <v>2083</v>
      </c>
    </row>
    <row r="23" customFormat="false" ht="15" hidden="false" customHeight="false" outlineLevel="0" collapsed="false">
      <c r="A23" s="41" t="n">
        <v>20</v>
      </c>
      <c r="B23" s="28" t="s">
        <v>259</v>
      </c>
      <c r="C23" s="8" t="s">
        <v>260</v>
      </c>
      <c r="D23" s="42" t="s">
        <v>249</v>
      </c>
      <c r="E23" s="23" t="n">
        <v>4000</v>
      </c>
      <c r="F23" s="43" t="n">
        <v>5100</v>
      </c>
      <c r="G23" s="43" t="n">
        <v>6350</v>
      </c>
      <c r="H23" s="40" t="n">
        <v>11900</v>
      </c>
      <c r="I23" s="43" t="n">
        <v>6780</v>
      </c>
      <c r="J23" s="43" t="n">
        <v>8475</v>
      </c>
      <c r="K23" s="40" t="n">
        <v>3896</v>
      </c>
      <c r="L23" s="43" t="n">
        <v>5179</v>
      </c>
      <c r="M23" s="40" t="n">
        <v>3360</v>
      </c>
    </row>
    <row r="24" customFormat="false" ht="15" hidden="false" customHeight="false" outlineLevel="0" collapsed="false">
      <c r="A24" s="37" t="n">
        <v>21</v>
      </c>
      <c r="B24" s="32" t="s">
        <v>259</v>
      </c>
      <c r="C24" s="32" t="s">
        <v>261</v>
      </c>
      <c r="D24" s="38" t="s">
        <v>248</v>
      </c>
      <c r="E24" s="23" t="n">
        <v>1500</v>
      </c>
      <c r="F24" s="39" t="n">
        <v>3570</v>
      </c>
      <c r="G24" s="39" t="n">
        <v>4763</v>
      </c>
      <c r="H24" s="40" t="n">
        <v>11000</v>
      </c>
      <c r="I24" s="39" t="n">
        <v>5556</v>
      </c>
      <c r="J24" s="39" t="n">
        <v>6026</v>
      </c>
      <c r="K24" s="40" t="n">
        <v>2881</v>
      </c>
      <c r="L24" s="39" t="n">
        <v>3766</v>
      </c>
      <c r="M24" s="39" t="n">
        <v>2333</v>
      </c>
    </row>
    <row r="25" customFormat="false" ht="15" hidden="false" customHeight="false" outlineLevel="0" collapsed="false">
      <c r="A25" s="41" t="n">
        <v>22</v>
      </c>
      <c r="B25" s="28" t="s">
        <v>259</v>
      </c>
      <c r="C25" s="8" t="s">
        <v>261</v>
      </c>
      <c r="D25" s="42" t="s">
        <v>249</v>
      </c>
      <c r="E25" s="23" t="n">
        <v>4750</v>
      </c>
      <c r="F25" s="43" t="n">
        <v>5865</v>
      </c>
      <c r="G25" s="43" t="n">
        <v>7407</v>
      </c>
      <c r="H25" s="40" t="n">
        <v>13600</v>
      </c>
      <c r="I25" s="43" t="n">
        <v>7628</v>
      </c>
      <c r="J25" s="43" t="n">
        <v>8946</v>
      </c>
      <c r="K25" s="40" t="n">
        <v>4564</v>
      </c>
      <c r="L25" s="43" t="n">
        <v>5650</v>
      </c>
      <c r="M25" s="40" t="n">
        <v>3733</v>
      </c>
    </row>
    <row r="26" customFormat="false" ht="15" hidden="false" customHeight="false" outlineLevel="0" collapsed="false">
      <c r="A26" s="37" t="n">
        <v>23</v>
      </c>
      <c r="B26" s="32" t="s">
        <v>259</v>
      </c>
      <c r="C26" s="32" t="s">
        <v>262</v>
      </c>
      <c r="D26" s="38" t="s">
        <v>248</v>
      </c>
      <c r="E26" s="23" t="n">
        <v>1500</v>
      </c>
      <c r="F26" s="39" t="n">
        <v>3570</v>
      </c>
      <c r="G26" s="39" t="n">
        <v>4763</v>
      </c>
      <c r="H26" s="40" t="n">
        <v>11000</v>
      </c>
      <c r="I26" s="39" t="n">
        <v>5556</v>
      </c>
      <c r="J26" s="39" t="n">
        <v>6026</v>
      </c>
      <c r="K26" s="40" t="n">
        <v>2881</v>
      </c>
      <c r="L26" s="39" t="n">
        <v>3766</v>
      </c>
      <c r="M26" s="39" t="n">
        <v>2333</v>
      </c>
    </row>
    <row r="27" customFormat="false" ht="15" hidden="false" customHeight="false" outlineLevel="0" collapsed="false">
      <c r="A27" s="41" t="n">
        <v>24</v>
      </c>
      <c r="B27" s="28" t="s">
        <v>259</v>
      </c>
      <c r="C27" s="8" t="s">
        <v>262</v>
      </c>
      <c r="D27" s="42" t="s">
        <v>249</v>
      </c>
      <c r="E27" s="23" t="n">
        <v>4750</v>
      </c>
      <c r="F27" s="43" t="n">
        <v>5865</v>
      </c>
      <c r="G27" s="43" t="n">
        <v>7407</v>
      </c>
      <c r="H27" s="40" t="n">
        <v>13600</v>
      </c>
      <c r="I27" s="43" t="n">
        <v>7628</v>
      </c>
      <c r="J27" s="43" t="n">
        <v>8946</v>
      </c>
      <c r="K27" s="40" t="n">
        <v>4564</v>
      </c>
      <c r="L27" s="43" t="n">
        <v>5650</v>
      </c>
      <c r="M27" s="40" t="n">
        <v>3733</v>
      </c>
    </row>
    <row r="28" customFormat="false" ht="15" hidden="false" customHeight="false" outlineLevel="0" collapsed="false">
      <c r="A28" s="37" t="n">
        <v>25</v>
      </c>
      <c r="B28" s="32" t="s">
        <v>259</v>
      </c>
      <c r="C28" s="32" t="s">
        <v>263</v>
      </c>
      <c r="D28" s="38" t="s">
        <v>248</v>
      </c>
      <c r="E28" s="23" t="n">
        <v>1231</v>
      </c>
      <c r="F28" s="39" t="n">
        <v>3188</v>
      </c>
      <c r="G28" s="39" t="n">
        <v>4233</v>
      </c>
      <c r="H28" s="40" t="n">
        <v>9500</v>
      </c>
      <c r="I28" s="39" t="n">
        <v>4803</v>
      </c>
      <c r="J28" s="39" t="n">
        <v>5650</v>
      </c>
      <c r="K28" s="40" t="n">
        <v>2561</v>
      </c>
      <c r="L28" s="39" t="n">
        <v>3390</v>
      </c>
      <c r="M28" s="39" t="n">
        <v>2083</v>
      </c>
    </row>
    <row r="29" customFormat="false" ht="15" hidden="false" customHeight="false" outlineLevel="0" collapsed="false">
      <c r="A29" s="41" t="n">
        <v>26</v>
      </c>
      <c r="B29" s="28" t="s">
        <v>259</v>
      </c>
      <c r="C29" s="8" t="s">
        <v>263</v>
      </c>
      <c r="D29" s="42" t="s">
        <v>249</v>
      </c>
      <c r="E29" s="23" t="n">
        <v>4000</v>
      </c>
      <c r="F29" s="43" t="n">
        <v>5100</v>
      </c>
      <c r="G29" s="43" t="n">
        <v>6350</v>
      </c>
      <c r="H29" s="40" t="n">
        <v>11900</v>
      </c>
      <c r="I29" s="43" t="n">
        <v>6780</v>
      </c>
      <c r="J29" s="43" t="n">
        <v>8475</v>
      </c>
      <c r="K29" s="40" t="n">
        <v>3896</v>
      </c>
      <c r="L29" s="43" t="n">
        <v>5179</v>
      </c>
      <c r="M29" s="40" t="n">
        <v>3360</v>
      </c>
    </row>
    <row r="30" customFormat="false" ht="15" hidden="false" customHeight="false" outlineLevel="0" collapsed="false">
      <c r="A30" s="37" t="n">
        <v>27</v>
      </c>
      <c r="B30" s="32" t="s">
        <v>264</v>
      </c>
      <c r="C30" s="32" t="s">
        <v>265</v>
      </c>
      <c r="D30" s="38" t="s">
        <v>248</v>
      </c>
      <c r="E30" s="23" t="n">
        <v>1350</v>
      </c>
      <c r="F30" s="39" t="n">
        <v>2933</v>
      </c>
      <c r="G30" s="39" t="n">
        <v>4233</v>
      </c>
      <c r="H30" s="40" t="n">
        <v>9000</v>
      </c>
      <c r="I30" s="39" t="n">
        <v>4520</v>
      </c>
      <c r="J30" s="39" t="n">
        <v>5179</v>
      </c>
      <c r="K30" s="40" t="n">
        <v>2348</v>
      </c>
      <c r="L30" s="39" t="n">
        <v>3296</v>
      </c>
      <c r="M30" s="39" t="n">
        <v>1917</v>
      </c>
    </row>
    <row r="31" customFormat="false" ht="15" hidden="false" customHeight="false" outlineLevel="0" collapsed="false">
      <c r="A31" s="41" t="n">
        <v>28</v>
      </c>
      <c r="B31" s="28" t="s">
        <v>264</v>
      </c>
      <c r="C31" s="8" t="s">
        <v>265</v>
      </c>
      <c r="D31" s="42" t="s">
        <v>249</v>
      </c>
      <c r="E31" s="23" t="n">
        <v>3250</v>
      </c>
      <c r="F31" s="43" t="n">
        <v>4590</v>
      </c>
      <c r="G31" s="43" t="n">
        <v>6614</v>
      </c>
      <c r="H31" s="40" t="n">
        <v>11050</v>
      </c>
      <c r="I31" s="43" t="n">
        <v>6498</v>
      </c>
      <c r="J31" s="43" t="n">
        <v>7345</v>
      </c>
      <c r="K31" s="40" t="n">
        <v>3618</v>
      </c>
      <c r="L31" s="43" t="n">
        <v>4896</v>
      </c>
      <c r="M31" s="40" t="n">
        <v>3267</v>
      </c>
    </row>
    <row r="32" customFormat="false" ht="15" hidden="false" customHeight="false" outlineLevel="0" collapsed="false">
      <c r="A32" s="37" t="n">
        <v>29</v>
      </c>
      <c r="B32" s="32" t="s">
        <v>266</v>
      </c>
      <c r="C32" s="32" t="s">
        <v>267</v>
      </c>
      <c r="D32" s="38" t="s">
        <v>248</v>
      </c>
      <c r="E32" s="23" t="n">
        <v>1850</v>
      </c>
      <c r="F32" s="39" t="n">
        <v>4335</v>
      </c>
      <c r="G32" s="39" t="n">
        <v>6350</v>
      </c>
      <c r="H32" s="40" t="n">
        <v>14080</v>
      </c>
      <c r="I32" s="39" t="n">
        <v>6686</v>
      </c>
      <c r="J32" s="39" t="n">
        <v>7156</v>
      </c>
      <c r="K32" s="40" t="n">
        <v>3202</v>
      </c>
      <c r="L32" s="39" t="n">
        <v>4520</v>
      </c>
      <c r="M32" s="39" t="n">
        <v>2750</v>
      </c>
    </row>
    <row r="33" customFormat="false" ht="15" hidden="false" customHeight="false" outlineLevel="0" collapsed="false">
      <c r="A33" s="41" t="n">
        <v>30</v>
      </c>
      <c r="B33" s="28" t="s">
        <v>266</v>
      </c>
      <c r="C33" s="8" t="s">
        <v>267</v>
      </c>
      <c r="D33" s="42" t="s">
        <v>249</v>
      </c>
      <c r="E33" s="23" t="n">
        <v>4775</v>
      </c>
      <c r="F33" s="43" t="n">
        <v>6885</v>
      </c>
      <c r="G33" s="43" t="n">
        <v>9525</v>
      </c>
      <c r="H33" s="40" t="n">
        <v>15725</v>
      </c>
      <c r="I33" s="43" t="n">
        <v>9605</v>
      </c>
      <c r="J33" s="43" t="n">
        <v>10359</v>
      </c>
      <c r="K33" s="40" t="n">
        <v>5121</v>
      </c>
      <c r="L33" s="43" t="n">
        <v>6780</v>
      </c>
      <c r="M33" s="40" t="n">
        <v>4480</v>
      </c>
    </row>
    <row r="34" customFormat="false" ht="15" hidden="false" customHeight="false" outlineLevel="0" collapsed="false">
      <c r="A34" s="37" t="n">
        <v>31</v>
      </c>
      <c r="B34" s="32" t="s">
        <v>268</v>
      </c>
      <c r="C34" s="32" t="s">
        <v>269</v>
      </c>
      <c r="D34" s="38" t="s">
        <v>248</v>
      </c>
      <c r="E34" s="23" t="n">
        <v>1400</v>
      </c>
      <c r="F34" s="39" t="n">
        <v>3570</v>
      </c>
      <c r="G34" s="39" t="n">
        <v>4763</v>
      </c>
      <c r="H34" s="40" t="n">
        <v>11000</v>
      </c>
      <c r="I34" s="39" t="n">
        <v>5274</v>
      </c>
      <c r="J34" s="39" t="n">
        <v>6121</v>
      </c>
      <c r="K34" s="40" t="n">
        <v>2668</v>
      </c>
      <c r="L34" s="39" t="n">
        <v>3579</v>
      </c>
      <c r="M34" s="39" t="n">
        <v>2167</v>
      </c>
    </row>
    <row r="35" customFormat="false" ht="15" hidden="false" customHeight="false" outlineLevel="0" collapsed="false">
      <c r="A35" s="41" t="n">
        <v>32</v>
      </c>
      <c r="B35" s="28" t="s">
        <v>268</v>
      </c>
      <c r="C35" s="8" t="s">
        <v>269</v>
      </c>
      <c r="D35" s="42" t="s">
        <v>249</v>
      </c>
      <c r="E35" s="23" t="n">
        <v>3200</v>
      </c>
      <c r="F35" s="43" t="n">
        <v>5100</v>
      </c>
      <c r="G35" s="43" t="n">
        <v>6879</v>
      </c>
      <c r="H35" s="40" t="n">
        <v>12750</v>
      </c>
      <c r="I35" s="43" t="n">
        <v>7345</v>
      </c>
      <c r="J35" s="43" t="n">
        <v>8475</v>
      </c>
      <c r="K35" s="40" t="n">
        <v>4119</v>
      </c>
      <c r="L35" s="43" t="n">
        <v>5461</v>
      </c>
      <c r="M35" s="40" t="n">
        <v>3547</v>
      </c>
    </row>
    <row r="36" customFormat="false" ht="15" hidden="false" customHeight="false" outlineLevel="0" collapsed="false">
      <c r="A36" s="37" t="n">
        <v>33</v>
      </c>
      <c r="B36" s="32" t="s">
        <v>270</v>
      </c>
      <c r="C36" s="32" t="s">
        <v>271</v>
      </c>
      <c r="D36" s="38" t="s">
        <v>248</v>
      </c>
      <c r="E36" s="23" t="n">
        <v>1150</v>
      </c>
      <c r="F36" s="39" t="n">
        <v>3060</v>
      </c>
      <c r="G36" s="39" t="n">
        <v>4233</v>
      </c>
      <c r="H36" s="40" t="n">
        <v>10000</v>
      </c>
      <c r="I36" s="39" t="n">
        <v>4709</v>
      </c>
      <c r="J36" s="39" t="n">
        <v>5556</v>
      </c>
      <c r="K36" s="40" t="n">
        <v>2241</v>
      </c>
      <c r="L36" s="39" t="n">
        <v>3296</v>
      </c>
      <c r="M36" s="39" t="n">
        <v>1833</v>
      </c>
    </row>
    <row r="37" customFormat="false" ht="15" hidden="false" customHeight="false" outlineLevel="0" collapsed="false">
      <c r="A37" s="41" t="n">
        <v>34</v>
      </c>
      <c r="B37" s="28" t="s">
        <v>270</v>
      </c>
      <c r="C37" s="8" t="s">
        <v>271</v>
      </c>
      <c r="D37" s="42" t="s">
        <v>249</v>
      </c>
      <c r="E37" s="23" t="n">
        <v>2750</v>
      </c>
      <c r="F37" s="43" t="n">
        <v>4590</v>
      </c>
      <c r="G37" s="43" t="n">
        <v>5820</v>
      </c>
      <c r="H37" s="40" t="n">
        <v>11475</v>
      </c>
      <c r="I37" s="43" t="n">
        <v>6591</v>
      </c>
      <c r="J37" s="43" t="n">
        <v>7816</v>
      </c>
      <c r="K37" s="40" t="n">
        <v>3340</v>
      </c>
      <c r="L37" s="43" t="n">
        <v>4709</v>
      </c>
      <c r="M37" s="40" t="n">
        <v>3080</v>
      </c>
    </row>
    <row r="38" customFormat="false" ht="15" hidden="false" customHeight="false" outlineLevel="0" collapsed="false">
      <c r="A38" s="37" t="n">
        <v>35</v>
      </c>
      <c r="B38" s="32" t="s">
        <v>272</v>
      </c>
      <c r="C38" s="32" t="s">
        <v>273</v>
      </c>
      <c r="D38" s="38" t="s">
        <v>248</v>
      </c>
      <c r="E38" s="23" t="n">
        <v>1500</v>
      </c>
      <c r="F38" s="39" t="n">
        <v>3698</v>
      </c>
      <c r="G38" s="39" t="n">
        <v>5292</v>
      </c>
      <c r="H38" s="40" t="n">
        <v>13500</v>
      </c>
      <c r="I38" s="39" t="n">
        <v>5650</v>
      </c>
      <c r="J38" s="39" t="n">
        <v>6591</v>
      </c>
      <c r="K38" s="40" t="n">
        <v>2988</v>
      </c>
      <c r="L38" s="39" t="n">
        <v>3955</v>
      </c>
      <c r="M38" s="39" t="n">
        <v>2500</v>
      </c>
    </row>
    <row r="39" customFormat="false" ht="15" hidden="false" customHeight="false" outlineLevel="0" collapsed="false">
      <c r="A39" s="41" t="n">
        <v>36</v>
      </c>
      <c r="B39" s="28" t="s">
        <v>272</v>
      </c>
      <c r="C39" s="8" t="s">
        <v>273</v>
      </c>
      <c r="D39" s="42" t="s">
        <v>249</v>
      </c>
      <c r="E39" s="23" t="n">
        <v>4250</v>
      </c>
      <c r="F39" s="43" t="n">
        <v>6120</v>
      </c>
      <c r="G39" s="43" t="n">
        <v>7938</v>
      </c>
      <c r="H39" s="40" t="n">
        <v>14450</v>
      </c>
      <c r="I39" s="43" t="n">
        <v>8193</v>
      </c>
      <c r="J39" s="43" t="n">
        <v>9417</v>
      </c>
      <c r="K39" s="40" t="n">
        <v>4731</v>
      </c>
      <c r="L39" s="43" t="n">
        <v>6215</v>
      </c>
      <c r="M39" s="40" t="n">
        <v>4200</v>
      </c>
    </row>
    <row r="40" customFormat="false" ht="15" hidden="false" customHeight="false" outlineLevel="0" collapsed="false">
      <c r="A40" s="37" t="n">
        <v>37</v>
      </c>
      <c r="B40" s="32" t="s">
        <v>272</v>
      </c>
      <c r="C40" s="32" t="s">
        <v>274</v>
      </c>
      <c r="D40" s="38" t="s">
        <v>248</v>
      </c>
      <c r="E40" s="23" t="n">
        <v>1250</v>
      </c>
      <c r="F40" s="39" t="n">
        <v>3443</v>
      </c>
      <c r="G40" s="39" t="n">
        <v>4763</v>
      </c>
      <c r="H40" s="40" t="n">
        <v>11000</v>
      </c>
      <c r="I40" s="39" t="n">
        <v>5179</v>
      </c>
      <c r="J40" s="39" t="n">
        <v>6121</v>
      </c>
      <c r="K40" s="40" t="n">
        <v>2668</v>
      </c>
      <c r="L40" s="39" t="n">
        <v>3579</v>
      </c>
      <c r="M40" s="39" t="n">
        <v>2333</v>
      </c>
    </row>
    <row r="41" customFormat="false" ht="15" hidden="false" customHeight="false" outlineLevel="0" collapsed="false">
      <c r="A41" s="41" t="n">
        <v>38</v>
      </c>
      <c r="B41" s="28" t="s">
        <v>272</v>
      </c>
      <c r="C41" s="8" t="s">
        <v>274</v>
      </c>
      <c r="D41" s="42" t="s">
        <v>249</v>
      </c>
      <c r="E41" s="23" t="n">
        <v>4000</v>
      </c>
      <c r="F41" s="43" t="n">
        <v>5355</v>
      </c>
      <c r="G41" s="43" t="n">
        <v>6879</v>
      </c>
      <c r="H41" s="40" t="n">
        <v>12750</v>
      </c>
      <c r="I41" s="43" t="n">
        <v>7345</v>
      </c>
      <c r="J41" s="43" t="n">
        <v>8475</v>
      </c>
      <c r="K41" s="40" t="n">
        <v>4230</v>
      </c>
      <c r="L41" s="43" t="n">
        <v>5650</v>
      </c>
      <c r="M41" s="40" t="n">
        <v>3733</v>
      </c>
    </row>
    <row r="42" customFormat="false" ht="15" hidden="false" customHeight="false" outlineLevel="0" collapsed="false">
      <c r="A42" s="37" t="n">
        <v>39</v>
      </c>
      <c r="B42" s="32" t="s">
        <v>272</v>
      </c>
      <c r="C42" s="32" t="s">
        <v>275</v>
      </c>
      <c r="D42" s="38" t="s">
        <v>248</v>
      </c>
      <c r="E42" s="23" t="n">
        <v>1250</v>
      </c>
      <c r="F42" s="39" t="n">
        <v>3315</v>
      </c>
      <c r="G42" s="39" t="n">
        <v>4763</v>
      </c>
      <c r="H42" s="40" t="n">
        <v>12000</v>
      </c>
      <c r="I42" s="39" t="n">
        <v>5085</v>
      </c>
      <c r="J42" s="39" t="n">
        <v>5650</v>
      </c>
      <c r="K42" s="40" t="n">
        <v>2561</v>
      </c>
      <c r="L42" s="39" t="n">
        <v>3390</v>
      </c>
      <c r="M42" s="39" t="n">
        <v>2167</v>
      </c>
    </row>
    <row r="43" customFormat="false" ht="15" hidden="false" customHeight="false" outlineLevel="0" collapsed="false">
      <c r="A43" s="41" t="n">
        <v>40</v>
      </c>
      <c r="B43" s="28" t="s">
        <v>272</v>
      </c>
      <c r="C43" s="8" t="s">
        <v>275</v>
      </c>
      <c r="D43" s="42" t="s">
        <v>249</v>
      </c>
      <c r="E43" s="23" t="n">
        <v>4250</v>
      </c>
      <c r="F43" s="43" t="n">
        <v>5610</v>
      </c>
      <c r="G43" s="43" t="n">
        <v>6879</v>
      </c>
      <c r="H43" s="40" t="n">
        <v>13600</v>
      </c>
      <c r="I43" s="43" t="n">
        <v>7628</v>
      </c>
      <c r="J43" s="43" t="n">
        <v>8475</v>
      </c>
      <c r="K43" s="40" t="n">
        <v>4341</v>
      </c>
      <c r="L43" s="43" t="n">
        <v>5650</v>
      </c>
      <c r="M43" s="40" t="n">
        <v>3547</v>
      </c>
    </row>
    <row r="44" customFormat="false" ht="15" hidden="false" customHeight="false" outlineLevel="0" collapsed="false">
      <c r="A44" s="37" t="n">
        <v>41</v>
      </c>
      <c r="B44" s="32" t="s">
        <v>276</v>
      </c>
      <c r="C44" s="32" t="s">
        <v>277</v>
      </c>
      <c r="D44" s="38" t="s">
        <v>248</v>
      </c>
      <c r="E44" s="23" t="n">
        <v>2000</v>
      </c>
      <c r="F44" s="39" t="n">
        <v>4335</v>
      </c>
      <c r="G44" s="39" t="n">
        <v>6350</v>
      </c>
      <c r="H44" s="40" t="n">
        <v>16000</v>
      </c>
      <c r="I44" s="39" t="n">
        <v>6591</v>
      </c>
      <c r="J44" s="39" t="n">
        <v>7439</v>
      </c>
      <c r="K44" s="40" t="n">
        <v>3308</v>
      </c>
      <c r="L44" s="39" t="n">
        <v>4709</v>
      </c>
      <c r="M44" s="39" t="n">
        <v>2917</v>
      </c>
    </row>
    <row r="45" customFormat="false" ht="15" hidden="false" customHeight="false" outlineLevel="0" collapsed="false">
      <c r="A45" s="41" t="n">
        <v>42</v>
      </c>
      <c r="B45" s="28" t="s">
        <v>276</v>
      </c>
      <c r="C45" s="8" t="s">
        <v>277</v>
      </c>
      <c r="D45" s="42" t="s">
        <v>249</v>
      </c>
      <c r="E45" s="23" t="n">
        <v>5500</v>
      </c>
      <c r="F45" s="43" t="n">
        <v>6885</v>
      </c>
      <c r="G45" s="43" t="n">
        <v>10053</v>
      </c>
      <c r="H45" s="40" t="n">
        <v>19975</v>
      </c>
      <c r="I45" s="43" t="n">
        <v>9605</v>
      </c>
      <c r="J45" s="43" t="n">
        <v>11300</v>
      </c>
      <c r="K45" s="40" t="n">
        <v>5288</v>
      </c>
      <c r="L45" s="43" t="n">
        <v>7345</v>
      </c>
      <c r="M45" s="40" t="n">
        <v>4853</v>
      </c>
    </row>
    <row r="46" customFormat="false" ht="15" hidden="false" customHeight="false" outlineLevel="0" collapsed="false">
      <c r="A46" s="37" t="n">
        <v>43</v>
      </c>
      <c r="B46" s="32" t="s">
        <v>278</v>
      </c>
      <c r="C46" s="32" t="s">
        <v>279</v>
      </c>
      <c r="D46" s="38" t="s">
        <v>248</v>
      </c>
      <c r="E46" s="23" t="n">
        <v>1875</v>
      </c>
      <c r="F46" s="39" t="n">
        <v>4080</v>
      </c>
      <c r="G46" s="39" t="n">
        <v>5292</v>
      </c>
      <c r="H46" s="40" t="n">
        <v>14000</v>
      </c>
      <c r="I46" s="39" t="n">
        <v>6121</v>
      </c>
      <c r="J46" s="39" t="n">
        <v>6591</v>
      </c>
      <c r="K46" s="40" t="n">
        <v>3202</v>
      </c>
      <c r="L46" s="39" t="n">
        <v>4144</v>
      </c>
      <c r="M46" s="39" t="n">
        <v>2750</v>
      </c>
    </row>
    <row r="47" customFormat="false" ht="15" hidden="false" customHeight="false" outlineLevel="0" collapsed="false">
      <c r="A47" s="41" t="n">
        <v>44</v>
      </c>
      <c r="B47" s="28" t="s">
        <v>278</v>
      </c>
      <c r="C47" s="8" t="s">
        <v>279</v>
      </c>
      <c r="D47" s="42" t="s">
        <v>249</v>
      </c>
      <c r="E47" s="23" t="n">
        <v>4600</v>
      </c>
      <c r="F47" s="43" t="n">
        <v>6630</v>
      </c>
      <c r="G47" s="43" t="n">
        <v>7938</v>
      </c>
      <c r="H47" s="40" t="n">
        <v>16150</v>
      </c>
      <c r="I47" s="43" t="n">
        <v>8475</v>
      </c>
      <c r="J47" s="43" t="n">
        <v>9511</v>
      </c>
      <c r="K47" s="40" t="n">
        <v>5009</v>
      </c>
      <c r="L47" s="43" t="n">
        <v>6404</v>
      </c>
      <c r="M47" s="40" t="n">
        <v>4480</v>
      </c>
    </row>
    <row r="48" customFormat="false" ht="15" hidden="false" customHeight="false" outlineLevel="0" collapsed="false">
      <c r="A48" s="37" t="n">
        <v>45</v>
      </c>
      <c r="B48" s="32" t="s">
        <v>280</v>
      </c>
      <c r="C48" s="32" t="s">
        <v>281</v>
      </c>
      <c r="D48" s="38" t="s">
        <v>248</v>
      </c>
      <c r="E48" s="23" t="n">
        <v>1725</v>
      </c>
      <c r="F48" s="39" t="n">
        <v>3825</v>
      </c>
      <c r="G48" s="39" t="n">
        <v>5820</v>
      </c>
      <c r="H48" s="40" t="n">
        <v>15000</v>
      </c>
      <c r="I48" s="39" t="n">
        <v>5744</v>
      </c>
      <c r="J48" s="39" t="n">
        <v>6404</v>
      </c>
      <c r="K48" s="40" t="n">
        <v>3095</v>
      </c>
      <c r="L48" s="39" t="n">
        <v>3955</v>
      </c>
      <c r="M48" s="39" t="n">
        <v>2583</v>
      </c>
    </row>
    <row r="49" customFormat="false" ht="15" hidden="false" customHeight="false" outlineLevel="0" collapsed="false">
      <c r="A49" s="41" t="n">
        <v>46</v>
      </c>
      <c r="B49" s="28" t="s">
        <v>280</v>
      </c>
      <c r="C49" s="8" t="s">
        <v>281</v>
      </c>
      <c r="D49" s="42" t="s">
        <v>249</v>
      </c>
      <c r="E49" s="23" t="n">
        <v>4250</v>
      </c>
      <c r="F49" s="43" t="n">
        <v>6375</v>
      </c>
      <c r="G49" s="43" t="n">
        <v>8467</v>
      </c>
      <c r="H49" s="40" t="n">
        <v>17850</v>
      </c>
      <c r="I49" s="43" t="n">
        <v>7910</v>
      </c>
      <c r="J49" s="43" t="n">
        <v>9417</v>
      </c>
      <c r="K49" s="40" t="n">
        <v>4898</v>
      </c>
      <c r="L49" s="43" t="n">
        <v>6215</v>
      </c>
      <c r="M49" s="40" t="n">
        <v>4293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I51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"/>
    <col collapsed="false" customWidth="true" hidden="false" outlineLevel="0" max="3" min="3" style="1" width="18"/>
    <col collapsed="false" customWidth="true" hidden="false" outlineLevel="0" max="4" min="4" style="1" width="9"/>
    <col collapsed="false" customWidth="true" hidden="false" outlineLevel="0" max="139" min="5" style="1" width="10"/>
  </cols>
  <sheetData>
    <row r="1" customFormat="false" ht="25.5" hidden="false" customHeight="true" outlineLevel="0" collapsed="false">
      <c r="A1" s="35" t="s">
        <v>282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5"/>
      <c r="DQ1" s="35"/>
      <c r="DR1" s="35"/>
      <c r="DS1" s="35"/>
      <c r="DT1" s="35"/>
      <c r="DU1" s="35"/>
      <c r="DV1" s="35"/>
      <c r="DW1" s="35"/>
      <c r="DX1" s="35"/>
      <c r="DY1" s="35"/>
      <c r="DZ1" s="35"/>
      <c r="EA1" s="35"/>
      <c r="EB1" s="35"/>
      <c r="EC1" s="35"/>
      <c r="ED1" s="35"/>
      <c r="EE1" s="35"/>
      <c r="EF1" s="35"/>
      <c r="EG1" s="35"/>
      <c r="EH1" s="35"/>
      <c r="EI1" s="35"/>
    </row>
    <row r="2" customFormat="false" ht="15" hidden="false" customHeight="true" outlineLevel="0" collapsed="false">
      <c r="A2" s="44" t="s">
        <v>283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</row>
    <row r="3" customFormat="false" ht="21.75" hidden="false" customHeight="true" outlineLevel="0" collapsed="false">
      <c r="A3" s="14" t="s">
        <v>233</v>
      </c>
      <c r="B3" s="14" t="s">
        <v>284</v>
      </c>
      <c r="C3" s="14" t="s">
        <v>235</v>
      </c>
      <c r="D3" s="14" t="s">
        <v>236</v>
      </c>
      <c r="E3" s="14" t="s">
        <v>237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5" t="s">
        <v>238</v>
      </c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 t="s">
        <v>239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 t="s">
        <v>240</v>
      </c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 t="s">
        <v>241</v>
      </c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 t="s">
        <v>242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 t="s">
        <v>243</v>
      </c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 t="s">
        <v>244</v>
      </c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 t="s">
        <v>245</v>
      </c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</row>
    <row r="4" customFormat="false" ht="21.75" hidden="false" customHeight="true" outlineLevel="0" collapsed="false">
      <c r="A4" s="14" t="s">
        <v>233</v>
      </c>
      <c r="B4" s="14" t="s">
        <v>284</v>
      </c>
      <c r="C4" s="14" t="s">
        <v>235</v>
      </c>
      <c r="D4" s="14" t="s">
        <v>236</v>
      </c>
      <c r="E4" s="45" t="s">
        <v>285</v>
      </c>
      <c r="F4" s="45"/>
      <c r="G4" s="45"/>
      <c r="H4" s="45"/>
      <c r="I4" s="45"/>
      <c r="J4" s="46" t="s">
        <v>286</v>
      </c>
      <c r="K4" s="46"/>
      <c r="L4" s="46"/>
      <c r="M4" s="46"/>
      <c r="N4" s="46"/>
      <c r="O4" s="47" t="s">
        <v>287</v>
      </c>
      <c r="P4" s="47"/>
      <c r="Q4" s="47"/>
      <c r="R4" s="47"/>
      <c r="S4" s="47"/>
      <c r="T4" s="45" t="s">
        <v>288</v>
      </c>
      <c r="U4" s="45"/>
      <c r="V4" s="45"/>
      <c r="W4" s="45"/>
      <c r="X4" s="45"/>
      <c r="Y4" s="46" t="s">
        <v>289</v>
      </c>
      <c r="Z4" s="46"/>
      <c r="AA4" s="46"/>
      <c r="AB4" s="46"/>
      <c r="AC4" s="46"/>
      <c r="AD4" s="47" t="s">
        <v>290</v>
      </c>
      <c r="AE4" s="47"/>
      <c r="AF4" s="47"/>
      <c r="AG4" s="47"/>
      <c r="AH4" s="47"/>
      <c r="AI4" s="45" t="s">
        <v>291</v>
      </c>
      <c r="AJ4" s="45"/>
      <c r="AK4" s="45"/>
      <c r="AL4" s="45"/>
      <c r="AM4" s="45"/>
      <c r="AN4" s="46" t="s">
        <v>292</v>
      </c>
      <c r="AO4" s="46"/>
      <c r="AP4" s="46"/>
      <c r="AQ4" s="46"/>
      <c r="AR4" s="46"/>
      <c r="AS4" s="47" t="s">
        <v>290</v>
      </c>
      <c r="AT4" s="47"/>
      <c r="AU4" s="47"/>
      <c r="AV4" s="47"/>
      <c r="AW4" s="47"/>
      <c r="AX4" s="45" t="s">
        <v>293</v>
      </c>
      <c r="AY4" s="45"/>
      <c r="AZ4" s="45"/>
      <c r="BA4" s="45"/>
      <c r="BB4" s="45"/>
      <c r="BC4" s="46" t="s">
        <v>294</v>
      </c>
      <c r="BD4" s="46"/>
      <c r="BE4" s="46"/>
      <c r="BF4" s="46"/>
      <c r="BG4" s="46"/>
      <c r="BH4" s="47" t="s">
        <v>290</v>
      </c>
      <c r="BI4" s="47"/>
      <c r="BJ4" s="47"/>
      <c r="BK4" s="47"/>
      <c r="BL4" s="47"/>
      <c r="BM4" s="45" t="s">
        <v>295</v>
      </c>
      <c r="BN4" s="45"/>
      <c r="BO4" s="45"/>
      <c r="BP4" s="45"/>
      <c r="BQ4" s="45"/>
      <c r="BR4" s="46" t="s">
        <v>296</v>
      </c>
      <c r="BS4" s="46"/>
      <c r="BT4" s="46"/>
      <c r="BU4" s="46"/>
      <c r="BV4" s="46"/>
      <c r="BW4" s="47" t="s">
        <v>290</v>
      </c>
      <c r="BX4" s="47"/>
      <c r="BY4" s="47"/>
      <c r="BZ4" s="47"/>
      <c r="CA4" s="47"/>
      <c r="CB4" s="45" t="s">
        <v>297</v>
      </c>
      <c r="CC4" s="45"/>
      <c r="CD4" s="45"/>
      <c r="CE4" s="45"/>
      <c r="CF4" s="45"/>
      <c r="CG4" s="46" t="s">
        <v>298</v>
      </c>
      <c r="CH4" s="46"/>
      <c r="CI4" s="46"/>
      <c r="CJ4" s="46"/>
      <c r="CK4" s="46"/>
      <c r="CL4" s="47" t="s">
        <v>290</v>
      </c>
      <c r="CM4" s="47"/>
      <c r="CN4" s="47"/>
      <c r="CO4" s="47"/>
      <c r="CP4" s="47"/>
      <c r="CQ4" s="45" t="s">
        <v>299</v>
      </c>
      <c r="CR4" s="45"/>
      <c r="CS4" s="45"/>
      <c r="CT4" s="45"/>
      <c r="CU4" s="45"/>
      <c r="CV4" s="46" t="s">
        <v>300</v>
      </c>
      <c r="CW4" s="46"/>
      <c r="CX4" s="46"/>
      <c r="CY4" s="46"/>
      <c r="CZ4" s="46"/>
      <c r="DA4" s="47" t="s">
        <v>290</v>
      </c>
      <c r="DB4" s="47"/>
      <c r="DC4" s="47"/>
      <c r="DD4" s="47"/>
      <c r="DE4" s="47"/>
      <c r="DF4" s="45" t="s">
        <v>301</v>
      </c>
      <c r="DG4" s="45"/>
      <c r="DH4" s="45"/>
      <c r="DI4" s="45"/>
      <c r="DJ4" s="45"/>
      <c r="DK4" s="46" t="s">
        <v>302</v>
      </c>
      <c r="DL4" s="46"/>
      <c r="DM4" s="46"/>
      <c r="DN4" s="46"/>
      <c r="DO4" s="46"/>
      <c r="DP4" s="47" t="s">
        <v>290</v>
      </c>
      <c r="DQ4" s="47"/>
      <c r="DR4" s="47"/>
      <c r="DS4" s="47"/>
      <c r="DT4" s="47"/>
      <c r="DU4" s="45" t="s">
        <v>303</v>
      </c>
      <c r="DV4" s="45"/>
      <c r="DW4" s="45"/>
      <c r="DX4" s="45"/>
      <c r="DY4" s="45"/>
      <c r="DZ4" s="46" t="s">
        <v>304</v>
      </c>
      <c r="EA4" s="46"/>
      <c r="EB4" s="46"/>
      <c r="EC4" s="46"/>
      <c r="ED4" s="46"/>
      <c r="EE4" s="47" t="s">
        <v>290</v>
      </c>
      <c r="EF4" s="47"/>
      <c r="EG4" s="47"/>
      <c r="EH4" s="47"/>
      <c r="EI4" s="47"/>
    </row>
    <row r="5" customFormat="false" ht="21.75" hidden="false" customHeight="true" outlineLevel="0" collapsed="false">
      <c r="A5" s="14" t="s">
        <v>233</v>
      </c>
      <c r="B5" s="14" t="s">
        <v>284</v>
      </c>
      <c r="C5" s="14" t="s">
        <v>235</v>
      </c>
      <c r="D5" s="14" t="s">
        <v>236</v>
      </c>
      <c r="E5" s="48" t="s">
        <v>305</v>
      </c>
      <c r="F5" s="49" t="s">
        <v>306</v>
      </c>
      <c r="G5" s="48" t="s">
        <v>307</v>
      </c>
      <c r="H5" s="50" t="s">
        <v>308</v>
      </c>
      <c r="I5" s="51" t="s">
        <v>309</v>
      </c>
      <c r="J5" s="48" t="s">
        <v>305</v>
      </c>
      <c r="K5" s="49" t="s">
        <v>306</v>
      </c>
      <c r="L5" s="48" t="s">
        <v>307</v>
      </c>
      <c r="M5" s="50" t="s">
        <v>308</v>
      </c>
      <c r="N5" s="51" t="s">
        <v>309</v>
      </c>
      <c r="O5" s="48" t="s">
        <v>305</v>
      </c>
      <c r="P5" s="49" t="s">
        <v>306</v>
      </c>
      <c r="Q5" s="48" t="s">
        <v>307</v>
      </c>
      <c r="R5" s="50" t="s">
        <v>308</v>
      </c>
      <c r="S5" s="51" t="s">
        <v>309</v>
      </c>
      <c r="T5" s="48" t="s">
        <v>305</v>
      </c>
      <c r="U5" s="49" t="s">
        <v>306</v>
      </c>
      <c r="V5" s="48" t="s">
        <v>307</v>
      </c>
      <c r="W5" s="50" t="s">
        <v>308</v>
      </c>
      <c r="X5" s="51" t="s">
        <v>309</v>
      </c>
      <c r="Y5" s="48" t="s">
        <v>305</v>
      </c>
      <c r="Z5" s="49" t="s">
        <v>306</v>
      </c>
      <c r="AA5" s="48" t="s">
        <v>307</v>
      </c>
      <c r="AB5" s="50" t="s">
        <v>308</v>
      </c>
      <c r="AC5" s="51" t="s">
        <v>309</v>
      </c>
      <c r="AD5" s="48" t="s">
        <v>305</v>
      </c>
      <c r="AE5" s="49" t="s">
        <v>306</v>
      </c>
      <c r="AF5" s="48" t="s">
        <v>307</v>
      </c>
      <c r="AG5" s="50" t="s">
        <v>308</v>
      </c>
      <c r="AH5" s="51" t="s">
        <v>309</v>
      </c>
      <c r="AI5" s="48" t="s">
        <v>305</v>
      </c>
      <c r="AJ5" s="49" t="s">
        <v>306</v>
      </c>
      <c r="AK5" s="48" t="s">
        <v>307</v>
      </c>
      <c r="AL5" s="50" t="s">
        <v>308</v>
      </c>
      <c r="AM5" s="51" t="s">
        <v>309</v>
      </c>
      <c r="AN5" s="48" t="s">
        <v>305</v>
      </c>
      <c r="AO5" s="49" t="s">
        <v>306</v>
      </c>
      <c r="AP5" s="48" t="s">
        <v>307</v>
      </c>
      <c r="AQ5" s="50" t="s">
        <v>308</v>
      </c>
      <c r="AR5" s="51" t="s">
        <v>309</v>
      </c>
      <c r="AS5" s="48" t="s">
        <v>305</v>
      </c>
      <c r="AT5" s="49" t="s">
        <v>306</v>
      </c>
      <c r="AU5" s="48" t="s">
        <v>307</v>
      </c>
      <c r="AV5" s="50" t="s">
        <v>308</v>
      </c>
      <c r="AW5" s="51" t="s">
        <v>309</v>
      </c>
      <c r="AX5" s="48" t="s">
        <v>305</v>
      </c>
      <c r="AY5" s="49" t="s">
        <v>306</v>
      </c>
      <c r="AZ5" s="48" t="s">
        <v>307</v>
      </c>
      <c r="BA5" s="50" t="s">
        <v>308</v>
      </c>
      <c r="BB5" s="51" t="s">
        <v>309</v>
      </c>
      <c r="BC5" s="48" t="s">
        <v>305</v>
      </c>
      <c r="BD5" s="49" t="s">
        <v>306</v>
      </c>
      <c r="BE5" s="48" t="s">
        <v>307</v>
      </c>
      <c r="BF5" s="50" t="s">
        <v>308</v>
      </c>
      <c r="BG5" s="51" t="s">
        <v>309</v>
      </c>
      <c r="BH5" s="48" t="s">
        <v>305</v>
      </c>
      <c r="BI5" s="49" t="s">
        <v>306</v>
      </c>
      <c r="BJ5" s="48" t="s">
        <v>307</v>
      </c>
      <c r="BK5" s="50" t="s">
        <v>308</v>
      </c>
      <c r="BL5" s="51" t="s">
        <v>309</v>
      </c>
      <c r="BM5" s="48" t="s">
        <v>305</v>
      </c>
      <c r="BN5" s="49" t="s">
        <v>306</v>
      </c>
      <c r="BO5" s="48" t="s">
        <v>307</v>
      </c>
      <c r="BP5" s="50" t="s">
        <v>308</v>
      </c>
      <c r="BQ5" s="51" t="s">
        <v>309</v>
      </c>
      <c r="BR5" s="48" t="s">
        <v>305</v>
      </c>
      <c r="BS5" s="49" t="s">
        <v>306</v>
      </c>
      <c r="BT5" s="48" t="s">
        <v>307</v>
      </c>
      <c r="BU5" s="50" t="s">
        <v>308</v>
      </c>
      <c r="BV5" s="51" t="s">
        <v>309</v>
      </c>
      <c r="BW5" s="48" t="s">
        <v>305</v>
      </c>
      <c r="BX5" s="49" t="s">
        <v>306</v>
      </c>
      <c r="BY5" s="48" t="s">
        <v>307</v>
      </c>
      <c r="BZ5" s="50" t="s">
        <v>308</v>
      </c>
      <c r="CA5" s="51" t="s">
        <v>309</v>
      </c>
      <c r="CB5" s="48" t="s">
        <v>305</v>
      </c>
      <c r="CC5" s="49" t="s">
        <v>306</v>
      </c>
      <c r="CD5" s="48" t="s">
        <v>307</v>
      </c>
      <c r="CE5" s="50" t="s">
        <v>308</v>
      </c>
      <c r="CF5" s="51" t="s">
        <v>309</v>
      </c>
      <c r="CG5" s="48" t="s">
        <v>305</v>
      </c>
      <c r="CH5" s="49" t="s">
        <v>306</v>
      </c>
      <c r="CI5" s="48" t="s">
        <v>307</v>
      </c>
      <c r="CJ5" s="50" t="s">
        <v>308</v>
      </c>
      <c r="CK5" s="51" t="s">
        <v>309</v>
      </c>
      <c r="CL5" s="48" t="s">
        <v>305</v>
      </c>
      <c r="CM5" s="49" t="s">
        <v>306</v>
      </c>
      <c r="CN5" s="48" t="s">
        <v>307</v>
      </c>
      <c r="CO5" s="50" t="s">
        <v>308</v>
      </c>
      <c r="CP5" s="51" t="s">
        <v>309</v>
      </c>
      <c r="CQ5" s="48" t="s">
        <v>305</v>
      </c>
      <c r="CR5" s="49" t="s">
        <v>306</v>
      </c>
      <c r="CS5" s="48" t="s">
        <v>307</v>
      </c>
      <c r="CT5" s="50" t="s">
        <v>308</v>
      </c>
      <c r="CU5" s="51" t="s">
        <v>309</v>
      </c>
      <c r="CV5" s="48" t="s">
        <v>305</v>
      </c>
      <c r="CW5" s="49" t="s">
        <v>306</v>
      </c>
      <c r="CX5" s="48" t="s">
        <v>307</v>
      </c>
      <c r="CY5" s="50" t="s">
        <v>308</v>
      </c>
      <c r="CZ5" s="51" t="s">
        <v>309</v>
      </c>
      <c r="DA5" s="48" t="s">
        <v>305</v>
      </c>
      <c r="DB5" s="49" t="s">
        <v>306</v>
      </c>
      <c r="DC5" s="48" t="s">
        <v>307</v>
      </c>
      <c r="DD5" s="50" t="s">
        <v>308</v>
      </c>
      <c r="DE5" s="51" t="s">
        <v>309</v>
      </c>
      <c r="DF5" s="48" t="s">
        <v>305</v>
      </c>
      <c r="DG5" s="49" t="s">
        <v>306</v>
      </c>
      <c r="DH5" s="48" t="s">
        <v>307</v>
      </c>
      <c r="DI5" s="50" t="s">
        <v>308</v>
      </c>
      <c r="DJ5" s="51" t="s">
        <v>309</v>
      </c>
      <c r="DK5" s="48" t="s">
        <v>305</v>
      </c>
      <c r="DL5" s="49" t="s">
        <v>306</v>
      </c>
      <c r="DM5" s="48" t="s">
        <v>307</v>
      </c>
      <c r="DN5" s="50" t="s">
        <v>308</v>
      </c>
      <c r="DO5" s="51" t="s">
        <v>309</v>
      </c>
      <c r="DP5" s="48" t="s">
        <v>305</v>
      </c>
      <c r="DQ5" s="49" t="s">
        <v>306</v>
      </c>
      <c r="DR5" s="48" t="s">
        <v>307</v>
      </c>
      <c r="DS5" s="50" t="s">
        <v>308</v>
      </c>
      <c r="DT5" s="51" t="s">
        <v>309</v>
      </c>
      <c r="DU5" s="48" t="s">
        <v>305</v>
      </c>
      <c r="DV5" s="49" t="s">
        <v>306</v>
      </c>
      <c r="DW5" s="48" t="s">
        <v>307</v>
      </c>
      <c r="DX5" s="50" t="s">
        <v>308</v>
      </c>
      <c r="DY5" s="51" t="s">
        <v>309</v>
      </c>
      <c r="DZ5" s="48" t="s">
        <v>305</v>
      </c>
      <c r="EA5" s="49" t="s">
        <v>306</v>
      </c>
      <c r="EB5" s="48" t="s">
        <v>307</v>
      </c>
      <c r="EC5" s="50" t="s">
        <v>308</v>
      </c>
      <c r="ED5" s="51" t="s">
        <v>309</v>
      </c>
      <c r="EE5" s="48" t="s">
        <v>305</v>
      </c>
      <c r="EF5" s="49" t="s">
        <v>306</v>
      </c>
      <c r="EG5" s="48" t="s">
        <v>307</v>
      </c>
      <c r="EH5" s="50" t="s">
        <v>308</v>
      </c>
      <c r="EI5" s="51" t="s">
        <v>309</v>
      </c>
    </row>
    <row r="6" customFormat="false" ht="15" hidden="false" customHeight="false" outlineLevel="0" collapsed="false">
      <c r="A6" s="37" t="n">
        <v>1</v>
      </c>
      <c r="B6" s="32" t="s">
        <v>246</v>
      </c>
      <c r="C6" s="32" t="s">
        <v>247</v>
      </c>
      <c r="D6" s="38" t="s">
        <v>248</v>
      </c>
      <c r="E6" s="52" t="n">
        <f aca="false">2_Market_Gross_USD!E4</f>
        <v>1500</v>
      </c>
      <c r="F6" s="53" t="n">
        <f aca="false">E6*(1-0.065)</f>
        <v>1402.5</v>
      </c>
      <c r="G6" s="54" t="n">
        <f aca="false">E6*0+35</f>
        <v>35</v>
      </c>
      <c r="H6" s="55" t="n">
        <f aca="false">E6+G6</f>
        <v>1535</v>
      </c>
      <c r="I6" s="56" t="n">
        <f aca="false">IF(E6&gt;0,G6/E6,0)</f>
        <v>0.0233333333333333</v>
      </c>
      <c r="J6" s="52" t="n">
        <f aca="false">2_Market_Gross_USD!E4</f>
        <v>1500</v>
      </c>
      <c r="K6" s="53" t="n">
        <f aca="false">J6*(1-0.065)</f>
        <v>1402.5</v>
      </c>
      <c r="L6" s="54" t="n">
        <f aca="false">J6*0+40</f>
        <v>40</v>
      </c>
      <c r="M6" s="55" t="n">
        <f aca="false">J6+L6</f>
        <v>1540</v>
      </c>
      <c r="N6" s="56" t="n">
        <f aca="false">IF(J6&gt;0,L6/J6,0)</f>
        <v>0.0266666666666667</v>
      </c>
      <c r="O6" s="52" t="n">
        <f aca="false">2_Market_Gross_USD!E4</f>
        <v>1500</v>
      </c>
      <c r="P6" s="53" t="n">
        <f aca="false">O6*(1-0.195)</f>
        <v>1207.5</v>
      </c>
      <c r="Q6" s="54" t="n">
        <f aca="false">IF(O6&gt;=3886,3886*0.22,O6*0.22)</f>
        <v>330</v>
      </c>
      <c r="R6" s="55" t="n">
        <f aca="false">O6+Q6</f>
        <v>1830</v>
      </c>
      <c r="S6" s="56" t="n">
        <f aca="false">IF(O6&gt;0,Q6/O6,0)</f>
        <v>0.22</v>
      </c>
      <c r="T6" s="57" t="n">
        <f aca="false">2_Market_Gross_USD!F4</f>
        <v>3825</v>
      </c>
      <c r="U6" s="53" t="n">
        <f aca="false">T6*(1-0.2571)</f>
        <v>2841.5925</v>
      </c>
      <c r="V6" s="54" t="n">
        <f aca="false">T6*0.2038+0</f>
        <v>779.535</v>
      </c>
      <c r="W6" s="55" t="n">
        <f aca="false">T6+V6</f>
        <v>4604.535</v>
      </c>
      <c r="X6" s="56" t="n">
        <f aca="false">IF(T6&gt;0,V6/T6,0)</f>
        <v>0.2038</v>
      </c>
      <c r="Y6" s="57" t="n">
        <f aca="false">2_Market_Gross_USD!F4</f>
        <v>3825</v>
      </c>
      <c r="Z6" s="53" t="n">
        <f aca="false">Y6*(1-0.12)</f>
        <v>3366</v>
      </c>
      <c r="AA6" s="54" t="n">
        <f aca="false">Y6*0+0</f>
        <v>0</v>
      </c>
      <c r="AB6" s="55" t="n">
        <f aca="false">Y6+AA6</f>
        <v>3825</v>
      </c>
      <c r="AC6" s="56" t="n">
        <f aca="false">IF(Y6&gt;0,AA6/Y6,0)</f>
        <v>0</v>
      </c>
      <c r="AD6" s="57" t="n">
        <f aca="false">2_Market_Gross_USD!F4</f>
        <v>3825</v>
      </c>
      <c r="AE6" s="53" t="n">
        <f aca="false">AD6*(1-0.2571)</f>
        <v>2841.5925</v>
      </c>
      <c r="AF6" s="54" t="n">
        <f aca="false">AD6*0.2038+500</f>
        <v>1279.535</v>
      </c>
      <c r="AG6" s="55" t="n">
        <f aca="false">AD6+AF6</f>
        <v>5104.535</v>
      </c>
      <c r="AH6" s="56" t="n">
        <f aca="false">IF(AD6&gt;0,AF6/AD6,0)</f>
        <v>0.334518954248366</v>
      </c>
      <c r="AI6" s="57" t="n">
        <f aca="false">2_Market_Gross_USD!G4</f>
        <v>5292</v>
      </c>
      <c r="AJ6" s="53" t="n">
        <f aca="false">AI6*(1-0.28)</f>
        <v>3810.24</v>
      </c>
      <c r="AK6" s="54" t="n">
        <f aca="false">AI6*0.15+0</f>
        <v>793.8</v>
      </c>
      <c r="AL6" s="55" t="n">
        <f aca="false">AI6+AK6</f>
        <v>6085.8</v>
      </c>
      <c r="AM6" s="56" t="n">
        <f aca="false">IF(AI6&gt;0,AK6/AI6,0)</f>
        <v>0.15</v>
      </c>
      <c r="AN6" s="57" t="n">
        <f aca="false">2_Market_Gross_USD!G4</f>
        <v>5292</v>
      </c>
      <c r="AO6" s="53" t="n">
        <f aca="false">AN6*(1-0.19)</f>
        <v>4286.52</v>
      </c>
      <c r="AP6" s="54" t="n">
        <f aca="false">AN6*0+0</f>
        <v>0</v>
      </c>
      <c r="AQ6" s="55" t="n">
        <f aca="false">AN6+AP6</f>
        <v>5292</v>
      </c>
      <c r="AR6" s="56" t="n">
        <f aca="false">IF(AN6&gt;0,AP6/AN6,0)</f>
        <v>0</v>
      </c>
      <c r="AS6" s="57" t="n">
        <f aca="false">2_Market_Gross_USD!G4</f>
        <v>5292</v>
      </c>
      <c r="AT6" s="53" t="n">
        <f aca="false">AS6*(1-0.28)</f>
        <v>3810.24</v>
      </c>
      <c r="AU6" s="54" t="n">
        <f aca="false">AS6*0.15+500</f>
        <v>1293.8</v>
      </c>
      <c r="AV6" s="55" t="n">
        <f aca="false">AS6+AU6</f>
        <v>6585.8</v>
      </c>
      <c r="AW6" s="56" t="n">
        <f aca="false">IF(AS6&gt;0,AU6/AS6,0)</f>
        <v>0.24448223733938</v>
      </c>
      <c r="AX6" s="57" t="n">
        <f aca="false">2_Market_Gross_USD!H4</f>
        <v>11000</v>
      </c>
      <c r="AY6" s="53" t="n">
        <f aca="false">AX6*(1-0.2965)</f>
        <v>7738.5</v>
      </c>
      <c r="AZ6" s="54" t="n">
        <f aca="false">AX6*0.11+0</f>
        <v>1210</v>
      </c>
      <c r="BA6" s="55" t="n">
        <f aca="false">AX6+AZ6</f>
        <v>12210</v>
      </c>
      <c r="BB6" s="56" t="n">
        <f aca="false">IF(AX6&gt;0,AZ6/AX6,0)</f>
        <v>0.11</v>
      </c>
      <c r="BC6" s="57" t="n">
        <f aca="false">2_Market_Gross_USD!H4</f>
        <v>11000</v>
      </c>
      <c r="BD6" s="53" t="n">
        <f aca="false">BC6*(1-0.373)</f>
        <v>6897</v>
      </c>
      <c r="BE6" s="54" t="n">
        <f aca="false">BC6*0+0</f>
        <v>0</v>
      </c>
      <c r="BF6" s="55" t="n">
        <f aca="false">BC6+BE6</f>
        <v>11000</v>
      </c>
      <c r="BG6" s="56" t="n">
        <f aca="false">IF(BC6&gt;0,BE6/BC6,0)</f>
        <v>0</v>
      </c>
      <c r="BH6" s="57" t="n">
        <f aca="false">2_Market_Gross_USD!H4</f>
        <v>11000</v>
      </c>
      <c r="BI6" s="53" t="n">
        <f aca="false">BH6*(1-0.2965)</f>
        <v>7738.5</v>
      </c>
      <c r="BJ6" s="54" t="n">
        <f aca="false">BH6*0.11+500</f>
        <v>1710</v>
      </c>
      <c r="BK6" s="55" t="n">
        <f aca="false">BH6+BJ6</f>
        <v>12710</v>
      </c>
      <c r="BL6" s="56" t="n">
        <f aca="false">IF(BH6&gt;0,BJ6/BH6,0)</f>
        <v>0.155454545454545</v>
      </c>
      <c r="BM6" s="57" t="n">
        <f aca="false">2_Market_Gross_USD!I4</f>
        <v>5726</v>
      </c>
      <c r="BN6" s="53" t="n">
        <f aca="false">BM6*(1-0.4785)</f>
        <v>2986.109</v>
      </c>
      <c r="BO6" s="54" t="n">
        <f aca="false">BM6*0.21+0</f>
        <v>1202.46</v>
      </c>
      <c r="BP6" s="55" t="n">
        <f aca="false">BM6+BO6</f>
        <v>6928.46</v>
      </c>
      <c r="BQ6" s="56" t="n">
        <f aca="false">IF(BM6&gt;0,BO6/BM6,0)</f>
        <v>0.21</v>
      </c>
      <c r="BR6" s="57" t="n">
        <f aca="false">2_Market_Gross_USD!I4</f>
        <v>5726</v>
      </c>
      <c r="BS6" s="53" t="n">
        <f aca="false">BR6*(1-0.25)</f>
        <v>4294.5</v>
      </c>
      <c r="BT6" s="54" t="n">
        <f aca="false">BR6*0+0</f>
        <v>0</v>
      </c>
      <c r="BU6" s="55" t="n">
        <f aca="false">BR6+BT6</f>
        <v>5726</v>
      </c>
      <c r="BV6" s="56" t="n">
        <f aca="false">IF(BR6&gt;0,BT6/BR6,0)</f>
        <v>0</v>
      </c>
      <c r="BW6" s="57" t="n">
        <f aca="false">2_Market_Gross_USD!I4</f>
        <v>5726</v>
      </c>
      <c r="BX6" s="53" t="n">
        <f aca="false">BW6*(1-0.4785)</f>
        <v>2986.109</v>
      </c>
      <c r="BY6" s="54" t="n">
        <f aca="false">BW6*0.21+500</f>
        <v>1702.46</v>
      </c>
      <c r="BZ6" s="55" t="n">
        <f aca="false">BW6+BY6</f>
        <v>7428.46</v>
      </c>
      <c r="CA6" s="56" t="n">
        <f aca="false">IF(BW6&gt;0,BY6/BW6,0)</f>
        <v>0.297320991966469</v>
      </c>
      <c r="CB6" s="57" t="n">
        <f aca="false">2_Market_Gross_USD!J4</f>
        <v>6404</v>
      </c>
      <c r="CC6" s="53" t="n">
        <f aca="false">CB6*(1-0.3697)</f>
        <v>4036.4412</v>
      </c>
      <c r="CD6" s="54" t="n">
        <f aca="false">CB6*0.2+0</f>
        <v>1280.8</v>
      </c>
      <c r="CE6" s="55" t="n">
        <f aca="false">CB6+CD6</f>
        <v>7684.8</v>
      </c>
      <c r="CF6" s="56" t="n">
        <f aca="false">IF(CB6&gt;0,CD6/CB6,0)</f>
        <v>0.2</v>
      </c>
      <c r="CG6" s="57" t="n">
        <f aca="false">2_Market_Gross_USD!J4</f>
        <v>6404</v>
      </c>
      <c r="CH6" s="53" t="n">
        <f aca="false">CG6*(1-0.3697)</f>
        <v>4036.4412</v>
      </c>
      <c r="CI6" s="54" t="n">
        <f aca="false">CG6*0+0</f>
        <v>0</v>
      </c>
      <c r="CJ6" s="55" t="n">
        <f aca="false">CG6+CI6</f>
        <v>6404</v>
      </c>
      <c r="CK6" s="56" t="n">
        <f aca="false">IF(CG6&gt;0,CI6/CG6,0)</f>
        <v>0</v>
      </c>
      <c r="CL6" s="57" t="n">
        <f aca="false">2_Market_Gross_USD!J4</f>
        <v>6404</v>
      </c>
      <c r="CM6" s="53" t="n">
        <f aca="false">CL6*(1-0.3697)</f>
        <v>4036.4412</v>
      </c>
      <c r="CN6" s="54" t="n">
        <f aca="false">CL6*0.2+500</f>
        <v>1780.8</v>
      </c>
      <c r="CO6" s="55" t="n">
        <f aca="false">CL6+CN6</f>
        <v>8184.8</v>
      </c>
      <c r="CP6" s="56" t="n">
        <f aca="false">IF(CL6&gt;0,CN6/CL6,0)</f>
        <v>0.278076202373517</v>
      </c>
      <c r="CQ6" s="57" t="n">
        <f aca="false">2_Market_Gross_USD!K4</f>
        <v>3095</v>
      </c>
      <c r="CR6" s="53" t="n">
        <f aca="false">CQ6*(1-0.26)</f>
        <v>2290.3</v>
      </c>
      <c r="CS6" s="54" t="n">
        <f aca="false">CQ6*0.338+0</f>
        <v>1046.11</v>
      </c>
      <c r="CT6" s="55" t="n">
        <f aca="false">CQ6+CS6</f>
        <v>4141.11</v>
      </c>
      <c r="CU6" s="56" t="n">
        <f aca="false">IF(CQ6&gt;0,CS6/CQ6,0)</f>
        <v>0.338</v>
      </c>
      <c r="CV6" s="57" t="n">
        <f aca="false">2_Market_Gross_USD!K4</f>
        <v>3095</v>
      </c>
      <c r="CW6" s="53" t="n">
        <f aca="false">CV6*(1-0.15)</f>
        <v>2630.75</v>
      </c>
      <c r="CX6" s="54" t="n">
        <f aca="false">CV6*0+0</f>
        <v>0</v>
      </c>
      <c r="CY6" s="55" t="n">
        <f aca="false">CV6+CX6</f>
        <v>3095</v>
      </c>
      <c r="CZ6" s="56" t="n">
        <f aca="false">IF(CV6&gt;0,CX6/CV6,0)</f>
        <v>0</v>
      </c>
      <c r="DA6" s="57" t="n">
        <f aca="false">2_Market_Gross_USD!K4</f>
        <v>3095</v>
      </c>
      <c r="DB6" s="53" t="n">
        <f aca="false">DA6*(1-0.26)</f>
        <v>2290.3</v>
      </c>
      <c r="DC6" s="54" t="n">
        <f aca="false">DA6*0.338+500</f>
        <v>1546.11</v>
      </c>
      <c r="DD6" s="55" t="n">
        <f aca="false">DA6+DC6</f>
        <v>4641.11</v>
      </c>
      <c r="DE6" s="56" t="n">
        <f aca="false">IF(DA6&gt;0,DC6/DA6,0)</f>
        <v>0.499550888529887</v>
      </c>
      <c r="DF6" s="57" t="n">
        <f aca="false">2_Market_Gross_USD!L4</f>
        <v>3955</v>
      </c>
      <c r="DG6" s="53" t="n">
        <f aca="false">DF6*(1-0.34)</f>
        <v>2610.3</v>
      </c>
      <c r="DH6" s="54" t="n">
        <f aca="false">DF6*0.2375+0</f>
        <v>939.3125</v>
      </c>
      <c r="DI6" s="55" t="n">
        <f aca="false">DF6+DH6</f>
        <v>4894.3125</v>
      </c>
      <c r="DJ6" s="56" t="n">
        <f aca="false">IF(DF6&gt;0,DH6/DF6,0)</f>
        <v>0.2375</v>
      </c>
      <c r="DK6" s="57" t="n">
        <f aca="false">2_Market_Gross_USD!L4</f>
        <v>3955</v>
      </c>
      <c r="DL6" s="53" t="n">
        <f aca="false">DK6*(1-0.2)</f>
        <v>3164</v>
      </c>
      <c r="DM6" s="54" t="n">
        <f aca="false">DK6*0+0</f>
        <v>0</v>
      </c>
      <c r="DN6" s="55" t="n">
        <f aca="false">DK6+DM6</f>
        <v>3955</v>
      </c>
      <c r="DO6" s="56" t="n">
        <f aca="false">IF(DK6&gt;0,DM6/DK6,0)</f>
        <v>0</v>
      </c>
      <c r="DP6" s="57" t="n">
        <f aca="false">2_Market_Gross_USD!L4</f>
        <v>3955</v>
      </c>
      <c r="DQ6" s="53" t="n">
        <f aca="false">DP6*(1-0.34)</f>
        <v>2610.3</v>
      </c>
      <c r="DR6" s="54" t="n">
        <f aca="false">DP6*0.2375+500</f>
        <v>1439.3125</v>
      </c>
      <c r="DS6" s="55" t="n">
        <f aca="false">DP6+DR6</f>
        <v>5394.3125</v>
      </c>
      <c r="DT6" s="56" t="n">
        <f aca="false">IF(DP6&gt;0,DR6/DP6,0)</f>
        <v>0.363922250316056</v>
      </c>
      <c r="DU6" s="57" t="n">
        <f aca="false">2_Market_Gross_USD!M4</f>
        <v>2500</v>
      </c>
      <c r="DV6" s="53" t="n">
        <f aca="false">DU6*0.65</f>
        <v>1625</v>
      </c>
      <c r="DW6" s="54" t="n">
        <f aca="false">DU6*0.0225+0</f>
        <v>56.25</v>
      </c>
      <c r="DX6" s="55" t="n">
        <f aca="false">DU6+DW6</f>
        <v>2556.25</v>
      </c>
      <c r="DY6" s="56" t="n">
        <f aca="false">IF(DU6&gt;0,DW6/DU6,0)</f>
        <v>0.0225</v>
      </c>
      <c r="DZ6" s="57" t="n">
        <f aca="false">2_Market_Gross_USD!M4</f>
        <v>2500</v>
      </c>
      <c r="EA6" s="53" t="n">
        <f aca="false">DZ6*(1-0.01)</f>
        <v>2475</v>
      </c>
      <c r="EB6" s="54" t="n">
        <f aca="false">DZ6*0+0</f>
        <v>0</v>
      </c>
      <c r="EC6" s="55" t="n">
        <f aca="false">DZ6+EB6</f>
        <v>2500</v>
      </c>
      <c r="ED6" s="56" t="n">
        <f aca="false">IF(DZ6&gt;0,EB6/DZ6,0)</f>
        <v>0</v>
      </c>
      <c r="EE6" s="57" t="n">
        <f aca="false">2_Market_Gross_USD!M4</f>
        <v>2500</v>
      </c>
      <c r="EF6" s="53" t="n">
        <f aca="false">EE6*0.65</f>
        <v>1625</v>
      </c>
      <c r="EG6" s="54" t="n">
        <f aca="false">EE6*0.0225+500</f>
        <v>556.25</v>
      </c>
      <c r="EH6" s="55" t="n">
        <f aca="false">EE6+EG6</f>
        <v>3056.25</v>
      </c>
      <c r="EI6" s="56" t="n">
        <f aca="false">IF(EE6&gt;0,EG6/EE6,0)</f>
        <v>0.2225</v>
      </c>
    </row>
    <row r="7" customFormat="false" ht="15" hidden="false" customHeight="false" outlineLevel="0" collapsed="false">
      <c r="A7" s="41" t="n">
        <v>2</v>
      </c>
      <c r="B7" s="28" t="s">
        <v>246</v>
      </c>
      <c r="C7" s="8" t="s">
        <v>247</v>
      </c>
      <c r="D7" s="42" t="s">
        <v>249</v>
      </c>
      <c r="E7" s="52" t="n">
        <f aca="false">2_Market_Gross_USD!E5</f>
        <v>4750</v>
      </c>
      <c r="F7" s="53" t="n">
        <f aca="false">E7*(1-0.065)</f>
        <v>4441.25</v>
      </c>
      <c r="G7" s="58" t="n">
        <f aca="false">E7*0+35</f>
        <v>35</v>
      </c>
      <c r="H7" s="55" t="n">
        <f aca="false">E7+G7</f>
        <v>4785</v>
      </c>
      <c r="I7" s="59" t="n">
        <f aca="false">IF(E7&gt;0,G7/E7,0)</f>
        <v>0.00736842105263158</v>
      </c>
      <c r="J7" s="52" t="n">
        <f aca="false">2_Market_Gross_USD!E5</f>
        <v>4750</v>
      </c>
      <c r="K7" s="53" t="n">
        <f aca="false">J7*(1-0.065)</f>
        <v>4441.25</v>
      </c>
      <c r="L7" s="58" t="n">
        <f aca="false">J7*0+40</f>
        <v>40</v>
      </c>
      <c r="M7" s="55" t="n">
        <f aca="false">J7+L7</f>
        <v>4790</v>
      </c>
      <c r="N7" s="59" t="n">
        <f aca="false">IF(J7&gt;0,L7/J7,0)</f>
        <v>0.00842105263157895</v>
      </c>
      <c r="O7" s="52" t="n">
        <f aca="false">2_Market_Gross_USD!E5</f>
        <v>4750</v>
      </c>
      <c r="P7" s="53" t="n">
        <f aca="false">O7*(1-0.195)</f>
        <v>3823.75</v>
      </c>
      <c r="Q7" s="58" t="n">
        <f aca="false">IF(O7&gt;=3886,3886*0.22,O7*0.22)</f>
        <v>854.92</v>
      </c>
      <c r="R7" s="55" t="n">
        <f aca="false">O7+Q7</f>
        <v>5604.92</v>
      </c>
      <c r="S7" s="59" t="n">
        <f aca="false">IF(O7&gt;0,Q7/O7,0)</f>
        <v>0.179983157894737</v>
      </c>
      <c r="T7" s="60" t="n">
        <f aca="false">2_Market_Gross_USD!F5</f>
        <v>6375</v>
      </c>
      <c r="U7" s="53" t="n">
        <f aca="false">T7*(1-0.2571)</f>
        <v>4735.9875</v>
      </c>
      <c r="V7" s="58" t="n">
        <f aca="false">T7*0.2038+0</f>
        <v>1299.225</v>
      </c>
      <c r="W7" s="55" t="n">
        <f aca="false">T7+V7</f>
        <v>7674.225</v>
      </c>
      <c r="X7" s="59" t="n">
        <f aca="false">IF(T7&gt;0,V7/T7,0)</f>
        <v>0.2038</v>
      </c>
      <c r="Y7" s="60" t="n">
        <f aca="false">2_Market_Gross_USD!F5</f>
        <v>6375</v>
      </c>
      <c r="Z7" s="53" t="n">
        <f aca="false">Y7*(1-0.12)</f>
        <v>5610</v>
      </c>
      <c r="AA7" s="58" t="n">
        <f aca="false">Y7*0+0</f>
        <v>0</v>
      </c>
      <c r="AB7" s="55" t="n">
        <f aca="false">Y7+AA7</f>
        <v>6375</v>
      </c>
      <c r="AC7" s="59" t="n">
        <f aca="false">IF(Y7&gt;0,AA7/Y7,0)</f>
        <v>0</v>
      </c>
      <c r="AD7" s="60" t="n">
        <f aca="false">2_Market_Gross_USD!F5</f>
        <v>6375</v>
      </c>
      <c r="AE7" s="53" t="n">
        <f aca="false">AD7*(1-0.2571)</f>
        <v>4735.9875</v>
      </c>
      <c r="AF7" s="58" t="n">
        <f aca="false">AD7*0.2038+500</f>
        <v>1799.225</v>
      </c>
      <c r="AG7" s="55" t="n">
        <f aca="false">AD7+AF7</f>
        <v>8174.225</v>
      </c>
      <c r="AH7" s="59" t="n">
        <f aca="false">IF(AD7&gt;0,AF7/AD7,0)</f>
        <v>0.28223137254902</v>
      </c>
      <c r="AI7" s="60" t="n">
        <f aca="false">2_Market_Gross_USD!G5</f>
        <v>7938</v>
      </c>
      <c r="AJ7" s="53" t="n">
        <f aca="false">AI7*(1-0.28)</f>
        <v>5715.36</v>
      </c>
      <c r="AK7" s="58" t="n">
        <f aca="false">AI7*0.15+0</f>
        <v>1190.7</v>
      </c>
      <c r="AL7" s="55" t="n">
        <f aca="false">AI7+AK7</f>
        <v>9128.7</v>
      </c>
      <c r="AM7" s="59" t="n">
        <f aca="false">IF(AI7&gt;0,AK7/AI7,0)</f>
        <v>0.15</v>
      </c>
      <c r="AN7" s="60" t="n">
        <f aca="false">2_Market_Gross_USD!G5</f>
        <v>7938</v>
      </c>
      <c r="AO7" s="53" t="n">
        <f aca="false">AN7*(1-0.19)</f>
        <v>6429.78</v>
      </c>
      <c r="AP7" s="58" t="n">
        <f aca="false">AN7*0+0</f>
        <v>0</v>
      </c>
      <c r="AQ7" s="55" t="n">
        <f aca="false">AN7+AP7</f>
        <v>7938</v>
      </c>
      <c r="AR7" s="59" t="n">
        <f aca="false">IF(AN7&gt;0,AP7/AN7,0)</f>
        <v>0</v>
      </c>
      <c r="AS7" s="60" t="n">
        <f aca="false">2_Market_Gross_USD!G5</f>
        <v>7938</v>
      </c>
      <c r="AT7" s="53" t="n">
        <f aca="false">AS7*(1-0.28)</f>
        <v>5715.36</v>
      </c>
      <c r="AU7" s="58" t="n">
        <f aca="false">AS7*0.15+500</f>
        <v>1690.7</v>
      </c>
      <c r="AV7" s="55" t="n">
        <f aca="false">AS7+AU7</f>
        <v>9628.7</v>
      </c>
      <c r="AW7" s="59" t="n">
        <f aca="false">IF(AS7&gt;0,AU7/AS7,0)</f>
        <v>0.212988158226253</v>
      </c>
      <c r="AX7" s="60" t="n">
        <f aca="false">2_Market_Gross_USD!H5</f>
        <v>14025</v>
      </c>
      <c r="AY7" s="53" t="n">
        <f aca="false">AX7*(1-0.2965)</f>
        <v>9866.5875</v>
      </c>
      <c r="AZ7" s="58" t="n">
        <f aca="false">AX7*0.11+0</f>
        <v>1542.75</v>
      </c>
      <c r="BA7" s="55" t="n">
        <f aca="false">AX7+AZ7</f>
        <v>15567.75</v>
      </c>
      <c r="BB7" s="59" t="n">
        <f aca="false">IF(AX7&gt;0,AZ7/AX7,0)</f>
        <v>0.11</v>
      </c>
      <c r="BC7" s="60" t="n">
        <f aca="false">2_Market_Gross_USD!H5</f>
        <v>14025</v>
      </c>
      <c r="BD7" s="53" t="n">
        <f aca="false">BC7*(1-0.373)</f>
        <v>8793.675</v>
      </c>
      <c r="BE7" s="58" t="n">
        <f aca="false">BC7*0+0</f>
        <v>0</v>
      </c>
      <c r="BF7" s="55" t="n">
        <f aca="false">BC7+BE7</f>
        <v>14025</v>
      </c>
      <c r="BG7" s="59" t="n">
        <f aca="false">IF(BC7&gt;0,BE7/BC7,0)</f>
        <v>0</v>
      </c>
      <c r="BH7" s="60" t="n">
        <f aca="false">2_Market_Gross_USD!H5</f>
        <v>14025</v>
      </c>
      <c r="BI7" s="53" t="n">
        <f aca="false">BH7*(1-0.2965)</f>
        <v>9866.5875</v>
      </c>
      <c r="BJ7" s="58" t="n">
        <f aca="false">BH7*0.11+500</f>
        <v>2042.75</v>
      </c>
      <c r="BK7" s="55" t="n">
        <f aca="false">BH7+BJ7</f>
        <v>16067.75</v>
      </c>
      <c r="BL7" s="59" t="n">
        <f aca="false">IF(BH7&gt;0,BJ7/BH7,0)</f>
        <v>0.145650623885918</v>
      </c>
      <c r="BM7" s="60" t="n">
        <f aca="false">2_Market_Gross_USD!I5</f>
        <v>8193</v>
      </c>
      <c r="BN7" s="53" t="n">
        <f aca="false">BM7*(1-0.4785)</f>
        <v>4272.6495</v>
      </c>
      <c r="BO7" s="58" t="n">
        <f aca="false">BM7*0.21+0</f>
        <v>1720.53</v>
      </c>
      <c r="BP7" s="55" t="n">
        <f aca="false">BM7+BO7</f>
        <v>9913.53</v>
      </c>
      <c r="BQ7" s="59" t="n">
        <f aca="false">IF(BM7&gt;0,BO7/BM7,0)</f>
        <v>0.21</v>
      </c>
      <c r="BR7" s="60" t="n">
        <f aca="false">2_Market_Gross_USD!I5</f>
        <v>8193</v>
      </c>
      <c r="BS7" s="53" t="n">
        <f aca="false">BR7*(1-0.25)</f>
        <v>6144.75</v>
      </c>
      <c r="BT7" s="58" t="n">
        <f aca="false">BR7*0+0</f>
        <v>0</v>
      </c>
      <c r="BU7" s="55" t="n">
        <f aca="false">BR7+BT7</f>
        <v>8193</v>
      </c>
      <c r="BV7" s="59" t="n">
        <f aca="false">IF(BR7&gt;0,BT7/BR7,0)</f>
        <v>0</v>
      </c>
      <c r="BW7" s="60" t="n">
        <f aca="false">2_Market_Gross_USD!I5</f>
        <v>8193</v>
      </c>
      <c r="BX7" s="53" t="n">
        <f aca="false">BW7*(1-0.4785)</f>
        <v>4272.6495</v>
      </c>
      <c r="BY7" s="58" t="n">
        <f aca="false">BW7*0.21+500</f>
        <v>2220.53</v>
      </c>
      <c r="BZ7" s="55" t="n">
        <f aca="false">BW7+BY7</f>
        <v>10413.53</v>
      </c>
      <c r="CA7" s="59" t="n">
        <f aca="false">IF(BW7&gt;0,BY7/BW7,0)</f>
        <v>0.271027706578787</v>
      </c>
      <c r="CB7" s="60" t="n">
        <f aca="false">2_Market_Gross_USD!J5</f>
        <v>9417</v>
      </c>
      <c r="CC7" s="53" t="n">
        <f aca="false">CB7*(1-0.3697)</f>
        <v>5935.5351</v>
      </c>
      <c r="CD7" s="58" t="n">
        <f aca="false">CB7*0.2+0</f>
        <v>1883.4</v>
      </c>
      <c r="CE7" s="55" t="n">
        <f aca="false">CB7+CD7</f>
        <v>11300.4</v>
      </c>
      <c r="CF7" s="59" t="n">
        <f aca="false">IF(CB7&gt;0,CD7/CB7,0)</f>
        <v>0.2</v>
      </c>
      <c r="CG7" s="60" t="n">
        <f aca="false">2_Market_Gross_USD!J5</f>
        <v>9417</v>
      </c>
      <c r="CH7" s="53" t="n">
        <f aca="false">CG7*(1-0.3697)</f>
        <v>5935.5351</v>
      </c>
      <c r="CI7" s="58" t="n">
        <f aca="false">CG7*0+0</f>
        <v>0</v>
      </c>
      <c r="CJ7" s="55" t="n">
        <f aca="false">CG7+CI7</f>
        <v>9417</v>
      </c>
      <c r="CK7" s="59" t="n">
        <f aca="false">IF(CG7&gt;0,CI7/CG7,0)</f>
        <v>0</v>
      </c>
      <c r="CL7" s="60" t="n">
        <f aca="false">2_Market_Gross_USD!J5</f>
        <v>9417</v>
      </c>
      <c r="CM7" s="53" t="n">
        <f aca="false">CL7*(1-0.3697)</f>
        <v>5935.5351</v>
      </c>
      <c r="CN7" s="58" t="n">
        <f aca="false">CL7*0.2+500</f>
        <v>2383.4</v>
      </c>
      <c r="CO7" s="55" t="n">
        <f aca="false">CL7+CN7</f>
        <v>11800.4</v>
      </c>
      <c r="CP7" s="59" t="n">
        <f aca="false">IF(CL7&gt;0,CN7/CL7,0)</f>
        <v>0.253095465647234</v>
      </c>
      <c r="CQ7" s="60" t="n">
        <f aca="false">2_Market_Gross_USD!K5</f>
        <v>5009</v>
      </c>
      <c r="CR7" s="53" t="n">
        <f aca="false">CQ7*(1-0.26)</f>
        <v>3706.66</v>
      </c>
      <c r="CS7" s="58" t="n">
        <f aca="false">CQ7*0.338+0</f>
        <v>1693.042</v>
      </c>
      <c r="CT7" s="55" t="n">
        <f aca="false">CQ7+CS7</f>
        <v>6702.042</v>
      </c>
      <c r="CU7" s="59" t="n">
        <f aca="false">IF(CQ7&gt;0,CS7/CQ7,0)</f>
        <v>0.338</v>
      </c>
      <c r="CV7" s="60" t="n">
        <f aca="false">2_Market_Gross_USD!K5</f>
        <v>5009</v>
      </c>
      <c r="CW7" s="53" t="n">
        <f aca="false">CV7*(1-0.15)</f>
        <v>4257.65</v>
      </c>
      <c r="CX7" s="58" t="n">
        <f aca="false">CV7*0+0</f>
        <v>0</v>
      </c>
      <c r="CY7" s="55" t="n">
        <f aca="false">CV7+CX7</f>
        <v>5009</v>
      </c>
      <c r="CZ7" s="59" t="n">
        <f aca="false">IF(CV7&gt;0,CX7/CV7,0)</f>
        <v>0</v>
      </c>
      <c r="DA7" s="60" t="n">
        <f aca="false">2_Market_Gross_USD!K5</f>
        <v>5009</v>
      </c>
      <c r="DB7" s="53" t="n">
        <f aca="false">DA7*(1-0.26)</f>
        <v>3706.66</v>
      </c>
      <c r="DC7" s="58" t="n">
        <f aca="false">DA7*0.338+500</f>
        <v>2193.042</v>
      </c>
      <c r="DD7" s="55" t="n">
        <f aca="false">DA7+DC7</f>
        <v>7202.042</v>
      </c>
      <c r="DE7" s="59" t="n">
        <f aca="false">IF(DA7&gt;0,DC7/DA7,0)</f>
        <v>0.437820323417848</v>
      </c>
      <c r="DF7" s="60" t="n">
        <f aca="false">2_Market_Gross_USD!L5</f>
        <v>6215</v>
      </c>
      <c r="DG7" s="53" t="n">
        <f aca="false">DF7*(1-0.34)</f>
        <v>4101.9</v>
      </c>
      <c r="DH7" s="58" t="n">
        <f aca="false">DF7*0.2375+0</f>
        <v>1476.0625</v>
      </c>
      <c r="DI7" s="55" t="n">
        <f aca="false">DF7+DH7</f>
        <v>7691.0625</v>
      </c>
      <c r="DJ7" s="59" t="n">
        <f aca="false">IF(DF7&gt;0,DH7/DF7,0)</f>
        <v>0.2375</v>
      </c>
      <c r="DK7" s="60" t="n">
        <f aca="false">2_Market_Gross_USD!L5</f>
        <v>6215</v>
      </c>
      <c r="DL7" s="53" t="n">
        <f aca="false">DK7*(1-0.2)</f>
        <v>4972</v>
      </c>
      <c r="DM7" s="58" t="n">
        <f aca="false">DK7*0+0</f>
        <v>0</v>
      </c>
      <c r="DN7" s="55" t="n">
        <f aca="false">DK7+DM7</f>
        <v>6215</v>
      </c>
      <c r="DO7" s="59" t="n">
        <f aca="false">IF(DK7&gt;0,DM7/DK7,0)</f>
        <v>0</v>
      </c>
      <c r="DP7" s="60" t="n">
        <f aca="false">2_Market_Gross_USD!L5</f>
        <v>6215</v>
      </c>
      <c r="DQ7" s="53" t="n">
        <f aca="false">DP7*(1-0.34)</f>
        <v>4101.9</v>
      </c>
      <c r="DR7" s="58" t="n">
        <f aca="false">DP7*0.2375+500</f>
        <v>1976.0625</v>
      </c>
      <c r="DS7" s="55" t="n">
        <f aca="false">DP7+DR7</f>
        <v>8191.0625</v>
      </c>
      <c r="DT7" s="59" t="n">
        <f aca="false">IF(DP7&gt;0,DR7/DP7,0)</f>
        <v>0.317950522928399</v>
      </c>
      <c r="DU7" s="60" t="n">
        <f aca="false">2_Market_Gross_USD!M5</f>
        <v>4200</v>
      </c>
      <c r="DV7" s="53" t="n">
        <f aca="false">DU7*0.65</f>
        <v>2730</v>
      </c>
      <c r="DW7" s="58" t="n">
        <f aca="false">DU7*0.0225+0</f>
        <v>94.5</v>
      </c>
      <c r="DX7" s="55" t="n">
        <f aca="false">DU7+DW7</f>
        <v>4294.5</v>
      </c>
      <c r="DY7" s="59" t="n">
        <f aca="false">IF(DU7&gt;0,DW7/DU7,0)</f>
        <v>0.0225</v>
      </c>
      <c r="DZ7" s="60" t="n">
        <f aca="false">2_Market_Gross_USD!M5</f>
        <v>4200</v>
      </c>
      <c r="EA7" s="53" t="n">
        <f aca="false">DZ7*(1-0.01)</f>
        <v>4158</v>
      </c>
      <c r="EB7" s="58" t="n">
        <f aca="false">DZ7*0+0</f>
        <v>0</v>
      </c>
      <c r="EC7" s="55" t="n">
        <f aca="false">DZ7+EB7</f>
        <v>4200</v>
      </c>
      <c r="ED7" s="59" t="n">
        <f aca="false">IF(DZ7&gt;0,EB7/DZ7,0)</f>
        <v>0</v>
      </c>
      <c r="EE7" s="60" t="n">
        <f aca="false">2_Market_Gross_USD!M5</f>
        <v>4200</v>
      </c>
      <c r="EF7" s="53" t="n">
        <f aca="false">EE7*0.65</f>
        <v>2730</v>
      </c>
      <c r="EG7" s="58" t="n">
        <f aca="false">EE7*0.0225+500</f>
        <v>594.5</v>
      </c>
      <c r="EH7" s="55" t="n">
        <f aca="false">EE7+EG7</f>
        <v>4794.5</v>
      </c>
      <c r="EI7" s="59" t="n">
        <f aca="false">IF(EE7&gt;0,EG7/EE7,0)</f>
        <v>0.141547619047619</v>
      </c>
    </row>
    <row r="8" customFormat="false" ht="15" hidden="false" customHeight="false" outlineLevel="0" collapsed="false">
      <c r="A8" s="37" t="n">
        <v>3</v>
      </c>
      <c r="B8" s="32" t="s">
        <v>246</v>
      </c>
      <c r="C8" s="32" t="s">
        <v>250</v>
      </c>
      <c r="D8" s="38" t="s">
        <v>248</v>
      </c>
      <c r="E8" s="52" t="n">
        <f aca="false">2_Market_Gross_USD!E6</f>
        <v>1600</v>
      </c>
      <c r="F8" s="53" t="n">
        <f aca="false">E8*(1-0.065)</f>
        <v>1496</v>
      </c>
      <c r="G8" s="54" t="n">
        <f aca="false">E8*0+35</f>
        <v>35</v>
      </c>
      <c r="H8" s="55" t="n">
        <f aca="false">E8+G8</f>
        <v>1635</v>
      </c>
      <c r="I8" s="56" t="n">
        <f aca="false">IF(E8&gt;0,G8/E8,0)</f>
        <v>0.021875</v>
      </c>
      <c r="J8" s="52" t="n">
        <f aca="false">2_Market_Gross_USD!E6</f>
        <v>1600</v>
      </c>
      <c r="K8" s="53" t="n">
        <f aca="false">J8*(1-0.065)</f>
        <v>1496</v>
      </c>
      <c r="L8" s="54" t="n">
        <f aca="false">J8*0+40</f>
        <v>40</v>
      </c>
      <c r="M8" s="55" t="n">
        <f aca="false">J8+L8</f>
        <v>1640</v>
      </c>
      <c r="N8" s="56" t="n">
        <f aca="false">IF(J8&gt;0,L8/J8,0)</f>
        <v>0.025</v>
      </c>
      <c r="O8" s="52" t="n">
        <f aca="false">2_Market_Gross_USD!E6</f>
        <v>1600</v>
      </c>
      <c r="P8" s="53" t="n">
        <f aca="false">O8*(1-0.195)</f>
        <v>1288</v>
      </c>
      <c r="Q8" s="54" t="n">
        <f aca="false">IF(O8&gt;=3886,3886*0.22,O8*0.22)</f>
        <v>352</v>
      </c>
      <c r="R8" s="55" t="n">
        <f aca="false">O8+Q8</f>
        <v>1952</v>
      </c>
      <c r="S8" s="56" t="n">
        <f aca="false">IF(O8&gt;0,Q8/O8,0)</f>
        <v>0.22</v>
      </c>
      <c r="T8" s="57" t="n">
        <f aca="false">2_Market_Gross_USD!F6</f>
        <v>3825</v>
      </c>
      <c r="U8" s="53" t="n">
        <f aca="false">T8*(1-0.2571)</f>
        <v>2841.5925</v>
      </c>
      <c r="V8" s="54" t="n">
        <f aca="false">T8*0.2038+0</f>
        <v>779.535</v>
      </c>
      <c r="W8" s="55" t="n">
        <f aca="false">T8+V8</f>
        <v>4604.535</v>
      </c>
      <c r="X8" s="56" t="n">
        <f aca="false">IF(T8&gt;0,V8/T8,0)</f>
        <v>0.2038</v>
      </c>
      <c r="Y8" s="57" t="n">
        <f aca="false">2_Market_Gross_USD!F6</f>
        <v>3825</v>
      </c>
      <c r="Z8" s="53" t="n">
        <f aca="false">Y8*(1-0.12)</f>
        <v>3366</v>
      </c>
      <c r="AA8" s="54" t="n">
        <f aca="false">Y8*0+0</f>
        <v>0</v>
      </c>
      <c r="AB8" s="55" t="n">
        <f aca="false">Y8+AA8</f>
        <v>3825</v>
      </c>
      <c r="AC8" s="56" t="n">
        <f aca="false">IF(Y8&gt;0,AA8/Y8,0)</f>
        <v>0</v>
      </c>
      <c r="AD8" s="57" t="n">
        <f aca="false">2_Market_Gross_USD!F6</f>
        <v>3825</v>
      </c>
      <c r="AE8" s="53" t="n">
        <f aca="false">AD8*(1-0.2571)</f>
        <v>2841.5925</v>
      </c>
      <c r="AF8" s="54" t="n">
        <f aca="false">AD8*0.2038+500</f>
        <v>1279.535</v>
      </c>
      <c r="AG8" s="55" t="n">
        <f aca="false">AD8+AF8</f>
        <v>5104.535</v>
      </c>
      <c r="AH8" s="56" t="n">
        <f aca="false">IF(AD8&gt;0,AF8/AD8,0)</f>
        <v>0.334518954248366</v>
      </c>
      <c r="AI8" s="57" t="n">
        <f aca="false">2_Market_Gross_USD!G6</f>
        <v>5292</v>
      </c>
      <c r="AJ8" s="53" t="n">
        <f aca="false">AI8*(1-0.28)</f>
        <v>3810.24</v>
      </c>
      <c r="AK8" s="54" t="n">
        <f aca="false">AI8*0.15+0</f>
        <v>793.8</v>
      </c>
      <c r="AL8" s="55" t="n">
        <f aca="false">AI8+AK8</f>
        <v>6085.8</v>
      </c>
      <c r="AM8" s="56" t="n">
        <f aca="false">IF(AI8&gt;0,AK8/AI8,0)</f>
        <v>0.15</v>
      </c>
      <c r="AN8" s="57" t="n">
        <f aca="false">2_Market_Gross_USD!G6</f>
        <v>5292</v>
      </c>
      <c r="AO8" s="53" t="n">
        <f aca="false">AN8*(1-0.19)</f>
        <v>4286.52</v>
      </c>
      <c r="AP8" s="54" t="n">
        <f aca="false">AN8*0+0</f>
        <v>0</v>
      </c>
      <c r="AQ8" s="55" t="n">
        <f aca="false">AN8+AP8</f>
        <v>5292</v>
      </c>
      <c r="AR8" s="56" t="n">
        <f aca="false">IF(AN8&gt;0,AP8/AN8,0)</f>
        <v>0</v>
      </c>
      <c r="AS8" s="57" t="n">
        <f aca="false">2_Market_Gross_USD!G6</f>
        <v>5292</v>
      </c>
      <c r="AT8" s="53" t="n">
        <f aca="false">AS8*(1-0.28)</f>
        <v>3810.24</v>
      </c>
      <c r="AU8" s="54" t="n">
        <f aca="false">AS8*0.15+500</f>
        <v>1293.8</v>
      </c>
      <c r="AV8" s="55" t="n">
        <f aca="false">AS8+AU8</f>
        <v>6585.8</v>
      </c>
      <c r="AW8" s="56" t="n">
        <f aca="false">IF(AS8&gt;0,AU8/AS8,0)</f>
        <v>0.24448223733938</v>
      </c>
      <c r="AX8" s="57" t="n">
        <f aca="false">2_Market_Gross_USD!H6</f>
        <v>11000</v>
      </c>
      <c r="AY8" s="53" t="n">
        <f aca="false">AX8*(1-0.2965)</f>
        <v>7738.5</v>
      </c>
      <c r="AZ8" s="54" t="n">
        <f aca="false">AX8*0.11+0</f>
        <v>1210</v>
      </c>
      <c r="BA8" s="55" t="n">
        <f aca="false">AX8+AZ8</f>
        <v>12210</v>
      </c>
      <c r="BB8" s="56" t="n">
        <f aca="false">IF(AX8&gt;0,AZ8/AX8,0)</f>
        <v>0.11</v>
      </c>
      <c r="BC8" s="57" t="n">
        <f aca="false">2_Market_Gross_USD!H6</f>
        <v>11000</v>
      </c>
      <c r="BD8" s="53" t="n">
        <f aca="false">BC8*(1-0.373)</f>
        <v>6897</v>
      </c>
      <c r="BE8" s="54" t="n">
        <f aca="false">BC8*0+0</f>
        <v>0</v>
      </c>
      <c r="BF8" s="55" t="n">
        <f aca="false">BC8+BE8</f>
        <v>11000</v>
      </c>
      <c r="BG8" s="56" t="n">
        <f aca="false">IF(BC8&gt;0,BE8/BC8,0)</f>
        <v>0</v>
      </c>
      <c r="BH8" s="57" t="n">
        <f aca="false">2_Market_Gross_USD!H6</f>
        <v>11000</v>
      </c>
      <c r="BI8" s="53" t="n">
        <f aca="false">BH8*(1-0.2965)</f>
        <v>7738.5</v>
      </c>
      <c r="BJ8" s="54" t="n">
        <f aca="false">BH8*0.11+500</f>
        <v>1710</v>
      </c>
      <c r="BK8" s="55" t="n">
        <f aca="false">BH8+BJ8</f>
        <v>12710</v>
      </c>
      <c r="BL8" s="56" t="n">
        <f aca="false">IF(BH8&gt;0,BJ8/BH8,0)</f>
        <v>0.155454545454545</v>
      </c>
      <c r="BM8" s="57" t="n">
        <f aca="false">2_Market_Gross_USD!I6</f>
        <v>5650</v>
      </c>
      <c r="BN8" s="53" t="n">
        <f aca="false">BM8*(1-0.4785)</f>
        <v>2946.475</v>
      </c>
      <c r="BO8" s="54" t="n">
        <f aca="false">BM8*0.21+0</f>
        <v>1186.5</v>
      </c>
      <c r="BP8" s="55" t="n">
        <f aca="false">BM8+BO8</f>
        <v>6836.5</v>
      </c>
      <c r="BQ8" s="56" t="n">
        <f aca="false">IF(BM8&gt;0,BO8/BM8,0)</f>
        <v>0.21</v>
      </c>
      <c r="BR8" s="57" t="n">
        <f aca="false">2_Market_Gross_USD!I6</f>
        <v>5650</v>
      </c>
      <c r="BS8" s="53" t="n">
        <f aca="false">BR8*(1-0.25)</f>
        <v>4237.5</v>
      </c>
      <c r="BT8" s="54" t="n">
        <f aca="false">BR8*0+0</f>
        <v>0</v>
      </c>
      <c r="BU8" s="55" t="n">
        <f aca="false">BR8+BT8</f>
        <v>5650</v>
      </c>
      <c r="BV8" s="56" t="n">
        <f aca="false">IF(BR8&gt;0,BT8/BR8,0)</f>
        <v>0</v>
      </c>
      <c r="BW8" s="57" t="n">
        <f aca="false">2_Market_Gross_USD!I6</f>
        <v>5650</v>
      </c>
      <c r="BX8" s="53" t="n">
        <f aca="false">BW8*(1-0.4785)</f>
        <v>2946.475</v>
      </c>
      <c r="BY8" s="54" t="n">
        <f aca="false">BW8*0.21+500</f>
        <v>1686.5</v>
      </c>
      <c r="BZ8" s="55" t="n">
        <f aca="false">BW8+BY8</f>
        <v>7336.5</v>
      </c>
      <c r="CA8" s="56" t="n">
        <f aca="false">IF(BW8&gt;0,BY8/BW8,0)</f>
        <v>0.298495575221239</v>
      </c>
      <c r="CB8" s="57" t="n">
        <f aca="false">2_Market_Gross_USD!J6</f>
        <v>6121</v>
      </c>
      <c r="CC8" s="53" t="n">
        <f aca="false">CB8*(1-0.3697)</f>
        <v>3858.0663</v>
      </c>
      <c r="CD8" s="54" t="n">
        <f aca="false">CB8*0.2+0</f>
        <v>1224.2</v>
      </c>
      <c r="CE8" s="55" t="n">
        <f aca="false">CB8+CD8</f>
        <v>7345.2</v>
      </c>
      <c r="CF8" s="56" t="n">
        <f aca="false">IF(CB8&gt;0,CD8/CB8,0)</f>
        <v>0.2</v>
      </c>
      <c r="CG8" s="57" t="n">
        <f aca="false">2_Market_Gross_USD!J6</f>
        <v>6121</v>
      </c>
      <c r="CH8" s="53" t="n">
        <f aca="false">CG8*(1-0.3697)</f>
        <v>3858.0663</v>
      </c>
      <c r="CI8" s="54" t="n">
        <f aca="false">CG8*0+0</f>
        <v>0</v>
      </c>
      <c r="CJ8" s="55" t="n">
        <f aca="false">CG8+CI8</f>
        <v>6121</v>
      </c>
      <c r="CK8" s="56" t="n">
        <f aca="false">IF(CG8&gt;0,CI8/CG8,0)</f>
        <v>0</v>
      </c>
      <c r="CL8" s="57" t="n">
        <f aca="false">2_Market_Gross_USD!J6</f>
        <v>6121</v>
      </c>
      <c r="CM8" s="53" t="n">
        <f aca="false">CL8*(1-0.3697)</f>
        <v>3858.0663</v>
      </c>
      <c r="CN8" s="54" t="n">
        <f aca="false">CL8*0.2+500</f>
        <v>1724.2</v>
      </c>
      <c r="CO8" s="55" t="n">
        <f aca="false">CL8+CN8</f>
        <v>7845.2</v>
      </c>
      <c r="CP8" s="56" t="n">
        <f aca="false">IF(CL8&gt;0,CN8/CL8,0)</f>
        <v>0.281685999019768</v>
      </c>
      <c r="CQ8" s="57" t="n">
        <f aca="false">2_Market_Gross_USD!K6</f>
        <v>2935</v>
      </c>
      <c r="CR8" s="53" t="n">
        <f aca="false">CQ8*(1-0.26)</f>
        <v>2171.9</v>
      </c>
      <c r="CS8" s="54" t="n">
        <f aca="false">CQ8*0.338+0</f>
        <v>992.03</v>
      </c>
      <c r="CT8" s="55" t="n">
        <f aca="false">CQ8+CS8</f>
        <v>3927.03</v>
      </c>
      <c r="CU8" s="56" t="n">
        <f aca="false">IF(CQ8&gt;0,CS8/CQ8,0)</f>
        <v>0.338</v>
      </c>
      <c r="CV8" s="57" t="n">
        <f aca="false">2_Market_Gross_USD!K6</f>
        <v>2935</v>
      </c>
      <c r="CW8" s="53" t="n">
        <f aca="false">CV8*(1-0.15)</f>
        <v>2494.75</v>
      </c>
      <c r="CX8" s="54" t="n">
        <f aca="false">CV8*0+0</f>
        <v>0</v>
      </c>
      <c r="CY8" s="55" t="n">
        <f aca="false">CV8+CX8</f>
        <v>2935</v>
      </c>
      <c r="CZ8" s="56" t="n">
        <f aca="false">IF(CV8&gt;0,CX8/CV8,0)</f>
        <v>0</v>
      </c>
      <c r="DA8" s="57" t="n">
        <f aca="false">2_Market_Gross_USD!K6</f>
        <v>2935</v>
      </c>
      <c r="DB8" s="53" t="n">
        <f aca="false">DA8*(1-0.26)</f>
        <v>2171.9</v>
      </c>
      <c r="DC8" s="54" t="n">
        <f aca="false">DA8*0.338+500</f>
        <v>1492.03</v>
      </c>
      <c r="DD8" s="55" t="n">
        <f aca="false">DA8+DC8</f>
        <v>4427.03</v>
      </c>
      <c r="DE8" s="56" t="n">
        <f aca="false">IF(DA8&gt;0,DC8/DA8,0)</f>
        <v>0.508357751277683</v>
      </c>
      <c r="DF8" s="57" t="n">
        <f aca="false">2_Market_Gross_USD!L6</f>
        <v>3766</v>
      </c>
      <c r="DG8" s="53" t="n">
        <f aca="false">DF8*(1-0.34)</f>
        <v>2485.56</v>
      </c>
      <c r="DH8" s="54" t="n">
        <f aca="false">DF8*0.2375+0</f>
        <v>894.425</v>
      </c>
      <c r="DI8" s="55" t="n">
        <f aca="false">DF8+DH8</f>
        <v>4660.425</v>
      </c>
      <c r="DJ8" s="56" t="n">
        <f aca="false">IF(DF8&gt;0,DH8/DF8,0)</f>
        <v>0.2375</v>
      </c>
      <c r="DK8" s="57" t="n">
        <f aca="false">2_Market_Gross_USD!L6</f>
        <v>3766</v>
      </c>
      <c r="DL8" s="53" t="n">
        <f aca="false">DK8*(1-0.2)</f>
        <v>3012.8</v>
      </c>
      <c r="DM8" s="54" t="n">
        <f aca="false">DK8*0+0</f>
        <v>0</v>
      </c>
      <c r="DN8" s="55" t="n">
        <f aca="false">DK8+DM8</f>
        <v>3766</v>
      </c>
      <c r="DO8" s="56" t="n">
        <f aca="false">IF(DK8&gt;0,DM8/DK8,0)</f>
        <v>0</v>
      </c>
      <c r="DP8" s="57" t="n">
        <f aca="false">2_Market_Gross_USD!L6</f>
        <v>3766</v>
      </c>
      <c r="DQ8" s="53" t="n">
        <f aca="false">DP8*(1-0.34)</f>
        <v>2485.56</v>
      </c>
      <c r="DR8" s="54" t="n">
        <f aca="false">DP8*0.2375+500</f>
        <v>1394.425</v>
      </c>
      <c r="DS8" s="55" t="n">
        <f aca="false">DP8+DR8</f>
        <v>5160.425</v>
      </c>
      <c r="DT8" s="56" t="n">
        <f aca="false">IF(DP8&gt;0,DR8/DP8,0)</f>
        <v>0.370266861391397</v>
      </c>
      <c r="DU8" s="57" t="n">
        <f aca="false">2_Market_Gross_USD!M6</f>
        <v>2500</v>
      </c>
      <c r="DV8" s="53" t="n">
        <f aca="false">DU8*0.65</f>
        <v>1625</v>
      </c>
      <c r="DW8" s="54" t="n">
        <f aca="false">DU8*0.0225+0</f>
        <v>56.25</v>
      </c>
      <c r="DX8" s="55" t="n">
        <f aca="false">DU8+DW8</f>
        <v>2556.25</v>
      </c>
      <c r="DY8" s="56" t="n">
        <f aca="false">IF(DU8&gt;0,DW8/DU8,0)</f>
        <v>0.0225</v>
      </c>
      <c r="DZ8" s="57" t="n">
        <f aca="false">2_Market_Gross_USD!M6</f>
        <v>2500</v>
      </c>
      <c r="EA8" s="53" t="n">
        <f aca="false">DZ8*(1-0.01)</f>
        <v>2475</v>
      </c>
      <c r="EB8" s="54" t="n">
        <f aca="false">DZ8*0+0</f>
        <v>0</v>
      </c>
      <c r="EC8" s="55" t="n">
        <f aca="false">DZ8+EB8</f>
        <v>2500</v>
      </c>
      <c r="ED8" s="56" t="n">
        <f aca="false">IF(DZ8&gt;0,EB8/DZ8,0)</f>
        <v>0</v>
      </c>
      <c r="EE8" s="57" t="n">
        <f aca="false">2_Market_Gross_USD!M6</f>
        <v>2500</v>
      </c>
      <c r="EF8" s="53" t="n">
        <f aca="false">EE8*0.65</f>
        <v>1625</v>
      </c>
      <c r="EG8" s="54" t="n">
        <f aca="false">EE8*0.0225+500</f>
        <v>556.25</v>
      </c>
      <c r="EH8" s="55" t="n">
        <f aca="false">EE8+EG8</f>
        <v>3056.25</v>
      </c>
      <c r="EI8" s="56" t="n">
        <f aca="false">IF(EE8&gt;0,EG8/EE8,0)</f>
        <v>0.2225</v>
      </c>
    </row>
    <row r="9" customFormat="false" ht="15" hidden="false" customHeight="false" outlineLevel="0" collapsed="false">
      <c r="A9" s="41" t="n">
        <v>4</v>
      </c>
      <c r="B9" s="28" t="s">
        <v>246</v>
      </c>
      <c r="C9" s="8" t="s">
        <v>250</v>
      </c>
      <c r="D9" s="42" t="s">
        <v>249</v>
      </c>
      <c r="E9" s="52" t="n">
        <f aca="false">2_Market_Gross_USD!E7</f>
        <v>4500</v>
      </c>
      <c r="F9" s="53" t="n">
        <f aca="false">E9*(1-0.065)</f>
        <v>4207.5</v>
      </c>
      <c r="G9" s="58" t="n">
        <f aca="false">E9*0+35</f>
        <v>35</v>
      </c>
      <c r="H9" s="55" t="n">
        <f aca="false">E9+G9</f>
        <v>4535</v>
      </c>
      <c r="I9" s="59" t="n">
        <f aca="false">IF(E9&gt;0,G9/E9,0)</f>
        <v>0.00777777777777778</v>
      </c>
      <c r="J9" s="52" t="n">
        <f aca="false">2_Market_Gross_USD!E7</f>
        <v>4500</v>
      </c>
      <c r="K9" s="53" t="n">
        <f aca="false">J9*(1-0.065)</f>
        <v>4207.5</v>
      </c>
      <c r="L9" s="58" t="n">
        <f aca="false">J9*0+40</f>
        <v>40</v>
      </c>
      <c r="M9" s="55" t="n">
        <f aca="false">J9+L9</f>
        <v>4540</v>
      </c>
      <c r="N9" s="59" t="n">
        <f aca="false">IF(J9&gt;0,L9/J9,0)</f>
        <v>0.00888888888888889</v>
      </c>
      <c r="O9" s="52" t="n">
        <f aca="false">2_Market_Gross_USD!E7</f>
        <v>4500</v>
      </c>
      <c r="P9" s="53" t="n">
        <f aca="false">O9*(1-0.195)</f>
        <v>3622.5</v>
      </c>
      <c r="Q9" s="58" t="n">
        <f aca="false">IF(O9&gt;=3886,3886*0.22,O9*0.22)</f>
        <v>854.92</v>
      </c>
      <c r="R9" s="55" t="n">
        <f aca="false">O9+Q9</f>
        <v>5354.92</v>
      </c>
      <c r="S9" s="59" t="n">
        <f aca="false">IF(O9&gt;0,Q9/O9,0)</f>
        <v>0.189982222222222</v>
      </c>
      <c r="T9" s="60" t="n">
        <f aca="false">2_Market_Gross_USD!F7</f>
        <v>6375</v>
      </c>
      <c r="U9" s="53" t="n">
        <f aca="false">T9*(1-0.2571)</f>
        <v>4735.9875</v>
      </c>
      <c r="V9" s="58" t="n">
        <f aca="false">T9*0.2038+0</f>
        <v>1299.225</v>
      </c>
      <c r="W9" s="55" t="n">
        <f aca="false">T9+V9</f>
        <v>7674.225</v>
      </c>
      <c r="X9" s="59" t="n">
        <f aca="false">IF(T9&gt;0,V9/T9,0)</f>
        <v>0.2038</v>
      </c>
      <c r="Y9" s="60" t="n">
        <f aca="false">2_Market_Gross_USD!F7</f>
        <v>6375</v>
      </c>
      <c r="Z9" s="53" t="n">
        <f aca="false">Y9*(1-0.12)</f>
        <v>5610</v>
      </c>
      <c r="AA9" s="58" t="n">
        <f aca="false">Y9*0+0</f>
        <v>0</v>
      </c>
      <c r="AB9" s="55" t="n">
        <f aca="false">Y9+AA9</f>
        <v>6375</v>
      </c>
      <c r="AC9" s="59" t="n">
        <f aca="false">IF(Y9&gt;0,AA9/Y9,0)</f>
        <v>0</v>
      </c>
      <c r="AD9" s="60" t="n">
        <f aca="false">2_Market_Gross_USD!F7</f>
        <v>6375</v>
      </c>
      <c r="AE9" s="53" t="n">
        <f aca="false">AD9*(1-0.2571)</f>
        <v>4735.9875</v>
      </c>
      <c r="AF9" s="58" t="n">
        <f aca="false">AD9*0.2038+500</f>
        <v>1799.225</v>
      </c>
      <c r="AG9" s="55" t="n">
        <f aca="false">AD9+AF9</f>
        <v>8174.225</v>
      </c>
      <c r="AH9" s="59" t="n">
        <f aca="false">IF(AD9&gt;0,AF9/AD9,0)</f>
        <v>0.28223137254902</v>
      </c>
      <c r="AI9" s="60" t="n">
        <f aca="false">2_Market_Gross_USD!G7</f>
        <v>7407</v>
      </c>
      <c r="AJ9" s="53" t="n">
        <f aca="false">AI9*(1-0.28)</f>
        <v>5333.04</v>
      </c>
      <c r="AK9" s="58" t="n">
        <f aca="false">AI9*0.15+0</f>
        <v>1111.05</v>
      </c>
      <c r="AL9" s="55" t="n">
        <f aca="false">AI9+AK9</f>
        <v>8518.05</v>
      </c>
      <c r="AM9" s="59" t="n">
        <f aca="false">IF(AI9&gt;0,AK9/AI9,0)</f>
        <v>0.15</v>
      </c>
      <c r="AN9" s="60" t="n">
        <f aca="false">2_Market_Gross_USD!G7</f>
        <v>7407</v>
      </c>
      <c r="AO9" s="53" t="n">
        <f aca="false">AN9*(1-0.19)</f>
        <v>5999.67</v>
      </c>
      <c r="AP9" s="58" t="n">
        <f aca="false">AN9*0+0</f>
        <v>0</v>
      </c>
      <c r="AQ9" s="55" t="n">
        <f aca="false">AN9+AP9</f>
        <v>7407</v>
      </c>
      <c r="AR9" s="59" t="n">
        <f aca="false">IF(AN9&gt;0,AP9/AN9,0)</f>
        <v>0</v>
      </c>
      <c r="AS9" s="60" t="n">
        <f aca="false">2_Market_Gross_USD!G7</f>
        <v>7407</v>
      </c>
      <c r="AT9" s="53" t="n">
        <f aca="false">AS9*(1-0.28)</f>
        <v>5333.04</v>
      </c>
      <c r="AU9" s="58" t="n">
        <f aca="false">AS9*0.15+500</f>
        <v>1611.05</v>
      </c>
      <c r="AV9" s="55" t="n">
        <f aca="false">AS9+AU9</f>
        <v>9018.05</v>
      </c>
      <c r="AW9" s="59" t="n">
        <f aca="false">IF(AS9&gt;0,AU9/AS9,0)</f>
        <v>0.217503712704199</v>
      </c>
      <c r="AX9" s="60" t="n">
        <f aca="false">2_Market_Gross_USD!H7</f>
        <v>13600</v>
      </c>
      <c r="AY9" s="53" t="n">
        <f aca="false">AX9*(1-0.2965)</f>
        <v>9567.6</v>
      </c>
      <c r="AZ9" s="58" t="n">
        <f aca="false">AX9*0.11+0</f>
        <v>1496</v>
      </c>
      <c r="BA9" s="55" t="n">
        <f aca="false">AX9+AZ9</f>
        <v>15096</v>
      </c>
      <c r="BB9" s="59" t="n">
        <f aca="false">IF(AX9&gt;0,AZ9/AX9,0)</f>
        <v>0.11</v>
      </c>
      <c r="BC9" s="60" t="n">
        <f aca="false">2_Market_Gross_USD!H7</f>
        <v>13600</v>
      </c>
      <c r="BD9" s="53" t="n">
        <f aca="false">BC9*(1-0.373)</f>
        <v>8527.2</v>
      </c>
      <c r="BE9" s="58" t="n">
        <f aca="false">BC9*0+0</f>
        <v>0</v>
      </c>
      <c r="BF9" s="55" t="n">
        <f aca="false">BC9+BE9</f>
        <v>13600</v>
      </c>
      <c r="BG9" s="59" t="n">
        <f aca="false">IF(BC9&gt;0,BE9/BC9,0)</f>
        <v>0</v>
      </c>
      <c r="BH9" s="60" t="n">
        <f aca="false">2_Market_Gross_USD!H7</f>
        <v>13600</v>
      </c>
      <c r="BI9" s="53" t="n">
        <f aca="false">BH9*(1-0.2965)</f>
        <v>9567.6</v>
      </c>
      <c r="BJ9" s="58" t="n">
        <f aca="false">BH9*0.11+500</f>
        <v>1996</v>
      </c>
      <c r="BK9" s="55" t="n">
        <f aca="false">BH9+BJ9</f>
        <v>15596</v>
      </c>
      <c r="BL9" s="59" t="n">
        <f aca="false">IF(BH9&gt;0,BJ9/BH9,0)</f>
        <v>0.146764705882353</v>
      </c>
      <c r="BM9" s="60" t="n">
        <f aca="false">2_Market_Gross_USD!I7</f>
        <v>7910</v>
      </c>
      <c r="BN9" s="53" t="n">
        <f aca="false">BM9*(1-0.4785)</f>
        <v>4125.065</v>
      </c>
      <c r="BO9" s="58" t="n">
        <f aca="false">BM9*0.21+0</f>
        <v>1661.1</v>
      </c>
      <c r="BP9" s="55" t="n">
        <f aca="false">BM9+BO9</f>
        <v>9571.1</v>
      </c>
      <c r="BQ9" s="59" t="n">
        <f aca="false">IF(BM9&gt;0,BO9/BM9,0)</f>
        <v>0.21</v>
      </c>
      <c r="BR9" s="60" t="n">
        <f aca="false">2_Market_Gross_USD!I7</f>
        <v>7910</v>
      </c>
      <c r="BS9" s="53" t="n">
        <f aca="false">BR9*(1-0.25)</f>
        <v>5932.5</v>
      </c>
      <c r="BT9" s="58" t="n">
        <f aca="false">BR9*0+0</f>
        <v>0</v>
      </c>
      <c r="BU9" s="55" t="n">
        <f aca="false">BR9+BT9</f>
        <v>7910</v>
      </c>
      <c r="BV9" s="59" t="n">
        <f aca="false">IF(BR9&gt;0,BT9/BR9,0)</f>
        <v>0</v>
      </c>
      <c r="BW9" s="60" t="n">
        <f aca="false">2_Market_Gross_USD!I7</f>
        <v>7910</v>
      </c>
      <c r="BX9" s="53" t="n">
        <f aca="false">BW9*(1-0.4785)</f>
        <v>4125.065</v>
      </c>
      <c r="BY9" s="58" t="n">
        <f aca="false">BW9*0.21+500</f>
        <v>2161.1</v>
      </c>
      <c r="BZ9" s="55" t="n">
        <f aca="false">BW9+BY9</f>
        <v>10071.1</v>
      </c>
      <c r="CA9" s="59" t="n">
        <f aca="false">IF(BW9&gt;0,BY9/BW9,0)</f>
        <v>0.273211125158028</v>
      </c>
      <c r="CB9" s="60" t="n">
        <f aca="false">2_Market_Gross_USD!J7</f>
        <v>9040</v>
      </c>
      <c r="CC9" s="53" t="n">
        <f aca="false">CB9*(1-0.3697)</f>
        <v>5697.912</v>
      </c>
      <c r="CD9" s="58" t="n">
        <f aca="false">CB9*0.2+0</f>
        <v>1808</v>
      </c>
      <c r="CE9" s="55" t="n">
        <f aca="false">CB9+CD9</f>
        <v>10848</v>
      </c>
      <c r="CF9" s="59" t="n">
        <f aca="false">IF(CB9&gt;0,CD9/CB9,0)</f>
        <v>0.2</v>
      </c>
      <c r="CG9" s="60" t="n">
        <f aca="false">2_Market_Gross_USD!J7</f>
        <v>9040</v>
      </c>
      <c r="CH9" s="53" t="n">
        <f aca="false">CG9*(1-0.3697)</f>
        <v>5697.912</v>
      </c>
      <c r="CI9" s="58" t="n">
        <f aca="false">CG9*0+0</f>
        <v>0</v>
      </c>
      <c r="CJ9" s="55" t="n">
        <f aca="false">CG9+CI9</f>
        <v>9040</v>
      </c>
      <c r="CK9" s="59" t="n">
        <f aca="false">IF(CG9&gt;0,CI9/CG9,0)</f>
        <v>0</v>
      </c>
      <c r="CL9" s="60" t="n">
        <f aca="false">2_Market_Gross_USD!J7</f>
        <v>9040</v>
      </c>
      <c r="CM9" s="53" t="n">
        <f aca="false">CL9*(1-0.3697)</f>
        <v>5697.912</v>
      </c>
      <c r="CN9" s="58" t="n">
        <f aca="false">CL9*0.2+500</f>
        <v>2308</v>
      </c>
      <c r="CO9" s="55" t="n">
        <f aca="false">CL9+CN9</f>
        <v>11348</v>
      </c>
      <c r="CP9" s="59" t="n">
        <f aca="false">IF(CL9&gt;0,CN9/CL9,0)</f>
        <v>0.255309734513274</v>
      </c>
      <c r="CQ9" s="60" t="n">
        <f aca="false">2_Market_Gross_USD!K7</f>
        <v>4731</v>
      </c>
      <c r="CR9" s="53" t="n">
        <f aca="false">CQ9*(1-0.26)</f>
        <v>3500.94</v>
      </c>
      <c r="CS9" s="58" t="n">
        <f aca="false">CQ9*0.338+0</f>
        <v>1599.078</v>
      </c>
      <c r="CT9" s="55" t="n">
        <f aca="false">CQ9+CS9</f>
        <v>6330.078</v>
      </c>
      <c r="CU9" s="59" t="n">
        <f aca="false">IF(CQ9&gt;0,CS9/CQ9,0)</f>
        <v>0.338</v>
      </c>
      <c r="CV9" s="60" t="n">
        <f aca="false">2_Market_Gross_USD!K7</f>
        <v>4731</v>
      </c>
      <c r="CW9" s="53" t="n">
        <f aca="false">CV9*(1-0.15)</f>
        <v>4021.35</v>
      </c>
      <c r="CX9" s="58" t="n">
        <f aca="false">CV9*0+0</f>
        <v>0</v>
      </c>
      <c r="CY9" s="55" t="n">
        <f aca="false">CV9+CX9</f>
        <v>4731</v>
      </c>
      <c r="CZ9" s="59" t="n">
        <f aca="false">IF(CV9&gt;0,CX9/CV9,0)</f>
        <v>0</v>
      </c>
      <c r="DA9" s="60" t="n">
        <f aca="false">2_Market_Gross_USD!K7</f>
        <v>4731</v>
      </c>
      <c r="DB9" s="53" t="n">
        <f aca="false">DA9*(1-0.26)</f>
        <v>3500.94</v>
      </c>
      <c r="DC9" s="58" t="n">
        <f aca="false">DA9*0.338+500</f>
        <v>2099.078</v>
      </c>
      <c r="DD9" s="55" t="n">
        <f aca="false">DA9+DC9</f>
        <v>6830.078</v>
      </c>
      <c r="DE9" s="59" t="n">
        <f aca="false">IF(DA9&gt;0,DC9/DA9,0)</f>
        <v>0.44368590150074</v>
      </c>
      <c r="DF9" s="60" t="n">
        <f aca="false">2_Market_Gross_USD!L7</f>
        <v>5839</v>
      </c>
      <c r="DG9" s="53" t="n">
        <f aca="false">DF9*(1-0.34)</f>
        <v>3853.74</v>
      </c>
      <c r="DH9" s="58" t="n">
        <f aca="false">DF9*0.2375+0</f>
        <v>1386.7625</v>
      </c>
      <c r="DI9" s="55" t="n">
        <f aca="false">DF9+DH9</f>
        <v>7225.7625</v>
      </c>
      <c r="DJ9" s="59" t="n">
        <f aca="false">IF(DF9&gt;0,DH9/DF9,0)</f>
        <v>0.2375</v>
      </c>
      <c r="DK9" s="60" t="n">
        <f aca="false">2_Market_Gross_USD!L7</f>
        <v>5839</v>
      </c>
      <c r="DL9" s="53" t="n">
        <f aca="false">DK9*(1-0.2)</f>
        <v>4671.2</v>
      </c>
      <c r="DM9" s="58" t="n">
        <f aca="false">DK9*0+0</f>
        <v>0</v>
      </c>
      <c r="DN9" s="55" t="n">
        <f aca="false">DK9+DM9</f>
        <v>5839</v>
      </c>
      <c r="DO9" s="59" t="n">
        <f aca="false">IF(DK9&gt;0,DM9/DK9,0)</f>
        <v>0</v>
      </c>
      <c r="DP9" s="60" t="n">
        <f aca="false">2_Market_Gross_USD!L7</f>
        <v>5839</v>
      </c>
      <c r="DQ9" s="53" t="n">
        <f aca="false">DP9*(1-0.34)</f>
        <v>3853.74</v>
      </c>
      <c r="DR9" s="58" t="n">
        <f aca="false">DP9*0.2375+500</f>
        <v>1886.7625</v>
      </c>
      <c r="DS9" s="55" t="n">
        <f aca="false">DP9+DR9</f>
        <v>7725.7625</v>
      </c>
      <c r="DT9" s="59" t="n">
        <f aca="false">IF(DP9&gt;0,DR9/DP9,0)</f>
        <v>0.323131101215962</v>
      </c>
      <c r="DU9" s="60" t="n">
        <f aca="false">2_Market_Gross_USD!M7</f>
        <v>3920</v>
      </c>
      <c r="DV9" s="53" t="n">
        <f aca="false">DU9*0.65</f>
        <v>2548</v>
      </c>
      <c r="DW9" s="58" t="n">
        <f aca="false">DU9*0.0225+0</f>
        <v>88.2</v>
      </c>
      <c r="DX9" s="55" t="n">
        <f aca="false">DU9+DW9</f>
        <v>4008.2</v>
      </c>
      <c r="DY9" s="59" t="n">
        <f aca="false">IF(DU9&gt;0,DW9/DU9,0)</f>
        <v>0.0225</v>
      </c>
      <c r="DZ9" s="60" t="n">
        <f aca="false">2_Market_Gross_USD!M7</f>
        <v>3920</v>
      </c>
      <c r="EA9" s="53" t="n">
        <f aca="false">DZ9*(1-0.01)</f>
        <v>3880.8</v>
      </c>
      <c r="EB9" s="58" t="n">
        <f aca="false">DZ9*0+0</f>
        <v>0</v>
      </c>
      <c r="EC9" s="55" t="n">
        <f aca="false">DZ9+EB9</f>
        <v>3920</v>
      </c>
      <c r="ED9" s="59" t="n">
        <f aca="false">IF(DZ9&gt;0,EB9/DZ9,0)</f>
        <v>0</v>
      </c>
      <c r="EE9" s="60" t="n">
        <f aca="false">2_Market_Gross_USD!M7</f>
        <v>3920</v>
      </c>
      <c r="EF9" s="53" t="n">
        <f aca="false">EE9*0.65</f>
        <v>2548</v>
      </c>
      <c r="EG9" s="58" t="n">
        <f aca="false">EE9*0.0225+500</f>
        <v>588.2</v>
      </c>
      <c r="EH9" s="55" t="n">
        <f aca="false">EE9+EG9</f>
        <v>4508.2</v>
      </c>
      <c r="EI9" s="59" t="n">
        <f aca="false">IF(EE9&gt;0,EG9/EE9,0)</f>
        <v>0.150051020408163</v>
      </c>
    </row>
    <row r="10" customFormat="false" ht="15" hidden="false" customHeight="false" outlineLevel="0" collapsed="false">
      <c r="A10" s="37" t="n">
        <v>5</v>
      </c>
      <c r="B10" s="32" t="s">
        <v>246</v>
      </c>
      <c r="C10" s="32" t="s">
        <v>251</v>
      </c>
      <c r="D10" s="38" t="s">
        <v>248</v>
      </c>
      <c r="E10" s="52" t="n">
        <f aca="false">2_Market_Gross_USD!E8</f>
        <v>1488</v>
      </c>
      <c r="F10" s="53" t="n">
        <f aca="false">E10*(1-0.065)</f>
        <v>1391.28</v>
      </c>
      <c r="G10" s="54" t="n">
        <f aca="false">E10*0+35</f>
        <v>35</v>
      </c>
      <c r="H10" s="55" t="n">
        <f aca="false">E10+G10</f>
        <v>1523</v>
      </c>
      <c r="I10" s="56" t="n">
        <f aca="false">IF(E10&gt;0,G10/E10,0)</f>
        <v>0.0235215053763441</v>
      </c>
      <c r="J10" s="52" t="n">
        <f aca="false">2_Market_Gross_USD!E8</f>
        <v>1488</v>
      </c>
      <c r="K10" s="53" t="n">
        <f aca="false">J10*(1-0.065)</f>
        <v>1391.28</v>
      </c>
      <c r="L10" s="54" t="n">
        <f aca="false">J10*0+40</f>
        <v>40</v>
      </c>
      <c r="M10" s="55" t="n">
        <f aca="false">J10+L10</f>
        <v>1528</v>
      </c>
      <c r="N10" s="56" t="n">
        <f aca="false">IF(J10&gt;0,L10/J10,0)</f>
        <v>0.0268817204301075</v>
      </c>
      <c r="O10" s="52" t="n">
        <f aca="false">2_Market_Gross_USD!E8</f>
        <v>1488</v>
      </c>
      <c r="P10" s="53" t="n">
        <f aca="false">O10*(1-0.195)</f>
        <v>1197.84</v>
      </c>
      <c r="Q10" s="54" t="n">
        <f aca="false">IF(O10&gt;=3886,3886*0.22,O10*0.22)</f>
        <v>327.36</v>
      </c>
      <c r="R10" s="55" t="n">
        <f aca="false">O10+Q10</f>
        <v>1815.36</v>
      </c>
      <c r="S10" s="56" t="n">
        <f aca="false">IF(O10&gt;0,Q10/O10,0)</f>
        <v>0.22</v>
      </c>
      <c r="T10" s="57" t="n">
        <f aca="false">2_Market_Gross_USD!F8</f>
        <v>3825</v>
      </c>
      <c r="U10" s="53" t="n">
        <f aca="false">T10*(1-0.2571)</f>
        <v>2841.5925</v>
      </c>
      <c r="V10" s="54" t="n">
        <f aca="false">T10*0.2038+0</f>
        <v>779.535</v>
      </c>
      <c r="W10" s="55" t="n">
        <f aca="false">T10+V10</f>
        <v>4604.535</v>
      </c>
      <c r="X10" s="56" t="n">
        <f aca="false">IF(T10&gt;0,V10/T10,0)</f>
        <v>0.2038</v>
      </c>
      <c r="Y10" s="57" t="n">
        <f aca="false">2_Market_Gross_USD!F8</f>
        <v>3825</v>
      </c>
      <c r="Z10" s="53" t="n">
        <f aca="false">Y10*(1-0.12)</f>
        <v>3366</v>
      </c>
      <c r="AA10" s="54" t="n">
        <f aca="false">Y10*0+0</f>
        <v>0</v>
      </c>
      <c r="AB10" s="55" t="n">
        <f aca="false">Y10+AA10</f>
        <v>3825</v>
      </c>
      <c r="AC10" s="56" t="n">
        <f aca="false">IF(Y10&gt;0,AA10/Y10,0)</f>
        <v>0</v>
      </c>
      <c r="AD10" s="57" t="n">
        <f aca="false">2_Market_Gross_USD!F8</f>
        <v>3825</v>
      </c>
      <c r="AE10" s="53" t="n">
        <f aca="false">AD10*(1-0.2571)</f>
        <v>2841.5925</v>
      </c>
      <c r="AF10" s="54" t="n">
        <f aca="false">AD10*0.2038+500</f>
        <v>1279.535</v>
      </c>
      <c r="AG10" s="55" t="n">
        <f aca="false">AD10+AF10</f>
        <v>5104.535</v>
      </c>
      <c r="AH10" s="56" t="n">
        <f aca="false">IF(AD10&gt;0,AF10/AD10,0)</f>
        <v>0.334518954248366</v>
      </c>
      <c r="AI10" s="57" t="n">
        <f aca="false">2_Market_Gross_USD!G8</f>
        <v>5820</v>
      </c>
      <c r="AJ10" s="53" t="n">
        <f aca="false">AI10*(1-0.28)</f>
        <v>4190.4</v>
      </c>
      <c r="AK10" s="54" t="n">
        <f aca="false">AI10*0.15+0</f>
        <v>873</v>
      </c>
      <c r="AL10" s="55" t="n">
        <f aca="false">AI10+AK10</f>
        <v>6693</v>
      </c>
      <c r="AM10" s="56" t="n">
        <f aca="false">IF(AI10&gt;0,AK10/AI10,0)</f>
        <v>0.15</v>
      </c>
      <c r="AN10" s="57" t="n">
        <f aca="false">2_Market_Gross_USD!G8</f>
        <v>5820</v>
      </c>
      <c r="AO10" s="53" t="n">
        <f aca="false">AN10*(1-0.19)</f>
        <v>4714.2</v>
      </c>
      <c r="AP10" s="54" t="n">
        <f aca="false">AN10*0+0</f>
        <v>0</v>
      </c>
      <c r="AQ10" s="55" t="n">
        <f aca="false">AN10+AP10</f>
        <v>5820</v>
      </c>
      <c r="AR10" s="56" t="n">
        <f aca="false">IF(AN10&gt;0,AP10/AN10,0)</f>
        <v>0</v>
      </c>
      <c r="AS10" s="57" t="n">
        <f aca="false">2_Market_Gross_USD!G8</f>
        <v>5820</v>
      </c>
      <c r="AT10" s="53" t="n">
        <f aca="false">AS10*(1-0.28)</f>
        <v>4190.4</v>
      </c>
      <c r="AU10" s="54" t="n">
        <f aca="false">AS10*0.15+500</f>
        <v>1373</v>
      </c>
      <c r="AV10" s="55" t="n">
        <f aca="false">AS10+AU10</f>
        <v>7193</v>
      </c>
      <c r="AW10" s="56" t="n">
        <f aca="false">IF(AS10&gt;0,AU10/AS10,0)</f>
        <v>0.235910652920962</v>
      </c>
      <c r="AX10" s="57" t="n">
        <f aca="false">2_Market_Gross_USD!H8</f>
        <v>11500</v>
      </c>
      <c r="AY10" s="53" t="n">
        <f aca="false">AX10*(1-0.2965)</f>
        <v>8090.25</v>
      </c>
      <c r="AZ10" s="54" t="n">
        <f aca="false">AX10*0.11+0</f>
        <v>1265</v>
      </c>
      <c r="BA10" s="55" t="n">
        <f aca="false">AX10+AZ10</f>
        <v>12765</v>
      </c>
      <c r="BB10" s="56" t="n">
        <f aca="false">IF(AX10&gt;0,AZ10/AX10,0)</f>
        <v>0.11</v>
      </c>
      <c r="BC10" s="57" t="n">
        <f aca="false">2_Market_Gross_USD!H8</f>
        <v>11500</v>
      </c>
      <c r="BD10" s="53" t="n">
        <f aca="false">BC10*(1-0.373)</f>
        <v>7210.5</v>
      </c>
      <c r="BE10" s="54" t="n">
        <f aca="false">BC10*0+0</f>
        <v>0</v>
      </c>
      <c r="BF10" s="55" t="n">
        <f aca="false">BC10+BE10</f>
        <v>11500</v>
      </c>
      <c r="BG10" s="56" t="n">
        <f aca="false">IF(BC10&gt;0,BE10/BC10,0)</f>
        <v>0</v>
      </c>
      <c r="BH10" s="57" t="n">
        <f aca="false">2_Market_Gross_USD!H8</f>
        <v>11500</v>
      </c>
      <c r="BI10" s="53" t="n">
        <f aca="false">BH10*(1-0.2965)</f>
        <v>8090.25</v>
      </c>
      <c r="BJ10" s="54" t="n">
        <f aca="false">BH10*0.11+500</f>
        <v>1765</v>
      </c>
      <c r="BK10" s="55" t="n">
        <f aca="false">BH10+BJ10</f>
        <v>13265</v>
      </c>
      <c r="BL10" s="56" t="n">
        <f aca="false">IF(BH10&gt;0,BJ10/BH10,0)</f>
        <v>0.153478260869565</v>
      </c>
      <c r="BM10" s="57" t="n">
        <f aca="false">2_Market_Gross_USD!I8</f>
        <v>5744</v>
      </c>
      <c r="BN10" s="53" t="n">
        <f aca="false">BM10*(1-0.4785)</f>
        <v>2995.496</v>
      </c>
      <c r="BO10" s="54" t="n">
        <f aca="false">BM10*0.21+0</f>
        <v>1206.24</v>
      </c>
      <c r="BP10" s="55" t="n">
        <f aca="false">BM10+BO10</f>
        <v>6950.24</v>
      </c>
      <c r="BQ10" s="56" t="n">
        <f aca="false">IF(BM10&gt;0,BO10/BM10,0)</f>
        <v>0.21</v>
      </c>
      <c r="BR10" s="57" t="n">
        <f aca="false">2_Market_Gross_USD!I8</f>
        <v>5744</v>
      </c>
      <c r="BS10" s="53" t="n">
        <f aca="false">BR10*(1-0.25)</f>
        <v>4308</v>
      </c>
      <c r="BT10" s="54" t="n">
        <f aca="false">BR10*0+0</f>
        <v>0</v>
      </c>
      <c r="BU10" s="55" t="n">
        <f aca="false">BR10+BT10</f>
        <v>5744</v>
      </c>
      <c r="BV10" s="56" t="n">
        <f aca="false">IF(BR10&gt;0,BT10/BR10,0)</f>
        <v>0</v>
      </c>
      <c r="BW10" s="57" t="n">
        <f aca="false">2_Market_Gross_USD!I8</f>
        <v>5744</v>
      </c>
      <c r="BX10" s="53" t="n">
        <f aca="false">BW10*(1-0.4785)</f>
        <v>2995.496</v>
      </c>
      <c r="BY10" s="54" t="n">
        <f aca="false">BW10*0.21+500</f>
        <v>1706.24</v>
      </c>
      <c r="BZ10" s="55" t="n">
        <f aca="false">BW10+BY10</f>
        <v>7450.24</v>
      </c>
      <c r="CA10" s="56" t="n">
        <f aca="false">IF(BW10&gt;0,BY10/BW10,0)</f>
        <v>0.297047353760446</v>
      </c>
      <c r="CB10" s="57" t="n">
        <f aca="false">2_Market_Gross_USD!J8</f>
        <v>6215</v>
      </c>
      <c r="CC10" s="53" t="n">
        <f aca="false">CB10*(1-0.3697)</f>
        <v>3917.3145</v>
      </c>
      <c r="CD10" s="54" t="n">
        <f aca="false">CB10*0.2+0</f>
        <v>1243</v>
      </c>
      <c r="CE10" s="55" t="n">
        <f aca="false">CB10+CD10</f>
        <v>7458</v>
      </c>
      <c r="CF10" s="56" t="n">
        <f aca="false">IF(CB10&gt;0,CD10/CB10,0)</f>
        <v>0.2</v>
      </c>
      <c r="CG10" s="57" t="n">
        <f aca="false">2_Market_Gross_USD!J8</f>
        <v>6215</v>
      </c>
      <c r="CH10" s="53" t="n">
        <f aca="false">CG10*(1-0.3697)</f>
        <v>3917.3145</v>
      </c>
      <c r="CI10" s="54" t="n">
        <f aca="false">CG10*0+0</f>
        <v>0</v>
      </c>
      <c r="CJ10" s="55" t="n">
        <f aca="false">CG10+CI10</f>
        <v>6215</v>
      </c>
      <c r="CK10" s="56" t="n">
        <f aca="false">IF(CG10&gt;0,CI10/CG10,0)</f>
        <v>0</v>
      </c>
      <c r="CL10" s="57" t="n">
        <f aca="false">2_Market_Gross_USD!J8</f>
        <v>6215</v>
      </c>
      <c r="CM10" s="53" t="n">
        <f aca="false">CL10*(1-0.3697)</f>
        <v>3917.3145</v>
      </c>
      <c r="CN10" s="54" t="n">
        <f aca="false">CL10*0.2+500</f>
        <v>1743</v>
      </c>
      <c r="CO10" s="55" t="n">
        <f aca="false">CL10+CN10</f>
        <v>7958</v>
      </c>
      <c r="CP10" s="56" t="n">
        <f aca="false">IF(CL10&gt;0,CN10/CL10,0)</f>
        <v>0.280450522928399</v>
      </c>
      <c r="CQ10" s="57" t="n">
        <f aca="false">2_Market_Gross_USD!K8</f>
        <v>2988</v>
      </c>
      <c r="CR10" s="53" t="n">
        <f aca="false">CQ10*(1-0.26)</f>
        <v>2211.12</v>
      </c>
      <c r="CS10" s="54" t="n">
        <f aca="false">CQ10*0.338+0</f>
        <v>1009.944</v>
      </c>
      <c r="CT10" s="55" t="n">
        <f aca="false">CQ10+CS10</f>
        <v>3997.944</v>
      </c>
      <c r="CU10" s="56" t="n">
        <f aca="false">IF(CQ10&gt;0,CS10/CQ10,0)</f>
        <v>0.338</v>
      </c>
      <c r="CV10" s="57" t="n">
        <f aca="false">2_Market_Gross_USD!K8</f>
        <v>2988</v>
      </c>
      <c r="CW10" s="53" t="n">
        <f aca="false">CV10*(1-0.15)</f>
        <v>2539.8</v>
      </c>
      <c r="CX10" s="54" t="n">
        <f aca="false">CV10*0+0</f>
        <v>0</v>
      </c>
      <c r="CY10" s="55" t="n">
        <f aca="false">CV10+CX10</f>
        <v>2988</v>
      </c>
      <c r="CZ10" s="56" t="n">
        <f aca="false">IF(CV10&gt;0,CX10/CV10,0)</f>
        <v>0</v>
      </c>
      <c r="DA10" s="57" t="n">
        <f aca="false">2_Market_Gross_USD!K8</f>
        <v>2988</v>
      </c>
      <c r="DB10" s="53" t="n">
        <f aca="false">DA10*(1-0.26)</f>
        <v>2211.12</v>
      </c>
      <c r="DC10" s="54" t="n">
        <f aca="false">DA10*0.338+500</f>
        <v>1509.944</v>
      </c>
      <c r="DD10" s="55" t="n">
        <f aca="false">DA10+DC10</f>
        <v>4497.944</v>
      </c>
      <c r="DE10" s="56" t="n">
        <f aca="false">IF(DA10&gt;0,DC10/DA10,0)</f>
        <v>0.505336010709505</v>
      </c>
      <c r="DF10" s="57" t="n">
        <f aca="false">2_Market_Gross_USD!L8</f>
        <v>3955</v>
      </c>
      <c r="DG10" s="53" t="n">
        <f aca="false">DF10*(1-0.34)</f>
        <v>2610.3</v>
      </c>
      <c r="DH10" s="54" t="n">
        <f aca="false">DF10*0.2375+0</f>
        <v>939.3125</v>
      </c>
      <c r="DI10" s="55" t="n">
        <f aca="false">DF10+DH10</f>
        <v>4894.3125</v>
      </c>
      <c r="DJ10" s="56" t="n">
        <f aca="false">IF(DF10&gt;0,DH10/DF10,0)</f>
        <v>0.2375</v>
      </c>
      <c r="DK10" s="57" t="n">
        <f aca="false">2_Market_Gross_USD!L8</f>
        <v>3955</v>
      </c>
      <c r="DL10" s="53" t="n">
        <f aca="false">DK10*(1-0.2)</f>
        <v>3164</v>
      </c>
      <c r="DM10" s="54" t="n">
        <f aca="false">DK10*0+0</f>
        <v>0</v>
      </c>
      <c r="DN10" s="55" t="n">
        <f aca="false">DK10+DM10</f>
        <v>3955</v>
      </c>
      <c r="DO10" s="56" t="n">
        <f aca="false">IF(DK10&gt;0,DM10/DK10,0)</f>
        <v>0</v>
      </c>
      <c r="DP10" s="57" t="n">
        <f aca="false">2_Market_Gross_USD!L8</f>
        <v>3955</v>
      </c>
      <c r="DQ10" s="53" t="n">
        <f aca="false">DP10*(1-0.34)</f>
        <v>2610.3</v>
      </c>
      <c r="DR10" s="54" t="n">
        <f aca="false">DP10*0.2375+500</f>
        <v>1439.3125</v>
      </c>
      <c r="DS10" s="55" t="n">
        <f aca="false">DP10+DR10</f>
        <v>5394.3125</v>
      </c>
      <c r="DT10" s="56" t="n">
        <f aca="false">IF(DP10&gt;0,DR10/DP10,0)</f>
        <v>0.363922250316056</v>
      </c>
      <c r="DU10" s="57" t="n">
        <f aca="false">2_Market_Gross_USD!M8</f>
        <v>2500</v>
      </c>
      <c r="DV10" s="53" t="n">
        <f aca="false">DU10*0.65</f>
        <v>1625</v>
      </c>
      <c r="DW10" s="54" t="n">
        <f aca="false">DU10*0.0225+0</f>
        <v>56.25</v>
      </c>
      <c r="DX10" s="55" t="n">
        <f aca="false">DU10+DW10</f>
        <v>2556.25</v>
      </c>
      <c r="DY10" s="56" t="n">
        <f aca="false">IF(DU10&gt;0,DW10/DU10,0)</f>
        <v>0.0225</v>
      </c>
      <c r="DZ10" s="57" t="n">
        <f aca="false">2_Market_Gross_USD!M8</f>
        <v>2500</v>
      </c>
      <c r="EA10" s="53" t="n">
        <f aca="false">DZ10*(1-0.01)</f>
        <v>2475</v>
      </c>
      <c r="EB10" s="54" t="n">
        <f aca="false">DZ10*0+0</f>
        <v>0</v>
      </c>
      <c r="EC10" s="55" t="n">
        <f aca="false">DZ10+EB10</f>
        <v>2500</v>
      </c>
      <c r="ED10" s="56" t="n">
        <f aca="false">IF(DZ10&gt;0,EB10/DZ10,0)</f>
        <v>0</v>
      </c>
      <c r="EE10" s="57" t="n">
        <f aca="false">2_Market_Gross_USD!M8</f>
        <v>2500</v>
      </c>
      <c r="EF10" s="53" t="n">
        <f aca="false">EE10*0.65</f>
        <v>1625</v>
      </c>
      <c r="EG10" s="54" t="n">
        <f aca="false">EE10*0.0225+500</f>
        <v>556.25</v>
      </c>
      <c r="EH10" s="55" t="n">
        <f aca="false">EE10+EG10</f>
        <v>3056.25</v>
      </c>
      <c r="EI10" s="56" t="n">
        <f aca="false">IF(EE10&gt;0,EG10/EE10,0)</f>
        <v>0.2225</v>
      </c>
    </row>
    <row r="11" customFormat="false" ht="15" hidden="false" customHeight="false" outlineLevel="0" collapsed="false">
      <c r="A11" s="41" t="n">
        <v>6</v>
      </c>
      <c r="B11" s="28" t="s">
        <v>246</v>
      </c>
      <c r="C11" s="8" t="s">
        <v>251</v>
      </c>
      <c r="D11" s="42" t="s">
        <v>249</v>
      </c>
      <c r="E11" s="52" t="n">
        <f aca="false">2_Market_Gross_USD!E9</f>
        <v>4500</v>
      </c>
      <c r="F11" s="53" t="n">
        <f aca="false">E11*(1-0.065)</f>
        <v>4207.5</v>
      </c>
      <c r="G11" s="58" t="n">
        <f aca="false">E11*0+35</f>
        <v>35</v>
      </c>
      <c r="H11" s="55" t="n">
        <f aca="false">E11+G11</f>
        <v>4535</v>
      </c>
      <c r="I11" s="59" t="n">
        <f aca="false">IF(E11&gt;0,G11/E11,0)</f>
        <v>0.00777777777777778</v>
      </c>
      <c r="J11" s="52" t="n">
        <f aca="false">2_Market_Gross_USD!E9</f>
        <v>4500</v>
      </c>
      <c r="K11" s="53" t="n">
        <f aca="false">J11*(1-0.065)</f>
        <v>4207.5</v>
      </c>
      <c r="L11" s="58" t="n">
        <f aca="false">J11*0+40</f>
        <v>40</v>
      </c>
      <c r="M11" s="55" t="n">
        <f aca="false">J11+L11</f>
        <v>4540</v>
      </c>
      <c r="N11" s="59" t="n">
        <f aca="false">IF(J11&gt;0,L11/J11,0)</f>
        <v>0.00888888888888889</v>
      </c>
      <c r="O11" s="52" t="n">
        <f aca="false">2_Market_Gross_USD!E9</f>
        <v>4500</v>
      </c>
      <c r="P11" s="53" t="n">
        <f aca="false">O11*(1-0.195)</f>
        <v>3622.5</v>
      </c>
      <c r="Q11" s="58" t="n">
        <f aca="false">IF(O11&gt;=3886,3886*0.22,O11*0.22)</f>
        <v>854.92</v>
      </c>
      <c r="R11" s="55" t="n">
        <f aca="false">O11+Q11</f>
        <v>5354.92</v>
      </c>
      <c r="S11" s="59" t="n">
        <f aca="false">IF(O11&gt;0,Q11/O11,0)</f>
        <v>0.189982222222222</v>
      </c>
      <c r="T11" s="60" t="n">
        <f aca="false">2_Market_Gross_USD!F9</f>
        <v>6375</v>
      </c>
      <c r="U11" s="53" t="n">
        <f aca="false">T11*(1-0.2571)</f>
        <v>4735.9875</v>
      </c>
      <c r="V11" s="58" t="n">
        <f aca="false">T11*0.2038+0</f>
        <v>1299.225</v>
      </c>
      <c r="W11" s="55" t="n">
        <f aca="false">T11+V11</f>
        <v>7674.225</v>
      </c>
      <c r="X11" s="59" t="n">
        <f aca="false">IF(T11&gt;0,V11/T11,0)</f>
        <v>0.2038</v>
      </c>
      <c r="Y11" s="60" t="n">
        <f aca="false">2_Market_Gross_USD!F9</f>
        <v>6375</v>
      </c>
      <c r="Z11" s="53" t="n">
        <f aca="false">Y11*(1-0.12)</f>
        <v>5610</v>
      </c>
      <c r="AA11" s="58" t="n">
        <f aca="false">Y11*0+0</f>
        <v>0</v>
      </c>
      <c r="AB11" s="55" t="n">
        <f aca="false">Y11+AA11</f>
        <v>6375</v>
      </c>
      <c r="AC11" s="59" t="n">
        <f aca="false">IF(Y11&gt;0,AA11/Y11,0)</f>
        <v>0</v>
      </c>
      <c r="AD11" s="60" t="n">
        <f aca="false">2_Market_Gross_USD!F9</f>
        <v>6375</v>
      </c>
      <c r="AE11" s="53" t="n">
        <f aca="false">AD11*(1-0.2571)</f>
        <v>4735.9875</v>
      </c>
      <c r="AF11" s="58" t="n">
        <f aca="false">AD11*0.2038+500</f>
        <v>1799.225</v>
      </c>
      <c r="AG11" s="55" t="n">
        <f aca="false">AD11+AF11</f>
        <v>8174.225</v>
      </c>
      <c r="AH11" s="59" t="n">
        <f aca="false">IF(AD11&gt;0,AF11/AD11,0)</f>
        <v>0.28223137254902</v>
      </c>
      <c r="AI11" s="60" t="n">
        <f aca="false">2_Market_Gross_USD!G9</f>
        <v>8467</v>
      </c>
      <c r="AJ11" s="53" t="n">
        <f aca="false">AI11*(1-0.28)</f>
        <v>6096.24</v>
      </c>
      <c r="AK11" s="58" t="n">
        <f aca="false">AI11*0.15+0</f>
        <v>1270.05</v>
      </c>
      <c r="AL11" s="55" t="n">
        <f aca="false">AI11+AK11</f>
        <v>9737.05</v>
      </c>
      <c r="AM11" s="59" t="n">
        <f aca="false">IF(AI11&gt;0,AK11/AI11,0)</f>
        <v>0.15</v>
      </c>
      <c r="AN11" s="60" t="n">
        <f aca="false">2_Market_Gross_USD!G9</f>
        <v>8467</v>
      </c>
      <c r="AO11" s="53" t="n">
        <f aca="false">AN11*(1-0.19)</f>
        <v>6858.27</v>
      </c>
      <c r="AP11" s="58" t="n">
        <f aca="false">AN11*0+0</f>
        <v>0</v>
      </c>
      <c r="AQ11" s="55" t="n">
        <f aca="false">AN11+AP11</f>
        <v>8467</v>
      </c>
      <c r="AR11" s="59" t="n">
        <f aca="false">IF(AN11&gt;0,AP11/AN11,0)</f>
        <v>0</v>
      </c>
      <c r="AS11" s="60" t="n">
        <f aca="false">2_Market_Gross_USD!G9</f>
        <v>8467</v>
      </c>
      <c r="AT11" s="53" t="n">
        <f aca="false">AS11*(1-0.28)</f>
        <v>6096.24</v>
      </c>
      <c r="AU11" s="58" t="n">
        <f aca="false">AS11*0.15+500</f>
        <v>1770.05</v>
      </c>
      <c r="AV11" s="55" t="n">
        <f aca="false">AS11+AU11</f>
        <v>10237.05</v>
      </c>
      <c r="AW11" s="59" t="n">
        <f aca="false">IF(AS11&gt;0,AU11/AS11,0)</f>
        <v>0.209052793197118</v>
      </c>
      <c r="AX11" s="60" t="n">
        <f aca="false">2_Market_Gross_USD!H9</f>
        <v>14450</v>
      </c>
      <c r="AY11" s="53" t="n">
        <f aca="false">AX11*(1-0.2965)</f>
        <v>10165.575</v>
      </c>
      <c r="AZ11" s="58" t="n">
        <f aca="false">AX11*0.11+0</f>
        <v>1589.5</v>
      </c>
      <c r="BA11" s="55" t="n">
        <f aca="false">AX11+AZ11</f>
        <v>16039.5</v>
      </c>
      <c r="BB11" s="59" t="n">
        <f aca="false">IF(AX11&gt;0,AZ11/AX11,0)</f>
        <v>0.11</v>
      </c>
      <c r="BC11" s="60" t="n">
        <f aca="false">2_Market_Gross_USD!H9</f>
        <v>14450</v>
      </c>
      <c r="BD11" s="53" t="n">
        <f aca="false">BC11*(1-0.373)</f>
        <v>9060.15</v>
      </c>
      <c r="BE11" s="58" t="n">
        <f aca="false">BC11*0+0</f>
        <v>0</v>
      </c>
      <c r="BF11" s="55" t="n">
        <f aca="false">BC11+BE11</f>
        <v>14450</v>
      </c>
      <c r="BG11" s="59" t="n">
        <f aca="false">IF(BC11&gt;0,BE11/BC11,0)</f>
        <v>0</v>
      </c>
      <c r="BH11" s="60" t="n">
        <f aca="false">2_Market_Gross_USD!H9</f>
        <v>14450</v>
      </c>
      <c r="BI11" s="53" t="n">
        <f aca="false">BH11*(1-0.2965)</f>
        <v>10165.575</v>
      </c>
      <c r="BJ11" s="58" t="n">
        <f aca="false">BH11*0.11+500</f>
        <v>2089.5</v>
      </c>
      <c r="BK11" s="55" t="n">
        <f aca="false">BH11+BJ11</f>
        <v>16539.5</v>
      </c>
      <c r="BL11" s="59" t="n">
        <f aca="false">IF(BH11&gt;0,BJ11/BH11,0)</f>
        <v>0.144602076124567</v>
      </c>
      <c r="BM11" s="60" t="n">
        <f aca="false">2_Market_Gross_USD!I9</f>
        <v>8286</v>
      </c>
      <c r="BN11" s="53" t="n">
        <f aca="false">BM11*(1-0.4785)</f>
        <v>4321.149</v>
      </c>
      <c r="BO11" s="58" t="n">
        <f aca="false">BM11*0.21+0</f>
        <v>1740.06</v>
      </c>
      <c r="BP11" s="55" t="n">
        <f aca="false">BM11+BO11</f>
        <v>10026.06</v>
      </c>
      <c r="BQ11" s="59" t="n">
        <f aca="false">IF(BM11&gt;0,BO11/BM11,0)</f>
        <v>0.21</v>
      </c>
      <c r="BR11" s="60" t="n">
        <f aca="false">2_Market_Gross_USD!I9</f>
        <v>8286</v>
      </c>
      <c r="BS11" s="53" t="n">
        <f aca="false">BR11*(1-0.25)</f>
        <v>6214.5</v>
      </c>
      <c r="BT11" s="58" t="n">
        <f aca="false">BR11*0+0</f>
        <v>0</v>
      </c>
      <c r="BU11" s="55" t="n">
        <f aca="false">BR11+BT11</f>
        <v>8286</v>
      </c>
      <c r="BV11" s="59" t="n">
        <f aca="false">IF(BR11&gt;0,BT11/BR11,0)</f>
        <v>0</v>
      </c>
      <c r="BW11" s="60" t="n">
        <f aca="false">2_Market_Gross_USD!I9</f>
        <v>8286</v>
      </c>
      <c r="BX11" s="53" t="n">
        <f aca="false">BW11*(1-0.4785)</f>
        <v>4321.149</v>
      </c>
      <c r="BY11" s="58" t="n">
        <f aca="false">BW11*0.21+500</f>
        <v>2240.06</v>
      </c>
      <c r="BZ11" s="55" t="n">
        <f aca="false">BW11+BY11</f>
        <v>10526.06</v>
      </c>
      <c r="CA11" s="59" t="n">
        <f aca="false">IF(BW11&gt;0,BY11/BW11,0)</f>
        <v>0.270342746801834</v>
      </c>
      <c r="CB11" s="60" t="n">
        <f aca="false">2_Market_Gross_USD!J9</f>
        <v>9229</v>
      </c>
      <c r="CC11" s="53" t="n">
        <f aca="false">CB11*(1-0.3697)</f>
        <v>5817.0387</v>
      </c>
      <c r="CD11" s="58" t="n">
        <f aca="false">CB11*0.2+0</f>
        <v>1845.8</v>
      </c>
      <c r="CE11" s="55" t="n">
        <f aca="false">CB11+CD11</f>
        <v>11074.8</v>
      </c>
      <c r="CF11" s="59" t="n">
        <f aca="false">IF(CB11&gt;0,CD11/CB11,0)</f>
        <v>0.2</v>
      </c>
      <c r="CG11" s="60" t="n">
        <f aca="false">2_Market_Gross_USD!J9</f>
        <v>9229</v>
      </c>
      <c r="CH11" s="53" t="n">
        <f aca="false">CG11*(1-0.3697)</f>
        <v>5817.0387</v>
      </c>
      <c r="CI11" s="58" t="n">
        <f aca="false">CG11*0+0</f>
        <v>0</v>
      </c>
      <c r="CJ11" s="55" t="n">
        <f aca="false">CG11+CI11</f>
        <v>9229</v>
      </c>
      <c r="CK11" s="59" t="n">
        <f aca="false">IF(CG11&gt;0,CI11/CG11,0)</f>
        <v>0</v>
      </c>
      <c r="CL11" s="60" t="n">
        <f aca="false">2_Market_Gross_USD!J9</f>
        <v>9229</v>
      </c>
      <c r="CM11" s="53" t="n">
        <f aca="false">CL11*(1-0.3697)</f>
        <v>5817.0387</v>
      </c>
      <c r="CN11" s="58" t="n">
        <f aca="false">CL11*0.2+500</f>
        <v>2345.8</v>
      </c>
      <c r="CO11" s="55" t="n">
        <f aca="false">CL11+CN11</f>
        <v>11574.8</v>
      </c>
      <c r="CP11" s="59" t="n">
        <f aca="false">IF(CL11&gt;0,CN11/CL11,0)</f>
        <v>0.254177050601365</v>
      </c>
      <c r="CQ11" s="60" t="n">
        <f aca="false">2_Market_Gross_USD!K9</f>
        <v>4731</v>
      </c>
      <c r="CR11" s="53" t="n">
        <f aca="false">CQ11*(1-0.26)</f>
        <v>3500.94</v>
      </c>
      <c r="CS11" s="58" t="n">
        <f aca="false">CQ11*0.338+0</f>
        <v>1599.078</v>
      </c>
      <c r="CT11" s="55" t="n">
        <f aca="false">CQ11+CS11</f>
        <v>6330.078</v>
      </c>
      <c r="CU11" s="59" t="n">
        <f aca="false">IF(CQ11&gt;0,CS11/CQ11,0)</f>
        <v>0.338</v>
      </c>
      <c r="CV11" s="60" t="n">
        <f aca="false">2_Market_Gross_USD!K9</f>
        <v>4731</v>
      </c>
      <c r="CW11" s="53" t="n">
        <f aca="false">CV11*(1-0.15)</f>
        <v>4021.35</v>
      </c>
      <c r="CX11" s="58" t="n">
        <f aca="false">CV11*0+0</f>
        <v>0</v>
      </c>
      <c r="CY11" s="55" t="n">
        <f aca="false">CV11+CX11</f>
        <v>4731</v>
      </c>
      <c r="CZ11" s="59" t="n">
        <f aca="false">IF(CV11&gt;0,CX11/CV11,0)</f>
        <v>0</v>
      </c>
      <c r="DA11" s="60" t="n">
        <f aca="false">2_Market_Gross_USD!K9</f>
        <v>4731</v>
      </c>
      <c r="DB11" s="53" t="n">
        <f aca="false">DA11*(1-0.26)</f>
        <v>3500.94</v>
      </c>
      <c r="DC11" s="58" t="n">
        <f aca="false">DA11*0.338+500</f>
        <v>2099.078</v>
      </c>
      <c r="DD11" s="55" t="n">
        <f aca="false">DA11+DC11</f>
        <v>6830.078</v>
      </c>
      <c r="DE11" s="59" t="n">
        <f aca="false">IF(DA11&gt;0,DC11/DA11,0)</f>
        <v>0.44368590150074</v>
      </c>
      <c r="DF11" s="60" t="n">
        <f aca="false">2_Market_Gross_USD!L9</f>
        <v>6215</v>
      </c>
      <c r="DG11" s="53" t="n">
        <f aca="false">DF11*(1-0.34)</f>
        <v>4101.9</v>
      </c>
      <c r="DH11" s="58" t="n">
        <f aca="false">DF11*0.2375+0</f>
        <v>1476.0625</v>
      </c>
      <c r="DI11" s="55" t="n">
        <f aca="false">DF11+DH11</f>
        <v>7691.0625</v>
      </c>
      <c r="DJ11" s="59" t="n">
        <f aca="false">IF(DF11&gt;0,DH11/DF11,0)</f>
        <v>0.2375</v>
      </c>
      <c r="DK11" s="60" t="n">
        <f aca="false">2_Market_Gross_USD!L9</f>
        <v>6215</v>
      </c>
      <c r="DL11" s="53" t="n">
        <f aca="false">DK11*(1-0.2)</f>
        <v>4972</v>
      </c>
      <c r="DM11" s="58" t="n">
        <f aca="false">DK11*0+0</f>
        <v>0</v>
      </c>
      <c r="DN11" s="55" t="n">
        <f aca="false">DK11+DM11</f>
        <v>6215</v>
      </c>
      <c r="DO11" s="59" t="n">
        <f aca="false">IF(DK11&gt;0,DM11/DK11,0)</f>
        <v>0</v>
      </c>
      <c r="DP11" s="60" t="n">
        <f aca="false">2_Market_Gross_USD!L9</f>
        <v>6215</v>
      </c>
      <c r="DQ11" s="53" t="n">
        <f aca="false">DP11*(1-0.34)</f>
        <v>4101.9</v>
      </c>
      <c r="DR11" s="58" t="n">
        <f aca="false">DP11*0.2375+500</f>
        <v>1976.0625</v>
      </c>
      <c r="DS11" s="55" t="n">
        <f aca="false">DP11+DR11</f>
        <v>8191.0625</v>
      </c>
      <c r="DT11" s="59" t="n">
        <f aca="false">IF(DP11&gt;0,DR11/DP11,0)</f>
        <v>0.317950522928399</v>
      </c>
      <c r="DU11" s="60" t="n">
        <f aca="false">2_Market_Gross_USD!M9</f>
        <v>4200</v>
      </c>
      <c r="DV11" s="53" t="n">
        <f aca="false">DU11*0.65</f>
        <v>2730</v>
      </c>
      <c r="DW11" s="58" t="n">
        <f aca="false">DU11*0.0225+0</f>
        <v>94.5</v>
      </c>
      <c r="DX11" s="55" t="n">
        <f aca="false">DU11+DW11</f>
        <v>4294.5</v>
      </c>
      <c r="DY11" s="59" t="n">
        <f aca="false">IF(DU11&gt;0,DW11/DU11,0)</f>
        <v>0.0225</v>
      </c>
      <c r="DZ11" s="60" t="n">
        <f aca="false">2_Market_Gross_USD!M9</f>
        <v>4200</v>
      </c>
      <c r="EA11" s="53" t="n">
        <f aca="false">DZ11*(1-0.01)</f>
        <v>4158</v>
      </c>
      <c r="EB11" s="58" t="n">
        <f aca="false">DZ11*0+0</f>
        <v>0</v>
      </c>
      <c r="EC11" s="55" t="n">
        <f aca="false">DZ11+EB11</f>
        <v>4200</v>
      </c>
      <c r="ED11" s="59" t="n">
        <f aca="false">IF(DZ11&gt;0,EB11/DZ11,0)</f>
        <v>0</v>
      </c>
      <c r="EE11" s="60" t="n">
        <f aca="false">2_Market_Gross_USD!M9</f>
        <v>4200</v>
      </c>
      <c r="EF11" s="53" t="n">
        <f aca="false">EE11*0.65</f>
        <v>2730</v>
      </c>
      <c r="EG11" s="58" t="n">
        <f aca="false">EE11*0.0225+500</f>
        <v>594.5</v>
      </c>
      <c r="EH11" s="55" t="n">
        <f aca="false">EE11+EG11</f>
        <v>4794.5</v>
      </c>
      <c r="EI11" s="59" t="n">
        <f aca="false">IF(EE11&gt;0,EG11/EE11,0)</f>
        <v>0.141547619047619</v>
      </c>
    </row>
    <row r="12" customFormat="false" ht="15" hidden="false" customHeight="false" outlineLevel="0" collapsed="false">
      <c r="A12" s="37" t="n">
        <v>7</v>
      </c>
      <c r="B12" s="32" t="s">
        <v>246</v>
      </c>
      <c r="C12" s="32" t="s">
        <v>252</v>
      </c>
      <c r="D12" s="38" t="s">
        <v>248</v>
      </c>
      <c r="E12" s="52" t="n">
        <f aca="false">2_Market_Gross_USD!E10</f>
        <v>1500</v>
      </c>
      <c r="F12" s="53" t="n">
        <f aca="false">E12*(1-0.065)</f>
        <v>1402.5</v>
      </c>
      <c r="G12" s="54" t="n">
        <f aca="false">E12*0+35</f>
        <v>35</v>
      </c>
      <c r="H12" s="55" t="n">
        <f aca="false">E12+G12</f>
        <v>1535</v>
      </c>
      <c r="I12" s="56" t="n">
        <f aca="false">IF(E12&gt;0,G12/E12,0)</f>
        <v>0.0233333333333333</v>
      </c>
      <c r="J12" s="52" t="n">
        <f aca="false">2_Market_Gross_USD!E10</f>
        <v>1500</v>
      </c>
      <c r="K12" s="53" t="n">
        <f aca="false">J12*(1-0.065)</f>
        <v>1402.5</v>
      </c>
      <c r="L12" s="54" t="n">
        <f aca="false">J12*0+40</f>
        <v>40</v>
      </c>
      <c r="M12" s="55" t="n">
        <f aca="false">J12+L12</f>
        <v>1540</v>
      </c>
      <c r="N12" s="56" t="n">
        <f aca="false">IF(J12&gt;0,L12/J12,0)</f>
        <v>0.0266666666666667</v>
      </c>
      <c r="O12" s="52" t="n">
        <f aca="false">2_Market_Gross_USD!E10</f>
        <v>1500</v>
      </c>
      <c r="P12" s="53" t="n">
        <f aca="false">O12*(1-0.195)</f>
        <v>1207.5</v>
      </c>
      <c r="Q12" s="54" t="n">
        <f aca="false">IF(O12&gt;=3886,3886*0.22,O12*0.22)</f>
        <v>330</v>
      </c>
      <c r="R12" s="55" t="n">
        <f aca="false">O12+Q12</f>
        <v>1830</v>
      </c>
      <c r="S12" s="56" t="n">
        <f aca="false">IF(O12&gt;0,Q12/O12,0)</f>
        <v>0.22</v>
      </c>
      <c r="T12" s="57" t="n">
        <f aca="false">2_Market_Gross_USD!F10</f>
        <v>3825</v>
      </c>
      <c r="U12" s="53" t="n">
        <f aca="false">T12*(1-0.2571)</f>
        <v>2841.5925</v>
      </c>
      <c r="V12" s="54" t="n">
        <f aca="false">T12*0.2038+0</f>
        <v>779.535</v>
      </c>
      <c r="W12" s="55" t="n">
        <f aca="false">T12+V12</f>
        <v>4604.535</v>
      </c>
      <c r="X12" s="56" t="n">
        <f aca="false">IF(T12&gt;0,V12/T12,0)</f>
        <v>0.2038</v>
      </c>
      <c r="Y12" s="57" t="n">
        <f aca="false">2_Market_Gross_USD!F10</f>
        <v>3825</v>
      </c>
      <c r="Z12" s="53" t="n">
        <f aca="false">Y12*(1-0.12)</f>
        <v>3366</v>
      </c>
      <c r="AA12" s="54" t="n">
        <f aca="false">Y12*0+0</f>
        <v>0</v>
      </c>
      <c r="AB12" s="55" t="n">
        <f aca="false">Y12+AA12</f>
        <v>3825</v>
      </c>
      <c r="AC12" s="56" t="n">
        <f aca="false">IF(Y12&gt;0,AA12/Y12,0)</f>
        <v>0</v>
      </c>
      <c r="AD12" s="57" t="n">
        <f aca="false">2_Market_Gross_USD!F10</f>
        <v>3825</v>
      </c>
      <c r="AE12" s="53" t="n">
        <f aca="false">AD12*(1-0.2571)</f>
        <v>2841.5925</v>
      </c>
      <c r="AF12" s="54" t="n">
        <f aca="false">AD12*0.2038+500</f>
        <v>1279.535</v>
      </c>
      <c r="AG12" s="55" t="n">
        <f aca="false">AD12+AF12</f>
        <v>5104.535</v>
      </c>
      <c r="AH12" s="56" t="n">
        <f aca="false">IF(AD12&gt;0,AF12/AD12,0)</f>
        <v>0.334518954248366</v>
      </c>
      <c r="AI12" s="57" t="n">
        <f aca="false">2_Market_Gross_USD!G10</f>
        <v>5292</v>
      </c>
      <c r="AJ12" s="53" t="n">
        <f aca="false">AI12*(1-0.28)</f>
        <v>3810.24</v>
      </c>
      <c r="AK12" s="54" t="n">
        <f aca="false">AI12*0.15+0</f>
        <v>793.8</v>
      </c>
      <c r="AL12" s="55" t="n">
        <f aca="false">AI12+AK12</f>
        <v>6085.8</v>
      </c>
      <c r="AM12" s="56" t="n">
        <f aca="false">IF(AI12&gt;0,AK12/AI12,0)</f>
        <v>0.15</v>
      </c>
      <c r="AN12" s="57" t="n">
        <f aca="false">2_Market_Gross_USD!G10</f>
        <v>5292</v>
      </c>
      <c r="AO12" s="53" t="n">
        <f aca="false">AN12*(1-0.19)</f>
        <v>4286.52</v>
      </c>
      <c r="AP12" s="54" t="n">
        <f aca="false">AN12*0+0</f>
        <v>0</v>
      </c>
      <c r="AQ12" s="55" t="n">
        <f aca="false">AN12+AP12</f>
        <v>5292</v>
      </c>
      <c r="AR12" s="56" t="n">
        <f aca="false">IF(AN12&gt;0,AP12/AN12,0)</f>
        <v>0</v>
      </c>
      <c r="AS12" s="57" t="n">
        <f aca="false">2_Market_Gross_USD!G10</f>
        <v>5292</v>
      </c>
      <c r="AT12" s="53" t="n">
        <f aca="false">AS12*(1-0.28)</f>
        <v>3810.24</v>
      </c>
      <c r="AU12" s="54" t="n">
        <f aca="false">AS12*0.15+500</f>
        <v>1293.8</v>
      </c>
      <c r="AV12" s="55" t="n">
        <f aca="false">AS12+AU12</f>
        <v>6585.8</v>
      </c>
      <c r="AW12" s="56" t="n">
        <f aca="false">IF(AS12&gt;0,AU12/AS12,0)</f>
        <v>0.24448223733938</v>
      </c>
      <c r="AX12" s="57" t="n">
        <f aca="false">2_Market_Gross_USD!H10</f>
        <v>11000</v>
      </c>
      <c r="AY12" s="53" t="n">
        <f aca="false">AX12*(1-0.2965)</f>
        <v>7738.5</v>
      </c>
      <c r="AZ12" s="54" t="n">
        <f aca="false">AX12*0.11+0</f>
        <v>1210</v>
      </c>
      <c r="BA12" s="55" t="n">
        <f aca="false">AX12+AZ12</f>
        <v>12210</v>
      </c>
      <c r="BB12" s="56" t="n">
        <f aca="false">IF(AX12&gt;0,AZ12/AX12,0)</f>
        <v>0.11</v>
      </c>
      <c r="BC12" s="57" t="n">
        <f aca="false">2_Market_Gross_USD!H10</f>
        <v>11000</v>
      </c>
      <c r="BD12" s="53" t="n">
        <f aca="false">BC12*(1-0.373)</f>
        <v>6897</v>
      </c>
      <c r="BE12" s="54" t="n">
        <f aca="false">BC12*0+0</f>
        <v>0</v>
      </c>
      <c r="BF12" s="55" t="n">
        <f aca="false">BC12+BE12</f>
        <v>11000</v>
      </c>
      <c r="BG12" s="56" t="n">
        <f aca="false">IF(BC12&gt;0,BE12/BC12,0)</f>
        <v>0</v>
      </c>
      <c r="BH12" s="57" t="n">
        <f aca="false">2_Market_Gross_USD!H10</f>
        <v>11000</v>
      </c>
      <c r="BI12" s="53" t="n">
        <f aca="false">BH12*(1-0.2965)</f>
        <v>7738.5</v>
      </c>
      <c r="BJ12" s="54" t="n">
        <f aca="false">BH12*0.11+500</f>
        <v>1710</v>
      </c>
      <c r="BK12" s="55" t="n">
        <f aca="false">BH12+BJ12</f>
        <v>12710</v>
      </c>
      <c r="BL12" s="56" t="n">
        <f aca="false">IF(BH12&gt;0,BJ12/BH12,0)</f>
        <v>0.155454545454545</v>
      </c>
      <c r="BM12" s="57" t="n">
        <f aca="false">2_Market_Gross_USD!I10</f>
        <v>5726</v>
      </c>
      <c r="BN12" s="53" t="n">
        <f aca="false">BM12*(1-0.4785)</f>
        <v>2986.109</v>
      </c>
      <c r="BO12" s="54" t="n">
        <f aca="false">BM12*0.21+0</f>
        <v>1202.46</v>
      </c>
      <c r="BP12" s="55" t="n">
        <f aca="false">BM12+BO12</f>
        <v>6928.46</v>
      </c>
      <c r="BQ12" s="56" t="n">
        <f aca="false">IF(BM12&gt;0,BO12/BM12,0)</f>
        <v>0.21</v>
      </c>
      <c r="BR12" s="57" t="n">
        <f aca="false">2_Market_Gross_USD!I10</f>
        <v>5726</v>
      </c>
      <c r="BS12" s="53" t="n">
        <f aca="false">BR12*(1-0.25)</f>
        <v>4294.5</v>
      </c>
      <c r="BT12" s="54" t="n">
        <f aca="false">BR12*0+0</f>
        <v>0</v>
      </c>
      <c r="BU12" s="55" t="n">
        <f aca="false">BR12+BT12</f>
        <v>5726</v>
      </c>
      <c r="BV12" s="56" t="n">
        <f aca="false">IF(BR12&gt;0,BT12/BR12,0)</f>
        <v>0</v>
      </c>
      <c r="BW12" s="57" t="n">
        <f aca="false">2_Market_Gross_USD!I10</f>
        <v>5726</v>
      </c>
      <c r="BX12" s="53" t="n">
        <f aca="false">BW12*(1-0.4785)</f>
        <v>2986.109</v>
      </c>
      <c r="BY12" s="54" t="n">
        <f aca="false">BW12*0.21+500</f>
        <v>1702.46</v>
      </c>
      <c r="BZ12" s="55" t="n">
        <f aca="false">BW12+BY12</f>
        <v>7428.46</v>
      </c>
      <c r="CA12" s="56" t="n">
        <f aca="false">IF(BW12&gt;0,BY12/BW12,0)</f>
        <v>0.297320991966469</v>
      </c>
      <c r="CB12" s="57" t="n">
        <f aca="false">2_Market_Gross_USD!J10</f>
        <v>6404</v>
      </c>
      <c r="CC12" s="53" t="n">
        <f aca="false">CB12*(1-0.3697)</f>
        <v>4036.4412</v>
      </c>
      <c r="CD12" s="54" t="n">
        <f aca="false">CB12*0.2+0</f>
        <v>1280.8</v>
      </c>
      <c r="CE12" s="55" t="n">
        <f aca="false">CB12+CD12</f>
        <v>7684.8</v>
      </c>
      <c r="CF12" s="56" t="n">
        <f aca="false">IF(CB12&gt;0,CD12/CB12,0)</f>
        <v>0.2</v>
      </c>
      <c r="CG12" s="57" t="n">
        <f aca="false">2_Market_Gross_USD!J10</f>
        <v>6404</v>
      </c>
      <c r="CH12" s="53" t="n">
        <f aca="false">CG12*(1-0.3697)</f>
        <v>4036.4412</v>
      </c>
      <c r="CI12" s="54" t="n">
        <f aca="false">CG12*0+0</f>
        <v>0</v>
      </c>
      <c r="CJ12" s="55" t="n">
        <f aca="false">CG12+CI12</f>
        <v>6404</v>
      </c>
      <c r="CK12" s="56" t="n">
        <f aca="false">IF(CG12&gt;0,CI12/CG12,0)</f>
        <v>0</v>
      </c>
      <c r="CL12" s="57" t="n">
        <f aca="false">2_Market_Gross_USD!J10</f>
        <v>6404</v>
      </c>
      <c r="CM12" s="53" t="n">
        <f aca="false">CL12*(1-0.3697)</f>
        <v>4036.4412</v>
      </c>
      <c r="CN12" s="54" t="n">
        <f aca="false">CL12*0.2+500</f>
        <v>1780.8</v>
      </c>
      <c r="CO12" s="55" t="n">
        <f aca="false">CL12+CN12</f>
        <v>8184.8</v>
      </c>
      <c r="CP12" s="56" t="n">
        <f aca="false">IF(CL12&gt;0,CN12/CL12,0)</f>
        <v>0.278076202373517</v>
      </c>
      <c r="CQ12" s="57" t="n">
        <f aca="false">2_Market_Gross_USD!K10</f>
        <v>3095</v>
      </c>
      <c r="CR12" s="53" t="n">
        <f aca="false">CQ12*(1-0.26)</f>
        <v>2290.3</v>
      </c>
      <c r="CS12" s="54" t="n">
        <f aca="false">CQ12*0.338+0</f>
        <v>1046.11</v>
      </c>
      <c r="CT12" s="55" t="n">
        <f aca="false">CQ12+CS12</f>
        <v>4141.11</v>
      </c>
      <c r="CU12" s="56" t="n">
        <f aca="false">IF(CQ12&gt;0,CS12/CQ12,0)</f>
        <v>0.338</v>
      </c>
      <c r="CV12" s="57" t="n">
        <f aca="false">2_Market_Gross_USD!K10</f>
        <v>3095</v>
      </c>
      <c r="CW12" s="53" t="n">
        <f aca="false">CV12*(1-0.15)</f>
        <v>2630.75</v>
      </c>
      <c r="CX12" s="54" t="n">
        <f aca="false">CV12*0+0</f>
        <v>0</v>
      </c>
      <c r="CY12" s="55" t="n">
        <f aca="false">CV12+CX12</f>
        <v>3095</v>
      </c>
      <c r="CZ12" s="56" t="n">
        <f aca="false">IF(CV12&gt;0,CX12/CV12,0)</f>
        <v>0</v>
      </c>
      <c r="DA12" s="57" t="n">
        <f aca="false">2_Market_Gross_USD!K10</f>
        <v>3095</v>
      </c>
      <c r="DB12" s="53" t="n">
        <f aca="false">DA12*(1-0.26)</f>
        <v>2290.3</v>
      </c>
      <c r="DC12" s="54" t="n">
        <f aca="false">DA12*0.338+500</f>
        <v>1546.11</v>
      </c>
      <c r="DD12" s="55" t="n">
        <f aca="false">DA12+DC12</f>
        <v>4641.11</v>
      </c>
      <c r="DE12" s="56" t="n">
        <f aca="false">IF(DA12&gt;0,DC12/DA12,0)</f>
        <v>0.499550888529887</v>
      </c>
      <c r="DF12" s="57" t="n">
        <f aca="false">2_Market_Gross_USD!L10</f>
        <v>3955</v>
      </c>
      <c r="DG12" s="53" t="n">
        <f aca="false">DF12*(1-0.34)</f>
        <v>2610.3</v>
      </c>
      <c r="DH12" s="54" t="n">
        <f aca="false">DF12*0.2375+0</f>
        <v>939.3125</v>
      </c>
      <c r="DI12" s="55" t="n">
        <f aca="false">DF12+DH12</f>
        <v>4894.3125</v>
      </c>
      <c r="DJ12" s="56" t="n">
        <f aca="false">IF(DF12&gt;0,DH12/DF12,0)</f>
        <v>0.2375</v>
      </c>
      <c r="DK12" s="57" t="n">
        <f aca="false">2_Market_Gross_USD!L10</f>
        <v>3955</v>
      </c>
      <c r="DL12" s="53" t="n">
        <f aca="false">DK12*(1-0.2)</f>
        <v>3164</v>
      </c>
      <c r="DM12" s="54" t="n">
        <f aca="false">DK12*0+0</f>
        <v>0</v>
      </c>
      <c r="DN12" s="55" t="n">
        <f aca="false">DK12+DM12</f>
        <v>3955</v>
      </c>
      <c r="DO12" s="56" t="n">
        <f aca="false">IF(DK12&gt;0,DM12/DK12,0)</f>
        <v>0</v>
      </c>
      <c r="DP12" s="57" t="n">
        <f aca="false">2_Market_Gross_USD!L10</f>
        <v>3955</v>
      </c>
      <c r="DQ12" s="53" t="n">
        <f aca="false">DP12*(1-0.34)</f>
        <v>2610.3</v>
      </c>
      <c r="DR12" s="54" t="n">
        <f aca="false">DP12*0.2375+500</f>
        <v>1439.3125</v>
      </c>
      <c r="DS12" s="55" t="n">
        <f aca="false">DP12+DR12</f>
        <v>5394.3125</v>
      </c>
      <c r="DT12" s="56" t="n">
        <f aca="false">IF(DP12&gt;0,DR12/DP12,0)</f>
        <v>0.363922250316056</v>
      </c>
      <c r="DU12" s="57" t="n">
        <f aca="false">2_Market_Gross_USD!M10</f>
        <v>2500</v>
      </c>
      <c r="DV12" s="53" t="n">
        <f aca="false">DU12*0.65</f>
        <v>1625</v>
      </c>
      <c r="DW12" s="54" t="n">
        <f aca="false">DU12*0.0225+0</f>
        <v>56.25</v>
      </c>
      <c r="DX12" s="55" t="n">
        <f aca="false">DU12+DW12</f>
        <v>2556.25</v>
      </c>
      <c r="DY12" s="56" t="n">
        <f aca="false">IF(DU12&gt;0,DW12/DU12,0)</f>
        <v>0.0225</v>
      </c>
      <c r="DZ12" s="57" t="n">
        <f aca="false">2_Market_Gross_USD!M10</f>
        <v>2500</v>
      </c>
      <c r="EA12" s="53" t="n">
        <f aca="false">DZ12*(1-0.01)</f>
        <v>2475</v>
      </c>
      <c r="EB12" s="54" t="n">
        <f aca="false">DZ12*0+0</f>
        <v>0</v>
      </c>
      <c r="EC12" s="55" t="n">
        <f aca="false">DZ12+EB12</f>
        <v>2500</v>
      </c>
      <c r="ED12" s="56" t="n">
        <f aca="false">IF(DZ12&gt;0,EB12/DZ12,0)</f>
        <v>0</v>
      </c>
      <c r="EE12" s="57" t="n">
        <f aca="false">2_Market_Gross_USD!M10</f>
        <v>2500</v>
      </c>
      <c r="EF12" s="53" t="n">
        <f aca="false">EE12*0.65</f>
        <v>1625</v>
      </c>
      <c r="EG12" s="54" t="n">
        <f aca="false">EE12*0.0225+500</f>
        <v>556.25</v>
      </c>
      <c r="EH12" s="55" t="n">
        <f aca="false">EE12+EG12</f>
        <v>3056.25</v>
      </c>
      <c r="EI12" s="56" t="n">
        <f aca="false">IF(EE12&gt;0,EG12/EE12,0)</f>
        <v>0.2225</v>
      </c>
    </row>
    <row r="13" customFormat="false" ht="15" hidden="false" customHeight="false" outlineLevel="0" collapsed="false">
      <c r="A13" s="41" t="n">
        <v>8</v>
      </c>
      <c r="B13" s="28" t="s">
        <v>246</v>
      </c>
      <c r="C13" s="8" t="s">
        <v>252</v>
      </c>
      <c r="D13" s="42" t="s">
        <v>249</v>
      </c>
      <c r="E13" s="52" t="n">
        <f aca="false">2_Market_Gross_USD!E11</f>
        <v>4750</v>
      </c>
      <c r="F13" s="53" t="n">
        <f aca="false">E13*(1-0.065)</f>
        <v>4441.25</v>
      </c>
      <c r="G13" s="58" t="n">
        <f aca="false">E13*0+35</f>
        <v>35</v>
      </c>
      <c r="H13" s="55" t="n">
        <f aca="false">E13+G13</f>
        <v>4785</v>
      </c>
      <c r="I13" s="59" t="n">
        <f aca="false">IF(E13&gt;0,G13/E13,0)</f>
        <v>0.00736842105263158</v>
      </c>
      <c r="J13" s="52" t="n">
        <f aca="false">2_Market_Gross_USD!E11</f>
        <v>4750</v>
      </c>
      <c r="K13" s="53" t="n">
        <f aca="false">J13*(1-0.065)</f>
        <v>4441.25</v>
      </c>
      <c r="L13" s="58" t="n">
        <f aca="false">J13*0+40</f>
        <v>40</v>
      </c>
      <c r="M13" s="55" t="n">
        <f aca="false">J13+L13</f>
        <v>4790</v>
      </c>
      <c r="N13" s="59" t="n">
        <f aca="false">IF(J13&gt;0,L13/J13,0)</f>
        <v>0.00842105263157895</v>
      </c>
      <c r="O13" s="52" t="n">
        <f aca="false">2_Market_Gross_USD!E11</f>
        <v>4750</v>
      </c>
      <c r="P13" s="53" t="n">
        <f aca="false">O13*(1-0.195)</f>
        <v>3823.75</v>
      </c>
      <c r="Q13" s="58" t="n">
        <f aca="false">IF(O13&gt;=3886,3886*0.22,O13*0.22)</f>
        <v>854.92</v>
      </c>
      <c r="R13" s="55" t="n">
        <f aca="false">O13+Q13</f>
        <v>5604.92</v>
      </c>
      <c r="S13" s="59" t="n">
        <f aca="false">IF(O13&gt;0,Q13/O13,0)</f>
        <v>0.179983157894737</v>
      </c>
      <c r="T13" s="60" t="n">
        <f aca="false">2_Market_Gross_USD!F11</f>
        <v>6375</v>
      </c>
      <c r="U13" s="53" t="n">
        <f aca="false">T13*(1-0.2571)</f>
        <v>4735.9875</v>
      </c>
      <c r="V13" s="58" t="n">
        <f aca="false">T13*0.2038+0</f>
        <v>1299.225</v>
      </c>
      <c r="W13" s="55" t="n">
        <f aca="false">T13+V13</f>
        <v>7674.225</v>
      </c>
      <c r="X13" s="59" t="n">
        <f aca="false">IF(T13&gt;0,V13/T13,0)</f>
        <v>0.2038</v>
      </c>
      <c r="Y13" s="60" t="n">
        <f aca="false">2_Market_Gross_USD!F11</f>
        <v>6375</v>
      </c>
      <c r="Z13" s="53" t="n">
        <f aca="false">Y13*(1-0.12)</f>
        <v>5610</v>
      </c>
      <c r="AA13" s="58" t="n">
        <f aca="false">Y13*0+0</f>
        <v>0</v>
      </c>
      <c r="AB13" s="55" t="n">
        <f aca="false">Y13+AA13</f>
        <v>6375</v>
      </c>
      <c r="AC13" s="59" t="n">
        <f aca="false">IF(Y13&gt;0,AA13/Y13,0)</f>
        <v>0</v>
      </c>
      <c r="AD13" s="60" t="n">
        <f aca="false">2_Market_Gross_USD!F11</f>
        <v>6375</v>
      </c>
      <c r="AE13" s="53" t="n">
        <f aca="false">AD13*(1-0.2571)</f>
        <v>4735.9875</v>
      </c>
      <c r="AF13" s="58" t="n">
        <f aca="false">AD13*0.2038+500</f>
        <v>1799.225</v>
      </c>
      <c r="AG13" s="55" t="n">
        <f aca="false">AD13+AF13</f>
        <v>8174.225</v>
      </c>
      <c r="AH13" s="59" t="n">
        <f aca="false">IF(AD13&gt;0,AF13/AD13,0)</f>
        <v>0.28223137254902</v>
      </c>
      <c r="AI13" s="60" t="n">
        <f aca="false">2_Market_Gross_USD!G11</f>
        <v>7938</v>
      </c>
      <c r="AJ13" s="53" t="n">
        <f aca="false">AI13*(1-0.28)</f>
        <v>5715.36</v>
      </c>
      <c r="AK13" s="58" t="n">
        <f aca="false">AI13*0.15+0</f>
        <v>1190.7</v>
      </c>
      <c r="AL13" s="55" t="n">
        <f aca="false">AI13+AK13</f>
        <v>9128.7</v>
      </c>
      <c r="AM13" s="59" t="n">
        <f aca="false">IF(AI13&gt;0,AK13/AI13,0)</f>
        <v>0.15</v>
      </c>
      <c r="AN13" s="60" t="n">
        <f aca="false">2_Market_Gross_USD!G11</f>
        <v>7938</v>
      </c>
      <c r="AO13" s="53" t="n">
        <f aca="false">AN13*(1-0.19)</f>
        <v>6429.78</v>
      </c>
      <c r="AP13" s="58" t="n">
        <f aca="false">AN13*0+0</f>
        <v>0</v>
      </c>
      <c r="AQ13" s="55" t="n">
        <f aca="false">AN13+AP13</f>
        <v>7938</v>
      </c>
      <c r="AR13" s="59" t="n">
        <f aca="false">IF(AN13&gt;0,AP13/AN13,0)</f>
        <v>0</v>
      </c>
      <c r="AS13" s="60" t="n">
        <f aca="false">2_Market_Gross_USD!G11</f>
        <v>7938</v>
      </c>
      <c r="AT13" s="53" t="n">
        <f aca="false">AS13*(1-0.28)</f>
        <v>5715.36</v>
      </c>
      <c r="AU13" s="58" t="n">
        <f aca="false">AS13*0.15+500</f>
        <v>1690.7</v>
      </c>
      <c r="AV13" s="55" t="n">
        <f aca="false">AS13+AU13</f>
        <v>9628.7</v>
      </c>
      <c r="AW13" s="59" t="n">
        <f aca="false">IF(AS13&gt;0,AU13/AS13,0)</f>
        <v>0.212988158226253</v>
      </c>
      <c r="AX13" s="60" t="n">
        <f aca="false">2_Market_Gross_USD!H11</f>
        <v>14025</v>
      </c>
      <c r="AY13" s="53" t="n">
        <f aca="false">AX13*(1-0.2965)</f>
        <v>9866.5875</v>
      </c>
      <c r="AZ13" s="58" t="n">
        <f aca="false">AX13*0.11+0</f>
        <v>1542.75</v>
      </c>
      <c r="BA13" s="55" t="n">
        <f aca="false">AX13+AZ13</f>
        <v>15567.75</v>
      </c>
      <c r="BB13" s="59" t="n">
        <f aca="false">IF(AX13&gt;0,AZ13/AX13,0)</f>
        <v>0.11</v>
      </c>
      <c r="BC13" s="60" t="n">
        <f aca="false">2_Market_Gross_USD!H11</f>
        <v>14025</v>
      </c>
      <c r="BD13" s="53" t="n">
        <f aca="false">BC13*(1-0.373)</f>
        <v>8793.675</v>
      </c>
      <c r="BE13" s="58" t="n">
        <f aca="false">BC13*0+0</f>
        <v>0</v>
      </c>
      <c r="BF13" s="55" t="n">
        <f aca="false">BC13+BE13</f>
        <v>14025</v>
      </c>
      <c r="BG13" s="59" t="n">
        <f aca="false">IF(BC13&gt;0,BE13/BC13,0)</f>
        <v>0</v>
      </c>
      <c r="BH13" s="60" t="n">
        <f aca="false">2_Market_Gross_USD!H11</f>
        <v>14025</v>
      </c>
      <c r="BI13" s="53" t="n">
        <f aca="false">BH13*(1-0.2965)</f>
        <v>9866.5875</v>
      </c>
      <c r="BJ13" s="58" t="n">
        <f aca="false">BH13*0.11+500</f>
        <v>2042.75</v>
      </c>
      <c r="BK13" s="55" t="n">
        <f aca="false">BH13+BJ13</f>
        <v>16067.75</v>
      </c>
      <c r="BL13" s="59" t="n">
        <f aca="false">IF(BH13&gt;0,BJ13/BH13,0)</f>
        <v>0.145650623885918</v>
      </c>
      <c r="BM13" s="60" t="n">
        <f aca="false">2_Market_Gross_USD!I11</f>
        <v>8193</v>
      </c>
      <c r="BN13" s="53" t="n">
        <f aca="false">BM13*(1-0.4785)</f>
        <v>4272.6495</v>
      </c>
      <c r="BO13" s="58" t="n">
        <f aca="false">BM13*0.21+0</f>
        <v>1720.53</v>
      </c>
      <c r="BP13" s="55" t="n">
        <f aca="false">BM13+BO13</f>
        <v>9913.53</v>
      </c>
      <c r="BQ13" s="59" t="n">
        <f aca="false">IF(BM13&gt;0,BO13/BM13,0)</f>
        <v>0.21</v>
      </c>
      <c r="BR13" s="60" t="n">
        <f aca="false">2_Market_Gross_USD!I11</f>
        <v>8193</v>
      </c>
      <c r="BS13" s="53" t="n">
        <f aca="false">BR13*(1-0.25)</f>
        <v>6144.75</v>
      </c>
      <c r="BT13" s="58" t="n">
        <f aca="false">BR13*0+0</f>
        <v>0</v>
      </c>
      <c r="BU13" s="55" t="n">
        <f aca="false">BR13+BT13</f>
        <v>8193</v>
      </c>
      <c r="BV13" s="59" t="n">
        <f aca="false">IF(BR13&gt;0,BT13/BR13,0)</f>
        <v>0</v>
      </c>
      <c r="BW13" s="60" t="n">
        <f aca="false">2_Market_Gross_USD!I11</f>
        <v>8193</v>
      </c>
      <c r="BX13" s="53" t="n">
        <f aca="false">BW13*(1-0.4785)</f>
        <v>4272.6495</v>
      </c>
      <c r="BY13" s="58" t="n">
        <f aca="false">BW13*0.21+500</f>
        <v>2220.53</v>
      </c>
      <c r="BZ13" s="55" t="n">
        <f aca="false">BW13+BY13</f>
        <v>10413.53</v>
      </c>
      <c r="CA13" s="59" t="n">
        <f aca="false">IF(BW13&gt;0,BY13/BW13,0)</f>
        <v>0.271027706578787</v>
      </c>
      <c r="CB13" s="60" t="n">
        <f aca="false">2_Market_Gross_USD!J11</f>
        <v>9417</v>
      </c>
      <c r="CC13" s="53" t="n">
        <f aca="false">CB13*(1-0.3697)</f>
        <v>5935.5351</v>
      </c>
      <c r="CD13" s="58" t="n">
        <f aca="false">CB13*0.2+0</f>
        <v>1883.4</v>
      </c>
      <c r="CE13" s="55" t="n">
        <f aca="false">CB13+CD13</f>
        <v>11300.4</v>
      </c>
      <c r="CF13" s="59" t="n">
        <f aca="false">IF(CB13&gt;0,CD13/CB13,0)</f>
        <v>0.2</v>
      </c>
      <c r="CG13" s="60" t="n">
        <f aca="false">2_Market_Gross_USD!J11</f>
        <v>9417</v>
      </c>
      <c r="CH13" s="53" t="n">
        <f aca="false">CG13*(1-0.3697)</f>
        <v>5935.5351</v>
      </c>
      <c r="CI13" s="58" t="n">
        <f aca="false">CG13*0+0</f>
        <v>0</v>
      </c>
      <c r="CJ13" s="55" t="n">
        <f aca="false">CG13+CI13</f>
        <v>9417</v>
      </c>
      <c r="CK13" s="59" t="n">
        <f aca="false">IF(CG13&gt;0,CI13/CG13,0)</f>
        <v>0</v>
      </c>
      <c r="CL13" s="60" t="n">
        <f aca="false">2_Market_Gross_USD!J11</f>
        <v>9417</v>
      </c>
      <c r="CM13" s="53" t="n">
        <f aca="false">CL13*(1-0.3697)</f>
        <v>5935.5351</v>
      </c>
      <c r="CN13" s="58" t="n">
        <f aca="false">CL13*0.2+500</f>
        <v>2383.4</v>
      </c>
      <c r="CO13" s="55" t="n">
        <f aca="false">CL13+CN13</f>
        <v>11800.4</v>
      </c>
      <c r="CP13" s="59" t="n">
        <f aca="false">IF(CL13&gt;0,CN13/CL13,0)</f>
        <v>0.253095465647234</v>
      </c>
      <c r="CQ13" s="60" t="n">
        <f aca="false">2_Market_Gross_USD!K11</f>
        <v>5009</v>
      </c>
      <c r="CR13" s="53" t="n">
        <f aca="false">CQ13*(1-0.26)</f>
        <v>3706.66</v>
      </c>
      <c r="CS13" s="58" t="n">
        <f aca="false">CQ13*0.338+0</f>
        <v>1693.042</v>
      </c>
      <c r="CT13" s="55" t="n">
        <f aca="false">CQ13+CS13</f>
        <v>6702.042</v>
      </c>
      <c r="CU13" s="59" t="n">
        <f aca="false">IF(CQ13&gt;0,CS13/CQ13,0)</f>
        <v>0.338</v>
      </c>
      <c r="CV13" s="60" t="n">
        <f aca="false">2_Market_Gross_USD!K11</f>
        <v>5009</v>
      </c>
      <c r="CW13" s="53" t="n">
        <f aca="false">CV13*(1-0.15)</f>
        <v>4257.65</v>
      </c>
      <c r="CX13" s="58" t="n">
        <f aca="false">CV13*0+0</f>
        <v>0</v>
      </c>
      <c r="CY13" s="55" t="n">
        <f aca="false">CV13+CX13</f>
        <v>5009</v>
      </c>
      <c r="CZ13" s="59" t="n">
        <f aca="false">IF(CV13&gt;0,CX13/CV13,0)</f>
        <v>0</v>
      </c>
      <c r="DA13" s="60" t="n">
        <f aca="false">2_Market_Gross_USD!K11</f>
        <v>5009</v>
      </c>
      <c r="DB13" s="53" t="n">
        <f aca="false">DA13*(1-0.26)</f>
        <v>3706.66</v>
      </c>
      <c r="DC13" s="58" t="n">
        <f aca="false">DA13*0.338+500</f>
        <v>2193.042</v>
      </c>
      <c r="DD13" s="55" t="n">
        <f aca="false">DA13+DC13</f>
        <v>7202.042</v>
      </c>
      <c r="DE13" s="59" t="n">
        <f aca="false">IF(DA13&gt;0,DC13/DA13,0)</f>
        <v>0.437820323417848</v>
      </c>
      <c r="DF13" s="60" t="n">
        <f aca="false">2_Market_Gross_USD!L11</f>
        <v>6215</v>
      </c>
      <c r="DG13" s="53" t="n">
        <f aca="false">DF13*(1-0.34)</f>
        <v>4101.9</v>
      </c>
      <c r="DH13" s="58" t="n">
        <f aca="false">DF13*0.2375+0</f>
        <v>1476.0625</v>
      </c>
      <c r="DI13" s="55" t="n">
        <f aca="false">DF13+DH13</f>
        <v>7691.0625</v>
      </c>
      <c r="DJ13" s="59" t="n">
        <f aca="false">IF(DF13&gt;0,DH13/DF13,0)</f>
        <v>0.2375</v>
      </c>
      <c r="DK13" s="60" t="n">
        <f aca="false">2_Market_Gross_USD!L11</f>
        <v>6215</v>
      </c>
      <c r="DL13" s="53" t="n">
        <f aca="false">DK13*(1-0.2)</f>
        <v>4972</v>
      </c>
      <c r="DM13" s="58" t="n">
        <f aca="false">DK13*0+0</f>
        <v>0</v>
      </c>
      <c r="DN13" s="55" t="n">
        <f aca="false">DK13+DM13</f>
        <v>6215</v>
      </c>
      <c r="DO13" s="59" t="n">
        <f aca="false">IF(DK13&gt;0,DM13/DK13,0)</f>
        <v>0</v>
      </c>
      <c r="DP13" s="60" t="n">
        <f aca="false">2_Market_Gross_USD!L11</f>
        <v>6215</v>
      </c>
      <c r="DQ13" s="53" t="n">
        <f aca="false">DP13*(1-0.34)</f>
        <v>4101.9</v>
      </c>
      <c r="DR13" s="58" t="n">
        <f aca="false">DP13*0.2375+500</f>
        <v>1976.0625</v>
      </c>
      <c r="DS13" s="55" t="n">
        <f aca="false">DP13+DR13</f>
        <v>8191.0625</v>
      </c>
      <c r="DT13" s="59" t="n">
        <f aca="false">IF(DP13&gt;0,DR13/DP13,0)</f>
        <v>0.317950522928399</v>
      </c>
      <c r="DU13" s="60" t="n">
        <f aca="false">2_Market_Gross_USD!M11</f>
        <v>4200</v>
      </c>
      <c r="DV13" s="53" t="n">
        <f aca="false">DU13*0.65</f>
        <v>2730</v>
      </c>
      <c r="DW13" s="58" t="n">
        <f aca="false">DU13*0.0225+0</f>
        <v>94.5</v>
      </c>
      <c r="DX13" s="55" t="n">
        <f aca="false">DU13+DW13</f>
        <v>4294.5</v>
      </c>
      <c r="DY13" s="59" t="n">
        <f aca="false">IF(DU13&gt;0,DW13/DU13,0)</f>
        <v>0.0225</v>
      </c>
      <c r="DZ13" s="60" t="n">
        <f aca="false">2_Market_Gross_USD!M11</f>
        <v>4200</v>
      </c>
      <c r="EA13" s="53" t="n">
        <f aca="false">DZ13*(1-0.01)</f>
        <v>4158</v>
      </c>
      <c r="EB13" s="58" t="n">
        <f aca="false">DZ13*0+0</f>
        <v>0</v>
      </c>
      <c r="EC13" s="55" t="n">
        <f aca="false">DZ13+EB13</f>
        <v>4200</v>
      </c>
      <c r="ED13" s="59" t="n">
        <f aca="false">IF(DZ13&gt;0,EB13/DZ13,0)</f>
        <v>0</v>
      </c>
      <c r="EE13" s="60" t="n">
        <f aca="false">2_Market_Gross_USD!M11</f>
        <v>4200</v>
      </c>
      <c r="EF13" s="53" t="n">
        <f aca="false">EE13*0.65</f>
        <v>2730</v>
      </c>
      <c r="EG13" s="58" t="n">
        <f aca="false">EE13*0.0225+500</f>
        <v>594.5</v>
      </c>
      <c r="EH13" s="55" t="n">
        <f aca="false">EE13+EG13</f>
        <v>4794.5</v>
      </c>
      <c r="EI13" s="59" t="n">
        <f aca="false">IF(EE13&gt;0,EG13/EE13,0)</f>
        <v>0.141547619047619</v>
      </c>
    </row>
    <row r="14" customFormat="false" ht="15" hidden="false" customHeight="false" outlineLevel="0" collapsed="false">
      <c r="A14" s="37" t="n">
        <v>9</v>
      </c>
      <c r="B14" s="32" t="s">
        <v>253</v>
      </c>
      <c r="C14" s="32" t="s">
        <v>254</v>
      </c>
      <c r="D14" s="38" t="s">
        <v>248</v>
      </c>
      <c r="E14" s="52" t="n">
        <f aca="false">2_Market_Gross_USD!E12</f>
        <v>1500</v>
      </c>
      <c r="F14" s="53" t="n">
        <f aca="false">E14*(1-0.065)</f>
        <v>1402.5</v>
      </c>
      <c r="G14" s="54" t="n">
        <f aca="false">E14*0+35</f>
        <v>35</v>
      </c>
      <c r="H14" s="55" t="n">
        <f aca="false">E14+G14</f>
        <v>1535</v>
      </c>
      <c r="I14" s="56" t="n">
        <f aca="false">IF(E14&gt;0,G14/E14,0)</f>
        <v>0.0233333333333333</v>
      </c>
      <c r="J14" s="52" t="n">
        <f aca="false">2_Market_Gross_USD!E12</f>
        <v>1500</v>
      </c>
      <c r="K14" s="53" t="n">
        <f aca="false">J14*(1-0.065)</f>
        <v>1402.5</v>
      </c>
      <c r="L14" s="54" t="n">
        <f aca="false">J14*0+40</f>
        <v>40</v>
      </c>
      <c r="M14" s="55" t="n">
        <f aca="false">J14+L14</f>
        <v>1540</v>
      </c>
      <c r="N14" s="56" t="n">
        <f aca="false">IF(J14&gt;0,L14/J14,0)</f>
        <v>0.0266666666666667</v>
      </c>
      <c r="O14" s="52" t="n">
        <f aca="false">2_Market_Gross_USD!E12</f>
        <v>1500</v>
      </c>
      <c r="P14" s="53" t="n">
        <f aca="false">O14*(1-0.195)</f>
        <v>1207.5</v>
      </c>
      <c r="Q14" s="54" t="n">
        <f aca="false">IF(O14&gt;=3886,3886*0.22,O14*0.22)</f>
        <v>330</v>
      </c>
      <c r="R14" s="55" t="n">
        <f aca="false">O14+Q14</f>
        <v>1830</v>
      </c>
      <c r="S14" s="56" t="n">
        <f aca="false">IF(O14&gt;0,Q14/O14,0)</f>
        <v>0.22</v>
      </c>
      <c r="T14" s="57" t="n">
        <f aca="false">2_Market_Gross_USD!F12</f>
        <v>3825</v>
      </c>
      <c r="U14" s="53" t="n">
        <f aca="false">T14*(1-0.2571)</f>
        <v>2841.5925</v>
      </c>
      <c r="V14" s="54" t="n">
        <f aca="false">T14*0.2038+0</f>
        <v>779.535</v>
      </c>
      <c r="W14" s="55" t="n">
        <f aca="false">T14+V14</f>
        <v>4604.535</v>
      </c>
      <c r="X14" s="56" t="n">
        <f aca="false">IF(T14&gt;0,V14/T14,0)</f>
        <v>0.2038</v>
      </c>
      <c r="Y14" s="57" t="n">
        <f aca="false">2_Market_Gross_USD!F12</f>
        <v>3825</v>
      </c>
      <c r="Z14" s="53" t="n">
        <f aca="false">Y14*(1-0.12)</f>
        <v>3366</v>
      </c>
      <c r="AA14" s="54" t="n">
        <f aca="false">Y14*0+0</f>
        <v>0</v>
      </c>
      <c r="AB14" s="55" t="n">
        <f aca="false">Y14+AA14</f>
        <v>3825</v>
      </c>
      <c r="AC14" s="56" t="n">
        <f aca="false">IF(Y14&gt;0,AA14/Y14,0)</f>
        <v>0</v>
      </c>
      <c r="AD14" s="57" t="n">
        <f aca="false">2_Market_Gross_USD!F12</f>
        <v>3825</v>
      </c>
      <c r="AE14" s="53" t="n">
        <f aca="false">AD14*(1-0.2571)</f>
        <v>2841.5925</v>
      </c>
      <c r="AF14" s="54" t="n">
        <f aca="false">AD14*0.2038+500</f>
        <v>1279.535</v>
      </c>
      <c r="AG14" s="55" t="n">
        <f aca="false">AD14+AF14</f>
        <v>5104.535</v>
      </c>
      <c r="AH14" s="56" t="n">
        <f aca="false">IF(AD14&gt;0,AF14/AD14,0)</f>
        <v>0.334518954248366</v>
      </c>
      <c r="AI14" s="57" t="n">
        <f aca="false">2_Market_Gross_USD!G12</f>
        <v>5292</v>
      </c>
      <c r="AJ14" s="53" t="n">
        <f aca="false">AI14*(1-0.28)</f>
        <v>3810.24</v>
      </c>
      <c r="AK14" s="54" t="n">
        <f aca="false">AI14*0.15+0</f>
        <v>793.8</v>
      </c>
      <c r="AL14" s="55" t="n">
        <f aca="false">AI14+AK14</f>
        <v>6085.8</v>
      </c>
      <c r="AM14" s="56" t="n">
        <f aca="false">IF(AI14&gt;0,AK14/AI14,0)</f>
        <v>0.15</v>
      </c>
      <c r="AN14" s="57" t="n">
        <f aca="false">2_Market_Gross_USD!G12</f>
        <v>5292</v>
      </c>
      <c r="AO14" s="53" t="n">
        <f aca="false">AN14*(1-0.19)</f>
        <v>4286.52</v>
      </c>
      <c r="AP14" s="54" t="n">
        <f aca="false">AN14*0+0</f>
        <v>0</v>
      </c>
      <c r="AQ14" s="55" t="n">
        <f aca="false">AN14+AP14</f>
        <v>5292</v>
      </c>
      <c r="AR14" s="56" t="n">
        <f aca="false">IF(AN14&gt;0,AP14/AN14,0)</f>
        <v>0</v>
      </c>
      <c r="AS14" s="57" t="n">
        <f aca="false">2_Market_Gross_USD!G12</f>
        <v>5292</v>
      </c>
      <c r="AT14" s="53" t="n">
        <f aca="false">AS14*(1-0.28)</f>
        <v>3810.24</v>
      </c>
      <c r="AU14" s="54" t="n">
        <f aca="false">AS14*0.15+500</f>
        <v>1293.8</v>
      </c>
      <c r="AV14" s="55" t="n">
        <f aca="false">AS14+AU14</f>
        <v>6585.8</v>
      </c>
      <c r="AW14" s="56" t="n">
        <f aca="false">IF(AS14&gt;0,AU14/AS14,0)</f>
        <v>0.24448223733938</v>
      </c>
      <c r="AX14" s="57" t="n">
        <f aca="false">2_Market_Gross_USD!H12</f>
        <v>11500</v>
      </c>
      <c r="AY14" s="53" t="n">
        <f aca="false">AX14*(1-0.2965)</f>
        <v>8090.25</v>
      </c>
      <c r="AZ14" s="54" t="n">
        <f aca="false">AX14*0.11+0</f>
        <v>1265</v>
      </c>
      <c r="BA14" s="55" t="n">
        <f aca="false">AX14+AZ14</f>
        <v>12765</v>
      </c>
      <c r="BB14" s="56" t="n">
        <f aca="false">IF(AX14&gt;0,AZ14/AX14,0)</f>
        <v>0.11</v>
      </c>
      <c r="BC14" s="57" t="n">
        <f aca="false">2_Market_Gross_USD!H12</f>
        <v>11500</v>
      </c>
      <c r="BD14" s="53" t="n">
        <f aca="false">BC14*(1-0.373)</f>
        <v>7210.5</v>
      </c>
      <c r="BE14" s="54" t="n">
        <f aca="false">BC14*0+0</f>
        <v>0</v>
      </c>
      <c r="BF14" s="55" t="n">
        <f aca="false">BC14+BE14</f>
        <v>11500</v>
      </c>
      <c r="BG14" s="56" t="n">
        <f aca="false">IF(BC14&gt;0,BE14/BC14,0)</f>
        <v>0</v>
      </c>
      <c r="BH14" s="57" t="n">
        <f aca="false">2_Market_Gross_USD!H12</f>
        <v>11500</v>
      </c>
      <c r="BI14" s="53" t="n">
        <f aca="false">BH14*(1-0.2965)</f>
        <v>8090.25</v>
      </c>
      <c r="BJ14" s="54" t="n">
        <f aca="false">BH14*0.11+500</f>
        <v>1765</v>
      </c>
      <c r="BK14" s="55" t="n">
        <f aca="false">BH14+BJ14</f>
        <v>13265</v>
      </c>
      <c r="BL14" s="56" t="n">
        <f aca="false">IF(BH14&gt;0,BJ14/BH14,0)</f>
        <v>0.153478260869565</v>
      </c>
      <c r="BM14" s="57" t="n">
        <f aca="false">2_Market_Gross_USD!I12</f>
        <v>5726</v>
      </c>
      <c r="BN14" s="53" t="n">
        <f aca="false">BM14*(1-0.4785)</f>
        <v>2986.109</v>
      </c>
      <c r="BO14" s="54" t="n">
        <f aca="false">BM14*0.21+0</f>
        <v>1202.46</v>
      </c>
      <c r="BP14" s="55" t="n">
        <f aca="false">BM14+BO14</f>
        <v>6928.46</v>
      </c>
      <c r="BQ14" s="56" t="n">
        <f aca="false">IF(BM14&gt;0,BO14/BM14,0)</f>
        <v>0.21</v>
      </c>
      <c r="BR14" s="57" t="n">
        <f aca="false">2_Market_Gross_USD!I12</f>
        <v>5726</v>
      </c>
      <c r="BS14" s="53" t="n">
        <f aca="false">BR14*(1-0.25)</f>
        <v>4294.5</v>
      </c>
      <c r="BT14" s="54" t="n">
        <f aca="false">BR14*0+0</f>
        <v>0</v>
      </c>
      <c r="BU14" s="55" t="n">
        <f aca="false">BR14+BT14</f>
        <v>5726</v>
      </c>
      <c r="BV14" s="56" t="n">
        <f aca="false">IF(BR14&gt;0,BT14/BR14,0)</f>
        <v>0</v>
      </c>
      <c r="BW14" s="57" t="n">
        <f aca="false">2_Market_Gross_USD!I12</f>
        <v>5726</v>
      </c>
      <c r="BX14" s="53" t="n">
        <f aca="false">BW14*(1-0.4785)</f>
        <v>2986.109</v>
      </c>
      <c r="BY14" s="54" t="n">
        <f aca="false">BW14*0.21+500</f>
        <v>1702.46</v>
      </c>
      <c r="BZ14" s="55" t="n">
        <f aca="false">BW14+BY14</f>
        <v>7428.46</v>
      </c>
      <c r="CA14" s="56" t="n">
        <f aca="false">IF(BW14&gt;0,BY14/BW14,0)</f>
        <v>0.297320991966469</v>
      </c>
      <c r="CB14" s="57" t="n">
        <f aca="false">2_Market_Gross_USD!J12</f>
        <v>6404</v>
      </c>
      <c r="CC14" s="53" t="n">
        <f aca="false">CB14*(1-0.3697)</f>
        <v>4036.4412</v>
      </c>
      <c r="CD14" s="54" t="n">
        <f aca="false">CB14*0.2+0</f>
        <v>1280.8</v>
      </c>
      <c r="CE14" s="55" t="n">
        <f aca="false">CB14+CD14</f>
        <v>7684.8</v>
      </c>
      <c r="CF14" s="56" t="n">
        <f aca="false">IF(CB14&gt;0,CD14/CB14,0)</f>
        <v>0.2</v>
      </c>
      <c r="CG14" s="57" t="n">
        <f aca="false">2_Market_Gross_USD!J12</f>
        <v>6404</v>
      </c>
      <c r="CH14" s="53" t="n">
        <f aca="false">CG14*(1-0.3697)</f>
        <v>4036.4412</v>
      </c>
      <c r="CI14" s="54" t="n">
        <f aca="false">CG14*0+0</f>
        <v>0</v>
      </c>
      <c r="CJ14" s="55" t="n">
        <f aca="false">CG14+CI14</f>
        <v>6404</v>
      </c>
      <c r="CK14" s="56" t="n">
        <f aca="false">IF(CG14&gt;0,CI14/CG14,0)</f>
        <v>0</v>
      </c>
      <c r="CL14" s="57" t="n">
        <f aca="false">2_Market_Gross_USD!J12</f>
        <v>6404</v>
      </c>
      <c r="CM14" s="53" t="n">
        <f aca="false">CL14*(1-0.3697)</f>
        <v>4036.4412</v>
      </c>
      <c r="CN14" s="54" t="n">
        <f aca="false">CL14*0.2+500</f>
        <v>1780.8</v>
      </c>
      <c r="CO14" s="55" t="n">
        <f aca="false">CL14+CN14</f>
        <v>8184.8</v>
      </c>
      <c r="CP14" s="56" t="n">
        <f aca="false">IF(CL14&gt;0,CN14/CL14,0)</f>
        <v>0.278076202373517</v>
      </c>
      <c r="CQ14" s="57" t="n">
        <f aca="false">2_Market_Gross_USD!K12</f>
        <v>3095</v>
      </c>
      <c r="CR14" s="53" t="n">
        <f aca="false">CQ14*(1-0.26)</f>
        <v>2290.3</v>
      </c>
      <c r="CS14" s="54" t="n">
        <f aca="false">CQ14*0.338+0</f>
        <v>1046.11</v>
      </c>
      <c r="CT14" s="55" t="n">
        <f aca="false">CQ14+CS14</f>
        <v>4141.11</v>
      </c>
      <c r="CU14" s="56" t="n">
        <f aca="false">IF(CQ14&gt;0,CS14/CQ14,0)</f>
        <v>0.338</v>
      </c>
      <c r="CV14" s="57" t="n">
        <f aca="false">2_Market_Gross_USD!K12</f>
        <v>3095</v>
      </c>
      <c r="CW14" s="53" t="n">
        <f aca="false">CV14*(1-0.15)</f>
        <v>2630.75</v>
      </c>
      <c r="CX14" s="54" t="n">
        <f aca="false">CV14*0+0</f>
        <v>0</v>
      </c>
      <c r="CY14" s="55" t="n">
        <f aca="false">CV14+CX14</f>
        <v>3095</v>
      </c>
      <c r="CZ14" s="56" t="n">
        <f aca="false">IF(CV14&gt;0,CX14/CV14,0)</f>
        <v>0</v>
      </c>
      <c r="DA14" s="57" t="n">
        <f aca="false">2_Market_Gross_USD!K12</f>
        <v>3095</v>
      </c>
      <c r="DB14" s="53" t="n">
        <f aca="false">DA14*(1-0.26)</f>
        <v>2290.3</v>
      </c>
      <c r="DC14" s="54" t="n">
        <f aca="false">DA14*0.338+500</f>
        <v>1546.11</v>
      </c>
      <c r="DD14" s="55" t="n">
        <f aca="false">DA14+DC14</f>
        <v>4641.11</v>
      </c>
      <c r="DE14" s="56" t="n">
        <f aca="false">IF(DA14&gt;0,DC14/DA14,0)</f>
        <v>0.499550888529887</v>
      </c>
      <c r="DF14" s="57" t="n">
        <f aca="false">2_Market_Gross_USD!L12</f>
        <v>3955</v>
      </c>
      <c r="DG14" s="53" t="n">
        <f aca="false">DF14*(1-0.34)</f>
        <v>2610.3</v>
      </c>
      <c r="DH14" s="54" t="n">
        <f aca="false">DF14*0.2375+0</f>
        <v>939.3125</v>
      </c>
      <c r="DI14" s="55" t="n">
        <f aca="false">DF14+DH14</f>
        <v>4894.3125</v>
      </c>
      <c r="DJ14" s="56" t="n">
        <f aca="false">IF(DF14&gt;0,DH14/DF14,0)</f>
        <v>0.2375</v>
      </c>
      <c r="DK14" s="57" t="n">
        <f aca="false">2_Market_Gross_USD!L12</f>
        <v>3955</v>
      </c>
      <c r="DL14" s="53" t="n">
        <f aca="false">DK14*(1-0.2)</f>
        <v>3164</v>
      </c>
      <c r="DM14" s="54" t="n">
        <f aca="false">DK14*0+0</f>
        <v>0</v>
      </c>
      <c r="DN14" s="55" t="n">
        <f aca="false">DK14+DM14</f>
        <v>3955</v>
      </c>
      <c r="DO14" s="56" t="n">
        <f aca="false">IF(DK14&gt;0,DM14/DK14,0)</f>
        <v>0</v>
      </c>
      <c r="DP14" s="57" t="n">
        <f aca="false">2_Market_Gross_USD!L12</f>
        <v>3955</v>
      </c>
      <c r="DQ14" s="53" t="n">
        <f aca="false">DP14*(1-0.34)</f>
        <v>2610.3</v>
      </c>
      <c r="DR14" s="54" t="n">
        <f aca="false">DP14*0.2375+500</f>
        <v>1439.3125</v>
      </c>
      <c r="DS14" s="55" t="n">
        <f aca="false">DP14+DR14</f>
        <v>5394.3125</v>
      </c>
      <c r="DT14" s="56" t="n">
        <f aca="false">IF(DP14&gt;0,DR14/DP14,0)</f>
        <v>0.363922250316056</v>
      </c>
      <c r="DU14" s="57" t="n">
        <f aca="false">2_Market_Gross_USD!M12</f>
        <v>2500</v>
      </c>
      <c r="DV14" s="53" t="n">
        <f aca="false">DU14*0.65</f>
        <v>1625</v>
      </c>
      <c r="DW14" s="54" t="n">
        <f aca="false">DU14*0.0225+0</f>
        <v>56.25</v>
      </c>
      <c r="DX14" s="55" t="n">
        <f aca="false">DU14+DW14</f>
        <v>2556.25</v>
      </c>
      <c r="DY14" s="56" t="n">
        <f aca="false">IF(DU14&gt;0,DW14/DU14,0)</f>
        <v>0.0225</v>
      </c>
      <c r="DZ14" s="57" t="n">
        <f aca="false">2_Market_Gross_USD!M12</f>
        <v>2500</v>
      </c>
      <c r="EA14" s="53" t="n">
        <f aca="false">DZ14*(1-0.01)</f>
        <v>2475</v>
      </c>
      <c r="EB14" s="54" t="n">
        <f aca="false">DZ14*0+0</f>
        <v>0</v>
      </c>
      <c r="EC14" s="55" t="n">
        <f aca="false">DZ14+EB14</f>
        <v>2500</v>
      </c>
      <c r="ED14" s="56" t="n">
        <f aca="false">IF(DZ14&gt;0,EB14/DZ14,0)</f>
        <v>0</v>
      </c>
      <c r="EE14" s="57" t="n">
        <f aca="false">2_Market_Gross_USD!M12</f>
        <v>2500</v>
      </c>
      <c r="EF14" s="53" t="n">
        <f aca="false">EE14*0.65</f>
        <v>1625</v>
      </c>
      <c r="EG14" s="54" t="n">
        <f aca="false">EE14*0.0225+500</f>
        <v>556.25</v>
      </c>
      <c r="EH14" s="55" t="n">
        <f aca="false">EE14+EG14</f>
        <v>3056.25</v>
      </c>
      <c r="EI14" s="56" t="n">
        <f aca="false">IF(EE14&gt;0,EG14/EE14,0)</f>
        <v>0.2225</v>
      </c>
    </row>
    <row r="15" customFormat="false" ht="15" hidden="false" customHeight="false" outlineLevel="0" collapsed="false">
      <c r="A15" s="41" t="n">
        <v>10</v>
      </c>
      <c r="B15" s="28" t="s">
        <v>253</v>
      </c>
      <c r="C15" s="8" t="s">
        <v>254</v>
      </c>
      <c r="D15" s="42" t="s">
        <v>249</v>
      </c>
      <c r="E15" s="52" t="n">
        <f aca="false">2_Market_Gross_USD!E13</f>
        <v>4750</v>
      </c>
      <c r="F15" s="53" t="n">
        <f aca="false">E15*(1-0.065)</f>
        <v>4441.25</v>
      </c>
      <c r="G15" s="58" t="n">
        <f aca="false">E15*0+35</f>
        <v>35</v>
      </c>
      <c r="H15" s="55" t="n">
        <f aca="false">E15+G15</f>
        <v>4785</v>
      </c>
      <c r="I15" s="59" t="n">
        <f aca="false">IF(E15&gt;0,G15/E15,0)</f>
        <v>0.00736842105263158</v>
      </c>
      <c r="J15" s="52" t="n">
        <f aca="false">2_Market_Gross_USD!E13</f>
        <v>4750</v>
      </c>
      <c r="K15" s="53" t="n">
        <f aca="false">J15*(1-0.065)</f>
        <v>4441.25</v>
      </c>
      <c r="L15" s="58" t="n">
        <f aca="false">J15*0+40</f>
        <v>40</v>
      </c>
      <c r="M15" s="55" t="n">
        <f aca="false">J15+L15</f>
        <v>4790</v>
      </c>
      <c r="N15" s="59" t="n">
        <f aca="false">IF(J15&gt;0,L15/J15,0)</f>
        <v>0.00842105263157895</v>
      </c>
      <c r="O15" s="52" t="n">
        <f aca="false">2_Market_Gross_USD!E13</f>
        <v>4750</v>
      </c>
      <c r="P15" s="53" t="n">
        <f aca="false">O15*(1-0.195)</f>
        <v>3823.75</v>
      </c>
      <c r="Q15" s="58" t="n">
        <f aca="false">IF(O15&gt;=3886,3886*0.22,O15*0.22)</f>
        <v>854.92</v>
      </c>
      <c r="R15" s="55" t="n">
        <f aca="false">O15+Q15</f>
        <v>5604.92</v>
      </c>
      <c r="S15" s="59" t="n">
        <f aca="false">IF(O15&gt;0,Q15/O15,0)</f>
        <v>0.179983157894737</v>
      </c>
      <c r="T15" s="60" t="n">
        <f aca="false">2_Market_Gross_USD!F13</f>
        <v>6375</v>
      </c>
      <c r="U15" s="53" t="n">
        <f aca="false">T15*(1-0.2571)</f>
        <v>4735.9875</v>
      </c>
      <c r="V15" s="58" t="n">
        <f aca="false">T15*0.2038+0</f>
        <v>1299.225</v>
      </c>
      <c r="W15" s="55" t="n">
        <f aca="false">T15+V15</f>
        <v>7674.225</v>
      </c>
      <c r="X15" s="59" t="n">
        <f aca="false">IF(T15&gt;0,V15/T15,0)</f>
        <v>0.2038</v>
      </c>
      <c r="Y15" s="60" t="n">
        <f aca="false">2_Market_Gross_USD!F13</f>
        <v>6375</v>
      </c>
      <c r="Z15" s="53" t="n">
        <f aca="false">Y15*(1-0.12)</f>
        <v>5610</v>
      </c>
      <c r="AA15" s="58" t="n">
        <f aca="false">Y15*0+0</f>
        <v>0</v>
      </c>
      <c r="AB15" s="55" t="n">
        <f aca="false">Y15+AA15</f>
        <v>6375</v>
      </c>
      <c r="AC15" s="59" t="n">
        <f aca="false">IF(Y15&gt;0,AA15/Y15,0)</f>
        <v>0</v>
      </c>
      <c r="AD15" s="60" t="n">
        <f aca="false">2_Market_Gross_USD!F13</f>
        <v>6375</v>
      </c>
      <c r="AE15" s="53" t="n">
        <f aca="false">AD15*(1-0.2571)</f>
        <v>4735.9875</v>
      </c>
      <c r="AF15" s="58" t="n">
        <f aca="false">AD15*0.2038+500</f>
        <v>1799.225</v>
      </c>
      <c r="AG15" s="55" t="n">
        <f aca="false">AD15+AF15</f>
        <v>8174.225</v>
      </c>
      <c r="AH15" s="59" t="n">
        <f aca="false">IF(AD15&gt;0,AF15/AD15,0)</f>
        <v>0.28223137254902</v>
      </c>
      <c r="AI15" s="60" t="n">
        <f aca="false">2_Market_Gross_USD!G13</f>
        <v>7938</v>
      </c>
      <c r="AJ15" s="53" t="n">
        <f aca="false">AI15*(1-0.28)</f>
        <v>5715.36</v>
      </c>
      <c r="AK15" s="58" t="n">
        <f aca="false">AI15*0.15+0</f>
        <v>1190.7</v>
      </c>
      <c r="AL15" s="55" t="n">
        <f aca="false">AI15+AK15</f>
        <v>9128.7</v>
      </c>
      <c r="AM15" s="59" t="n">
        <f aca="false">IF(AI15&gt;0,AK15/AI15,0)</f>
        <v>0.15</v>
      </c>
      <c r="AN15" s="60" t="n">
        <f aca="false">2_Market_Gross_USD!G13</f>
        <v>7938</v>
      </c>
      <c r="AO15" s="53" t="n">
        <f aca="false">AN15*(1-0.19)</f>
        <v>6429.78</v>
      </c>
      <c r="AP15" s="58" t="n">
        <f aca="false">AN15*0+0</f>
        <v>0</v>
      </c>
      <c r="AQ15" s="55" t="n">
        <f aca="false">AN15+AP15</f>
        <v>7938</v>
      </c>
      <c r="AR15" s="59" t="n">
        <f aca="false">IF(AN15&gt;0,AP15/AN15,0)</f>
        <v>0</v>
      </c>
      <c r="AS15" s="60" t="n">
        <f aca="false">2_Market_Gross_USD!G13</f>
        <v>7938</v>
      </c>
      <c r="AT15" s="53" t="n">
        <f aca="false">AS15*(1-0.28)</f>
        <v>5715.36</v>
      </c>
      <c r="AU15" s="58" t="n">
        <f aca="false">AS15*0.15+500</f>
        <v>1690.7</v>
      </c>
      <c r="AV15" s="55" t="n">
        <f aca="false">AS15+AU15</f>
        <v>9628.7</v>
      </c>
      <c r="AW15" s="59" t="n">
        <f aca="false">IF(AS15&gt;0,AU15/AS15,0)</f>
        <v>0.212988158226253</v>
      </c>
      <c r="AX15" s="60" t="n">
        <f aca="false">2_Market_Gross_USD!H13</f>
        <v>14450</v>
      </c>
      <c r="AY15" s="53" t="n">
        <f aca="false">AX15*(1-0.2965)</f>
        <v>10165.575</v>
      </c>
      <c r="AZ15" s="58" t="n">
        <f aca="false">AX15*0.11+0</f>
        <v>1589.5</v>
      </c>
      <c r="BA15" s="55" t="n">
        <f aca="false">AX15+AZ15</f>
        <v>16039.5</v>
      </c>
      <c r="BB15" s="59" t="n">
        <f aca="false">IF(AX15&gt;0,AZ15/AX15,0)</f>
        <v>0.11</v>
      </c>
      <c r="BC15" s="60" t="n">
        <f aca="false">2_Market_Gross_USD!H13</f>
        <v>14450</v>
      </c>
      <c r="BD15" s="53" t="n">
        <f aca="false">BC15*(1-0.373)</f>
        <v>9060.15</v>
      </c>
      <c r="BE15" s="58" t="n">
        <f aca="false">BC15*0+0</f>
        <v>0</v>
      </c>
      <c r="BF15" s="55" t="n">
        <f aca="false">BC15+BE15</f>
        <v>14450</v>
      </c>
      <c r="BG15" s="59" t="n">
        <f aca="false">IF(BC15&gt;0,BE15/BC15,0)</f>
        <v>0</v>
      </c>
      <c r="BH15" s="60" t="n">
        <f aca="false">2_Market_Gross_USD!H13</f>
        <v>14450</v>
      </c>
      <c r="BI15" s="53" t="n">
        <f aca="false">BH15*(1-0.2965)</f>
        <v>10165.575</v>
      </c>
      <c r="BJ15" s="58" t="n">
        <f aca="false">BH15*0.11+500</f>
        <v>2089.5</v>
      </c>
      <c r="BK15" s="55" t="n">
        <f aca="false">BH15+BJ15</f>
        <v>16539.5</v>
      </c>
      <c r="BL15" s="59" t="n">
        <f aca="false">IF(BH15&gt;0,BJ15/BH15,0)</f>
        <v>0.144602076124567</v>
      </c>
      <c r="BM15" s="60" t="n">
        <f aca="false">2_Market_Gross_USD!I13</f>
        <v>8193</v>
      </c>
      <c r="BN15" s="53" t="n">
        <f aca="false">BM15*(1-0.4785)</f>
        <v>4272.6495</v>
      </c>
      <c r="BO15" s="58" t="n">
        <f aca="false">BM15*0.21+0</f>
        <v>1720.53</v>
      </c>
      <c r="BP15" s="55" t="n">
        <f aca="false">BM15+BO15</f>
        <v>9913.53</v>
      </c>
      <c r="BQ15" s="59" t="n">
        <f aca="false">IF(BM15&gt;0,BO15/BM15,0)</f>
        <v>0.21</v>
      </c>
      <c r="BR15" s="60" t="n">
        <f aca="false">2_Market_Gross_USD!I13</f>
        <v>8193</v>
      </c>
      <c r="BS15" s="53" t="n">
        <f aca="false">BR15*(1-0.25)</f>
        <v>6144.75</v>
      </c>
      <c r="BT15" s="58" t="n">
        <f aca="false">BR15*0+0</f>
        <v>0</v>
      </c>
      <c r="BU15" s="55" t="n">
        <f aca="false">BR15+BT15</f>
        <v>8193</v>
      </c>
      <c r="BV15" s="59" t="n">
        <f aca="false">IF(BR15&gt;0,BT15/BR15,0)</f>
        <v>0</v>
      </c>
      <c r="BW15" s="60" t="n">
        <f aca="false">2_Market_Gross_USD!I13</f>
        <v>8193</v>
      </c>
      <c r="BX15" s="53" t="n">
        <f aca="false">BW15*(1-0.4785)</f>
        <v>4272.6495</v>
      </c>
      <c r="BY15" s="58" t="n">
        <f aca="false">BW15*0.21+500</f>
        <v>2220.53</v>
      </c>
      <c r="BZ15" s="55" t="n">
        <f aca="false">BW15+BY15</f>
        <v>10413.53</v>
      </c>
      <c r="CA15" s="59" t="n">
        <f aca="false">IF(BW15&gt;0,BY15/BW15,0)</f>
        <v>0.271027706578787</v>
      </c>
      <c r="CB15" s="60" t="n">
        <f aca="false">2_Market_Gross_USD!J13</f>
        <v>9417</v>
      </c>
      <c r="CC15" s="53" t="n">
        <f aca="false">CB15*(1-0.3697)</f>
        <v>5935.5351</v>
      </c>
      <c r="CD15" s="58" t="n">
        <f aca="false">CB15*0.2+0</f>
        <v>1883.4</v>
      </c>
      <c r="CE15" s="55" t="n">
        <f aca="false">CB15+CD15</f>
        <v>11300.4</v>
      </c>
      <c r="CF15" s="59" t="n">
        <f aca="false">IF(CB15&gt;0,CD15/CB15,0)</f>
        <v>0.2</v>
      </c>
      <c r="CG15" s="60" t="n">
        <f aca="false">2_Market_Gross_USD!J13</f>
        <v>9417</v>
      </c>
      <c r="CH15" s="53" t="n">
        <f aca="false">CG15*(1-0.3697)</f>
        <v>5935.5351</v>
      </c>
      <c r="CI15" s="58" t="n">
        <f aca="false">CG15*0+0</f>
        <v>0</v>
      </c>
      <c r="CJ15" s="55" t="n">
        <f aca="false">CG15+CI15</f>
        <v>9417</v>
      </c>
      <c r="CK15" s="59" t="n">
        <f aca="false">IF(CG15&gt;0,CI15/CG15,0)</f>
        <v>0</v>
      </c>
      <c r="CL15" s="60" t="n">
        <f aca="false">2_Market_Gross_USD!J13</f>
        <v>9417</v>
      </c>
      <c r="CM15" s="53" t="n">
        <f aca="false">CL15*(1-0.3697)</f>
        <v>5935.5351</v>
      </c>
      <c r="CN15" s="58" t="n">
        <f aca="false">CL15*0.2+500</f>
        <v>2383.4</v>
      </c>
      <c r="CO15" s="55" t="n">
        <f aca="false">CL15+CN15</f>
        <v>11800.4</v>
      </c>
      <c r="CP15" s="59" t="n">
        <f aca="false">IF(CL15&gt;0,CN15/CL15,0)</f>
        <v>0.253095465647234</v>
      </c>
      <c r="CQ15" s="60" t="n">
        <f aca="false">2_Market_Gross_USD!K13</f>
        <v>5009</v>
      </c>
      <c r="CR15" s="53" t="n">
        <f aca="false">CQ15*(1-0.26)</f>
        <v>3706.66</v>
      </c>
      <c r="CS15" s="58" t="n">
        <f aca="false">CQ15*0.338+0</f>
        <v>1693.042</v>
      </c>
      <c r="CT15" s="55" t="n">
        <f aca="false">CQ15+CS15</f>
        <v>6702.042</v>
      </c>
      <c r="CU15" s="59" t="n">
        <f aca="false">IF(CQ15&gt;0,CS15/CQ15,0)</f>
        <v>0.338</v>
      </c>
      <c r="CV15" s="60" t="n">
        <f aca="false">2_Market_Gross_USD!K13</f>
        <v>5009</v>
      </c>
      <c r="CW15" s="53" t="n">
        <f aca="false">CV15*(1-0.15)</f>
        <v>4257.65</v>
      </c>
      <c r="CX15" s="58" t="n">
        <f aca="false">CV15*0+0</f>
        <v>0</v>
      </c>
      <c r="CY15" s="55" t="n">
        <f aca="false">CV15+CX15</f>
        <v>5009</v>
      </c>
      <c r="CZ15" s="59" t="n">
        <f aca="false">IF(CV15&gt;0,CX15/CV15,0)</f>
        <v>0</v>
      </c>
      <c r="DA15" s="60" t="n">
        <f aca="false">2_Market_Gross_USD!K13</f>
        <v>5009</v>
      </c>
      <c r="DB15" s="53" t="n">
        <f aca="false">DA15*(1-0.26)</f>
        <v>3706.66</v>
      </c>
      <c r="DC15" s="58" t="n">
        <f aca="false">DA15*0.338+500</f>
        <v>2193.042</v>
      </c>
      <c r="DD15" s="55" t="n">
        <f aca="false">DA15+DC15</f>
        <v>7202.042</v>
      </c>
      <c r="DE15" s="59" t="n">
        <f aca="false">IF(DA15&gt;0,DC15/DA15,0)</f>
        <v>0.437820323417848</v>
      </c>
      <c r="DF15" s="60" t="n">
        <f aca="false">2_Market_Gross_USD!L13</f>
        <v>6215</v>
      </c>
      <c r="DG15" s="53" t="n">
        <f aca="false">DF15*(1-0.34)</f>
        <v>4101.9</v>
      </c>
      <c r="DH15" s="58" t="n">
        <f aca="false">DF15*0.2375+0</f>
        <v>1476.0625</v>
      </c>
      <c r="DI15" s="55" t="n">
        <f aca="false">DF15+DH15</f>
        <v>7691.0625</v>
      </c>
      <c r="DJ15" s="59" t="n">
        <f aca="false">IF(DF15&gt;0,DH15/DF15,0)</f>
        <v>0.2375</v>
      </c>
      <c r="DK15" s="60" t="n">
        <f aca="false">2_Market_Gross_USD!L13</f>
        <v>6215</v>
      </c>
      <c r="DL15" s="53" t="n">
        <f aca="false">DK15*(1-0.2)</f>
        <v>4972</v>
      </c>
      <c r="DM15" s="58" t="n">
        <f aca="false">DK15*0+0</f>
        <v>0</v>
      </c>
      <c r="DN15" s="55" t="n">
        <f aca="false">DK15+DM15</f>
        <v>6215</v>
      </c>
      <c r="DO15" s="59" t="n">
        <f aca="false">IF(DK15&gt;0,DM15/DK15,0)</f>
        <v>0</v>
      </c>
      <c r="DP15" s="60" t="n">
        <f aca="false">2_Market_Gross_USD!L13</f>
        <v>6215</v>
      </c>
      <c r="DQ15" s="53" t="n">
        <f aca="false">DP15*(1-0.34)</f>
        <v>4101.9</v>
      </c>
      <c r="DR15" s="58" t="n">
        <f aca="false">DP15*0.2375+500</f>
        <v>1976.0625</v>
      </c>
      <c r="DS15" s="55" t="n">
        <f aca="false">DP15+DR15</f>
        <v>8191.0625</v>
      </c>
      <c r="DT15" s="59" t="n">
        <f aca="false">IF(DP15&gt;0,DR15/DP15,0)</f>
        <v>0.317950522928399</v>
      </c>
      <c r="DU15" s="60" t="n">
        <f aca="false">2_Market_Gross_USD!M13</f>
        <v>4200</v>
      </c>
      <c r="DV15" s="53" t="n">
        <f aca="false">DU15*0.65</f>
        <v>2730</v>
      </c>
      <c r="DW15" s="58" t="n">
        <f aca="false">DU15*0.0225+0</f>
        <v>94.5</v>
      </c>
      <c r="DX15" s="55" t="n">
        <f aca="false">DU15+DW15</f>
        <v>4294.5</v>
      </c>
      <c r="DY15" s="59" t="n">
        <f aca="false">IF(DU15&gt;0,DW15/DU15,0)</f>
        <v>0.0225</v>
      </c>
      <c r="DZ15" s="60" t="n">
        <f aca="false">2_Market_Gross_USD!M13</f>
        <v>4200</v>
      </c>
      <c r="EA15" s="53" t="n">
        <f aca="false">DZ15*(1-0.01)</f>
        <v>4158</v>
      </c>
      <c r="EB15" s="58" t="n">
        <f aca="false">DZ15*0+0</f>
        <v>0</v>
      </c>
      <c r="EC15" s="55" t="n">
        <f aca="false">DZ15+EB15</f>
        <v>4200</v>
      </c>
      <c r="ED15" s="59" t="n">
        <f aca="false">IF(DZ15&gt;0,EB15/DZ15,0)</f>
        <v>0</v>
      </c>
      <c r="EE15" s="60" t="n">
        <f aca="false">2_Market_Gross_USD!M13</f>
        <v>4200</v>
      </c>
      <c r="EF15" s="53" t="n">
        <f aca="false">EE15*0.65</f>
        <v>2730</v>
      </c>
      <c r="EG15" s="58" t="n">
        <f aca="false">EE15*0.0225+500</f>
        <v>594.5</v>
      </c>
      <c r="EH15" s="55" t="n">
        <f aca="false">EE15+EG15</f>
        <v>4794.5</v>
      </c>
      <c r="EI15" s="59" t="n">
        <f aca="false">IF(EE15&gt;0,EG15/EE15,0)</f>
        <v>0.141547619047619</v>
      </c>
    </row>
    <row r="16" customFormat="false" ht="15" hidden="false" customHeight="false" outlineLevel="0" collapsed="false">
      <c r="A16" s="37" t="n">
        <v>11</v>
      </c>
      <c r="B16" s="32" t="s">
        <v>253</v>
      </c>
      <c r="C16" s="32" t="s">
        <v>255</v>
      </c>
      <c r="D16" s="38" t="s">
        <v>248</v>
      </c>
      <c r="E16" s="52" t="n">
        <f aca="false">2_Market_Gross_USD!E14</f>
        <v>1600</v>
      </c>
      <c r="F16" s="53" t="n">
        <f aca="false">E16*(1-0.065)</f>
        <v>1496</v>
      </c>
      <c r="G16" s="54" t="n">
        <f aca="false">E16*0+35</f>
        <v>35</v>
      </c>
      <c r="H16" s="55" t="n">
        <f aca="false">E16+G16</f>
        <v>1635</v>
      </c>
      <c r="I16" s="56" t="n">
        <f aca="false">IF(E16&gt;0,G16/E16,0)</f>
        <v>0.021875</v>
      </c>
      <c r="J16" s="52" t="n">
        <f aca="false">2_Market_Gross_USD!E14</f>
        <v>1600</v>
      </c>
      <c r="K16" s="53" t="n">
        <f aca="false">J16*(1-0.065)</f>
        <v>1496</v>
      </c>
      <c r="L16" s="54" t="n">
        <f aca="false">J16*0+40</f>
        <v>40</v>
      </c>
      <c r="M16" s="55" t="n">
        <f aca="false">J16+L16</f>
        <v>1640</v>
      </c>
      <c r="N16" s="56" t="n">
        <f aca="false">IF(J16&gt;0,L16/J16,0)</f>
        <v>0.025</v>
      </c>
      <c r="O16" s="52" t="n">
        <f aca="false">2_Market_Gross_USD!E14</f>
        <v>1600</v>
      </c>
      <c r="P16" s="53" t="n">
        <f aca="false">O16*(1-0.195)</f>
        <v>1288</v>
      </c>
      <c r="Q16" s="54" t="n">
        <f aca="false">IF(O16&gt;=3886,3886*0.22,O16*0.22)</f>
        <v>352</v>
      </c>
      <c r="R16" s="55" t="n">
        <f aca="false">O16+Q16</f>
        <v>1952</v>
      </c>
      <c r="S16" s="56" t="n">
        <f aca="false">IF(O16&gt;0,Q16/O16,0)</f>
        <v>0.22</v>
      </c>
      <c r="T16" s="57" t="n">
        <f aca="false">2_Market_Gross_USD!F14</f>
        <v>3570</v>
      </c>
      <c r="U16" s="53" t="n">
        <f aca="false">T16*(1-0.2571)</f>
        <v>2652.153</v>
      </c>
      <c r="V16" s="54" t="n">
        <f aca="false">T16*0.2038+0</f>
        <v>727.566</v>
      </c>
      <c r="W16" s="55" t="n">
        <f aca="false">T16+V16</f>
        <v>4297.566</v>
      </c>
      <c r="X16" s="56" t="n">
        <f aca="false">IF(T16&gt;0,V16/T16,0)</f>
        <v>0.2038</v>
      </c>
      <c r="Y16" s="57" t="n">
        <f aca="false">2_Market_Gross_USD!F14</f>
        <v>3570</v>
      </c>
      <c r="Z16" s="53" t="n">
        <f aca="false">Y16*(1-0.12)</f>
        <v>3141.6</v>
      </c>
      <c r="AA16" s="54" t="n">
        <f aca="false">Y16*0+0</f>
        <v>0</v>
      </c>
      <c r="AB16" s="55" t="n">
        <f aca="false">Y16+AA16</f>
        <v>3570</v>
      </c>
      <c r="AC16" s="56" t="n">
        <f aca="false">IF(Y16&gt;0,AA16/Y16,0)</f>
        <v>0</v>
      </c>
      <c r="AD16" s="57" t="n">
        <f aca="false">2_Market_Gross_USD!F14</f>
        <v>3570</v>
      </c>
      <c r="AE16" s="53" t="n">
        <f aca="false">AD16*(1-0.2571)</f>
        <v>2652.153</v>
      </c>
      <c r="AF16" s="54" t="n">
        <f aca="false">AD16*0.2038+500</f>
        <v>1227.566</v>
      </c>
      <c r="AG16" s="55" t="n">
        <f aca="false">AD16+AF16</f>
        <v>4797.566</v>
      </c>
      <c r="AH16" s="56" t="n">
        <f aca="false">IF(AD16&gt;0,AF16/AD16,0)</f>
        <v>0.343856022408964</v>
      </c>
      <c r="AI16" s="57" t="n">
        <f aca="false">2_Market_Gross_USD!G14</f>
        <v>4763</v>
      </c>
      <c r="AJ16" s="53" t="n">
        <f aca="false">AI16*(1-0.28)</f>
        <v>3429.36</v>
      </c>
      <c r="AK16" s="54" t="n">
        <f aca="false">AI16*0.15+0</f>
        <v>714.45</v>
      </c>
      <c r="AL16" s="55" t="n">
        <f aca="false">AI16+AK16</f>
        <v>5477.45</v>
      </c>
      <c r="AM16" s="56" t="n">
        <f aca="false">IF(AI16&gt;0,AK16/AI16,0)</f>
        <v>0.15</v>
      </c>
      <c r="AN16" s="57" t="n">
        <f aca="false">2_Market_Gross_USD!G14</f>
        <v>4763</v>
      </c>
      <c r="AO16" s="53" t="n">
        <f aca="false">AN16*(1-0.19)</f>
        <v>3858.03</v>
      </c>
      <c r="AP16" s="54" t="n">
        <f aca="false">AN16*0+0</f>
        <v>0</v>
      </c>
      <c r="AQ16" s="55" t="n">
        <f aca="false">AN16+AP16</f>
        <v>4763</v>
      </c>
      <c r="AR16" s="56" t="n">
        <f aca="false">IF(AN16&gt;0,AP16/AN16,0)</f>
        <v>0</v>
      </c>
      <c r="AS16" s="57" t="n">
        <f aca="false">2_Market_Gross_USD!G14</f>
        <v>4763</v>
      </c>
      <c r="AT16" s="53" t="n">
        <f aca="false">AS16*(1-0.28)</f>
        <v>3429.36</v>
      </c>
      <c r="AU16" s="54" t="n">
        <f aca="false">AS16*0.15+500</f>
        <v>1214.45</v>
      </c>
      <c r="AV16" s="55" t="n">
        <f aca="false">AS16+AU16</f>
        <v>5977.45</v>
      </c>
      <c r="AW16" s="56" t="n">
        <f aca="false">IF(AS16&gt;0,AU16/AS16,0)</f>
        <v>0.254975855553223</v>
      </c>
      <c r="AX16" s="57" t="n">
        <f aca="false">2_Market_Gross_USD!H14</f>
        <v>11000</v>
      </c>
      <c r="AY16" s="53" t="n">
        <f aca="false">AX16*(1-0.2965)</f>
        <v>7738.5</v>
      </c>
      <c r="AZ16" s="54" t="n">
        <f aca="false">AX16*0.11+0</f>
        <v>1210</v>
      </c>
      <c r="BA16" s="55" t="n">
        <f aca="false">AX16+AZ16</f>
        <v>12210</v>
      </c>
      <c r="BB16" s="56" t="n">
        <f aca="false">IF(AX16&gt;0,AZ16/AX16,0)</f>
        <v>0.11</v>
      </c>
      <c r="BC16" s="57" t="n">
        <f aca="false">2_Market_Gross_USD!H14</f>
        <v>11000</v>
      </c>
      <c r="BD16" s="53" t="n">
        <f aca="false">BC16*(1-0.373)</f>
        <v>6897</v>
      </c>
      <c r="BE16" s="54" t="n">
        <f aca="false">BC16*0+0</f>
        <v>0</v>
      </c>
      <c r="BF16" s="55" t="n">
        <f aca="false">BC16+BE16</f>
        <v>11000</v>
      </c>
      <c r="BG16" s="56" t="n">
        <f aca="false">IF(BC16&gt;0,BE16/BC16,0)</f>
        <v>0</v>
      </c>
      <c r="BH16" s="57" t="n">
        <f aca="false">2_Market_Gross_USD!H14</f>
        <v>11000</v>
      </c>
      <c r="BI16" s="53" t="n">
        <f aca="false">BH16*(1-0.2965)</f>
        <v>7738.5</v>
      </c>
      <c r="BJ16" s="54" t="n">
        <f aca="false">BH16*0.11+500</f>
        <v>1710</v>
      </c>
      <c r="BK16" s="55" t="n">
        <f aca="false">BH16+BJ16</f>
        <v>12710</v>
      </c>
      <c r="BL16" s="56" t="n">
        <f aca="false">IF(BH16&gt;0,BJ16/BH16,0)</f>
        <v>0.155454545454545</v>
      </c>
      <c r="BM16" s="57" t="n">
        <f aca="false">2_Market_Gross_USD!I14</f>
        <v>5556</v>
      </c>
      <c r="BN16" s="53" t="n">
        <f aca="false">BM16*(1-0.4785)</f>
        <v>2897.454</v>
      </c>
      <c r="BO16" s="54" t="n">
        <f aca="false">BM16*0.21+0</f>
        <v>1166.76</v>
      </c>
      <c r="BP16" s="55" t="n">
        <f aca="false">BM16+BO16</f>
        <v>6722.76</v>
      </c>
      <c r="BQ16" s="56" t="n">
        <f aca="false">IF(BM16&gt;0,BO16/BM16,0)</f>
        <v>0.21</v>
      </c>
      <c r="BR16" s="57" t="n">
        <f aca="false">2_Market_Gross_USD!I14</f>
        <v>5556</v>
      </c>
      <c r="BS16" s="53" t="n">
        <f aca="false">BR16*(1-0.25)</f>
        <v>4167</v>
      </c>
      <c r="BT16" s="54" t="n">
        <f aca="false">BR16*0+0</f>
        <v>0</v>
      </c>
      <c r="BU16" s="55" t="n">
        <f aca="false">BR16+BT16</f>
        <v>5556</v>
      </c>
      <c r="BV16" s="56" t="n">
        <f aca="false">IF(BR16&gt;0,BT16/BR16,0)</f>
        <v>0</v>
      </c>
      <c r="BW16" s="57" t="n">
        <f aca="false">2_Market_Gross_USD!I14</f>
        <v>5556</v>
      </c>
      <c r="BX16" s="53" t="n">
        <f aca="false">BW16*(1-0.4785)</f>
        <v>2897.454</v>
      </c>
      <c r="BY16" s="54" t="n">
        <f aca="false">BW16*0.21+500</f>
        <v>1666.76</v>
      </c>
      <c r="BZ16" s="55" t="n">
        <f aca="false">BW16+BY16</f>
        <v>7222.76</v>
      </c>
      <c r="CA16" s="56" t="n">
        <f aca="false">IF(BW16&gt;0,BY16/BW16,0)</f>
        <v>0.299992800575954</v>
      </c>
      <c r="CB16" s="57" t="n">
        <f aca="false">2_Market_Gross_USD!J14</f>
        <v>6121</v>
      </c>
      <c r="CC16" s="53" t="n">
        <f aca="false">CB16*(1-0.3697)</f>
        <v>3858.0663</v>
      </c>
      <c r="CD16" s="54" t="n">
        <f aca="false">CB16*0.2+0</f>
        <v>1224.2</v>
      </c>
      <c r="CE16" s="55" t="n">
        <f aca="false">CB16+CD16</f>
        <v>7345.2</v>
      </c>
      <c r="CF16" s="56" t="n">
        <f aca="false">IF(CB16&gt;0,CD16/CB16,0)</f>
        <v>0.2</v>
      </c>
      <c r="CG16" s="57" t="n">
        <f aca="false">2_Market_Gross_USD!J14</f>
        <v>6121</v>
      </c>
      <c r="CH16" s="53" t="n">
        <f aca="false">CG16*(1-0.3697)</f>
        <v>3858.0663</v>
      </c>
      <c r="CI16" s="54" t="n">
        <f aca="false">CG16*0+0</f>
        <v>0</v>
      </c>
      <c r="CJ16" s="55" t="n">
        <f aca="false">CG16+CI16</f>
        <v>6121</v>
      </c>
      <c r="CK16" s="56" t="n">
        <f aca="false">IF(CG16&gt;0,CI16/CG16,0)</f>
        <v>0</v>
      </c>
      <c r="CL16" s="57" t="n">
        <f aca="false">2_Market_Gross_USD!J14</f>
        <v>6121</v>
      </c>
      <c r="CM16" s="53" t="n">
        <f aca="false">CL16*(1-0.3697)</f>
        <v>3858.0663</v>
      </c>
      <c r="CN16" s="54" t="n">
        <f aca="false">CL16*0.2+500</f>
        <v>1724.2</v>
      </c>
      <c r="CO16" s="55" t="n">
        <f aca="false">CL16+CN16</f>
        <v>7845.2</v>
      </c>
      <c r="CP16" s="56" t="n">
        <f aca="false">IF(CL16&gt;0,CN16/CL16,0)</f>
        <v>0.281685999019768</v>
      </c>
      <c r="CQ16" s="57" t="n">
        <f aca="false">2_Market_Gross_USD!K14</f>
        <v>2881</v>
      </c>
      <c r="CR16" s="53" t="n">
        <f aca="false">CQ16*(1-0.26)</f>
        <v>2131.94</v>
      </c>
      <c r="CS16" s="54" t="n">
        <f aca="false">CQ16*0.338+0</f>
        <v>973.778</v>
      </c>
      <c r="CT16" s="55" t="n">
        <f aca="false">CQ16+CS16</f>
        <v>3854.778</v>
      </c>
      <c r="CU16" s="56" t="n">
        <f aca="false">IF(CQ16&gt;0,CS16/CQ16,0)</f>
        <v>0.338</v>
      </c>
      <c r="CV16" s="57" t="n">
        <f aca="false">2_Market_Gross_USD!K14</f>
        <v>2881</v>
      </c>
      <c r="CW16" s="53" t="n">
        <f aca="false">CV16*(1-0.15)</f>
        <v>2448.85</v>
      </c>
      <c r="CX16" s="54" t="n">
        <f aca="false">CV16*0+0</f>
        <v>0</v>
      </c>
      <c r="CY16" s="55" t="n">
        <f aca="false">CV16+CX16</f>
        <v>2881</v>
      </c>
      <c r="CZ16" s="56" t="n">
        <f aca="false">IF(CV16&gt;0,CX16/CV16,0)</f>
        <v>0</v>
      </c>
      <c r="DA16" s="57" t="n">
        <f aca="false">2_Market_Gross_USD!K14</f>
        <v>2881</v>
      </c>
      <c r="DB16" s="53" t="n">
        <f aca="false">DA16*(1-0.26)</f>
        <v>2131.94</v>
      </c>
      <c r="DC16" s="54" t="n">
        <f aca="false">DA16*0.338+500</f>
        <v>1473.778</v>
      </c>
      <c r="DD16" s="55" t="n">
        <f aca="false">DA16+DC16</f>
        <v>4354.778</v>
      </c>
      <c r="DE16" s="56" t="n">
        <f aca="false">IF(DA16&gt;0,DC16/DA16,0)</f>
        <v>0.511550850399167</v>
      </c>
      <c r="DF16" s="57" t="n">
        <f aca="false">2_Market_Gross_USD!L14</f>
        <v>3766</v>
      </c>
      <c r="DG16" s="53" t="n">
        <f aca="false">DF16*(1-0.34)</f>
        <v>2485.56</v>
      </c>
      <c r="DH16" s="54" t="n">
        <f aca="false">DF16*0.2375+0</f>
        <v>894.425</v>
      </c>
      <c r="DI16" s="55" t="n">
        <f aca="false">DF16+DH16</f>
        <v>4660.425</v>
      </c>
      <c r="DJ16" s="56" t="n">
        <f aca="false">IF(DF16&gt;0,DH16/DF16,0)</f>
        <v>0.2375</v>
      </c>
      <c r="DK16" s="57" t="n">
        <f aca="false">2_Market_Gross_USD!L14</f>
        <v>3766</v>
      </c>
      <c r="DL16" s="53" t="n">
        <f aca="false">DK16*(1-0.2)</f>
        <v>3012.8</v>
      </c>
      <c r="DM16" s="54" t="n">
        <f aca="false">DK16*0+0</f>
        <v>0</v>
      </c>
      <c r="DN16" s="55" t="n">
        <f aca="false">DK16+DM16</f>
        <v>3766</v>
      </c>
      <c r="DO16" s="56" t="n">
        <f aca="false">IF(DK16&gt;0,DM16/DK16,0)</f>
        <v>0</v>
      </c>
      <c r="DP16" s="57" t="n">
        <f aca="false">2_Market_Gross_USD!L14</f>
        <v>3766</v>
      </c>
      <c r="DQ16" s="53" t="n">
        <f aca="false">DP16*(1-0.34)</f>
        <v>2485.56</v>
      </c>
      <c r="DR16" s="54" t="n">
        <f aca="false">DP16*0.2375+500</f>
        <v>1394.425</v>
      </c>
      <c r="DS16" s="55" t="n">
        <f aca="false">DP16+DR16</f>
        <v>5160.425</v>
      </c>
      <c r="DT16" s="56" t="n">
        <f aca="false">IF(DP16&gt;0,DR16/DP16,0)</f>
        <v>0.370266861391397</v>
      </c>
      <c r="DU16" s="57" t="n">
        <f aca="false">2_Market_Gross_USD!M14</f>
        <v>2333</v>
      </c>
      <c r="DV16" s="53" t="n">
        <f aca="false">DU16*0.65</f>
        <v>1516.45</v>
      </c>
      <c r="DW16" s="54" t="n">
        <f aca="false">DU16*0.0225+0</f>
        <v>52.4925</v>
      </c>
      <c r="DX16" s="55" t="n">
        <f aca="false">DU16+DW16</f>
        <v>2385.4925</v>
      </c>
      <c r="DY16" s="56" t="n">
        <f aca="false">IF(DU16&gt;0,DW16/DU16,0)</f>
        <v>0.0225</v>
      </c>
      <c r="DZ16" s="57" t="n">
        <f aca="false">2_Market_Gross_USD!M14</f>
        <v>2333</v>
      </c>
      <c r="EA16" s="53" t="n">
        <f aca="false">DZ16*(1-0.01)</f>
        <v>2309.67</v>
      </c>
      <c r="EB16" s="54" t="n">
        <f aca="false">DZ16*0+0</f>
        <v>0</v>
      </c>
      <c r="EC16" s="55" t="n">
        <f aca="false">DZ16+EB16</f>
        <v>2333</v>
      </c>
      <c r="ED16" s="56" t="n">
        <f aca="false">IF(DZ16&gt;0,EB16/DZ16,0)</f>
        <v>0</v>
      </c>
      <c r="EE16" s="57" t="n">
        <f aca="false">2_Market_Gross_USD!M14</f>
        <v>2333</v>
      </c>
      <c r="EF16" s="53" t="n">
        <f aca="false">EE16*0.65</f>
        <v>1516.45</v>
      </c>
      <c r="EG16" s="54" t="n">
        <f aca="false">EE16*0.0225+500</f>
        <v>552.4925</v>
      </c>
      <c r="EH16" s="55" t="n">
        <f aca="false">EE16+EG16</f>
        <v>2885.4925</v>
      </c>
      <c r="EI16" s="56" t="n">
        <f aca="false">IF(EE16&gt;0,EG16/EE16,0)</f>
        <v>0.236816330904415</v>
      </c>
    </row>
    <row r="17" customFormat="false" ht="15" hidden="false" customHeight="false" outlineLevel="0" collapsed="false">
      <c r="A17" s="41" t="n">
        <v>12</v>
      </c>
      <c r="B17" s="28" t="s">
        <v>253</v>
      </c>
      <c r="C17" s="8" t="s">
        <v>255</v>
      </c>
      <c r="D17" s="42" t="s">
        <v>249</v>
      </c>
      <c r="E17" s="52" t="n">
        <f aca="false">2_Market_Gross_USD!E15</f>
        <v>4500</v>
      </c>
      <c r="F17" s="53" t="n">
        <f aca="false">E17*(1-0.065)</f>
        <v>4207.5</v>
      </c>
      <c r="G17" s="58" t="n">
        <f aca="false">E17*0+35</f>
        <v>35</v>
      </c>
      <c r="H17" s="55" t="n">
        <f aca="false">E17+G17</f>
        <v>4535</v>
      </c>
      <c r="I17" s="59" t="n">
        <f aca="false">IF(E17&gt;0,G17/E17,0)</f>
        <v>0.00777777777777778</v>
      </c>
      <c r="J17" s="52" t="n">
        <f aca="false">2_Market_Gross_USD!E15</f>
        <v>4500</v>
      </c>
      <c r="K17" s="53" t="n">
        <f aca="false">J17*(1-0.065)</f>
        <v>4207.5</v>
      </c>
      <c r="L17" s="58" t="n">
        <f aca="false">J17*0+40</f>
        <v>40</v>
      </c>
      <c r="M17" s="55" t="n">
        <f aca="false">J17+L17</f>
        <v>4540</v>
      </c>
      <c r="N17" s="59" t="n">
        <f aca="false">IF(J17&gt;0,L17/J17,0)</f>
        <v>0.00888888888888889</v>
      </c>
      <c r="O17" s="52" t="n">
        <f aca="false">2_Market_Gross_USD!E15</f>
        <v>4500</v>
      </c>
      <c r="P17" s="53" t="n">
        <f aca="false">O17*(1-0.195)</f>
        <v>3622.5</v>
      </c>
      <c r="Q17" s="58" t="n">
        <f aca="false">IF(O17&gt;=3886,3886*0.22,O17*0.22)</f>
        <v>854.92</v>
      </c>
      <c r="R17" s="55" t="n">
        <f aca="false">O17+Q17</f>
        <v>5354.92</v>
      </c>
      <c r="S17" s="59" t="n">
        <f aca="false">IF(O17&gt;0,Q17/O17,0)</f>
        <v>0.189982222222222</v>
      </c>
      <c r="T17" s="60" t="n">
        <f aca="false">2_Market_Gross_USD!F15</f>
        <v>6120</v>
      </c>
      <c r="U17" s="53" t="n">
        <f aca="false">T17*(1-0.2571)</f>
        <v>4546.548</v>
      </c>
      <c r="V17" s="58" t="n">
        <f aca="false">T17*0.2038+0</f>
        <v>1247.256</v>
      </c>
      <c r="W17" s="55" t="n">
        <f aca="false">T17+V17</f>
        <v>7367.256</v>
      </c>
      <c r="X17" s="59" t="n">
        <f aca="false">IF(T17&gt;0,V17/T17,0)</f>
        <v>0.2038</v>
      </c>
      <c r="Y17" s="60" t="n">
        <f aca="false">2_Market_Gross_USD!F15</f>
        <v>6120</v>
      </c>
      <c r="Z17" s="53" t="n">
        <f aca="false">Y17*(1-0.12)</f>
        <v>5385.6</v>
      </c>
      <c r="AA17" s="58" t="n">
        <f aca="false">Y17*0+0</f>
        <v>0</v>
      </c>
      <c r="AB17" s="55" t="n">
        <f aca="false">Y17+AA17</f>
        <v>6120</v>
      </c>
      <c r="AC17" s="59" t="n">
        <f aca="false">IF(Y17&gt;0,AA17/Y17,0)</f>
        <v>0</v>
      </c>
      <c r="AD17" s="60" t="n">
        <f aca="false">2_Market_Gross_USD!F15</f>
        <v>6120</v>
      </c>
      <c r="AE17" s="53" t="n">
        <f aca="false">AD17*(1-0.2571)</f>
        <v>4546.548</v>
      </c>
      <c r="AF17" s="58" t="n">
        <f aca="false">AD17*0.2038+500</f>
        <v>1747.256</v>
      </c>
      <c r="AG17" s="55" t="n">
        <f aca="false">AD17+AF17</f>
        <v>7867.256</v>
      </c>
      <c r="AH17" s="59" t="n">
        <f aca="false">IF(AD17&gt;0,AF17/AD17,0)</f>
        <v>0.285499346405229</v>
      </c>
      <c r="AI17" s="60" t="n">
        <f aca="false">2_Market_Gross_USD!G15</f>
        <v>6879</v>
      </c>
      <c r="AJ17" s="53" t="n">
        <f aca="false">AI17*(1-0.28)</f>
        <v>4952.88</v>
      </c>
      <c r="AK17" s="58" t="n">
        <f aca="false">AI17*0.15+0</f>
        <v>1031.85</v>
      </c>
      <c r="AL17" s="55" t="n">
        <f aca="false">AI17+AK17</f>
        <v>7910.85</v>
      </c>
      <c r="AM17" s="59" t="n">
        <f aca="false">IF(AI17&gt;0,AK17/AI17,0)</f>
        <v>0.15</v>
      </c>
      <c r="AN17" s="60" t="n">
        <f aca="false">2_Market_Gross_USD!G15</f>
        <v>6879</v>
      </c>
      <c r="AO17" s="53" t="n">
        <f aca="false">AN17*(1-0.19)</f>
        <v>5571.99</v>
      </c>
      <c r="AP17" s="58" t="n">
        <f aca="false">AN17*0+0</f>
        <v>0</v>
      </c>
      <c r="AQ17" s="55" t="n">
        <f aca="false">AN17+AP17</f>
        <v>6879</v>
      </c>
      <c r="AR17" s="59" t="n">
        <f aca="false">IF(AN17&gt;0,AP17/AN17,0)</f>
        <v>0</v>
      </c>
      <c r="AS17" s="60" t="n">
        <f aca="false">2_Market_Gross_USD!G15</f>
        <v>6879</v>
      </c>
      <c r="AT17" s="53" t="n">
        <f aca="false">AS17*(1-0.28)</f>
        <v>4952.88</v>
      </c>
      <c r="AU17" s="58" t="n">
        <f aca="false">AS17*0.15+500</f>
        <v>1531.85</v>
      </c>
      <c r="AV17" s="55" t="n">
        <f aca="false">AS17+AU17</f>
        <v>8410.85</v>
      </c>
      <c r="AW17" s="59" t="n">
        <f aca="false">IF(AS17&gt;0,AU17/AS17,0)</f>
        <v>0.222684983282454</v>
      </c>
      <c r="AX17" s="60" t="n">
        <f aca="false">2_Market_Gross_USD!H15</f>
        <v>13175</v>
      </c>
      <c r="AY17" s="53" t="n">
        <f aca="false">AX17*(1-0.2965)</f>
        <v>9268.6125</v>
      </c>
      <c r="AZ17" s="58" t="n">
        <f aca="false">AX17*0.11+0</f>
        <v>1449.25</v>
      </c>
      <c r="BA17" s="55" t="n">
        <f aca="false">AX17+AZ17</f>
        <v>14624.25</v>
      </c>
      <c r="BB17" s="59" t="n">
        <f aca="false">IF(AX17&gt;0,AZ17/AX17,0)</f>
        <v>0.11</v>
      </c>
      <c r="BC17" s="60" t="n">
        <f aca="false">2_Market_Gross_USD!H15</f>
        <v>13175</v>
      </c>
      <c r="BD17" s="53" t="n">
        <f aca="false">BC17*(1-0.373)</f>
        <v>8260.725</v>
      </c>
      <c r="BE17" s="58" t="n">
        <f aca="false">BC17*0+0</f>
        <v>0</v>
      </c>
      <c r="BF17" s="55" t="n">
        <f aca="false">BC17+BE17</f>
        <v>13175</v>
      </c>
      <c r="BG17" s="59" t="n">
        <f aca="false">IF(BC17&gt;0,BE17/BC17,0)</f>
        <v>0</v>
      </c>
      <c r="BH17" s="60" t="n">
        <f aca="false">2_Market_Gross_USD!H15</f>
        <v>13175</v>
      </c>
      <c r="BI17" s="53" t="n">
        <f aca="false">BH17*(1-0.2965)</f>
        <v>9268.6125</v>
      </c>
      <c r="BJ17" s="58" t="n">
        <f aca="false">BH17*0.11+500</f>
        <v>1949.25</v>
      </c>
      <c r="BK17" s="55" t="n">
        <f aca="false">BH17+BJ17</f>
        <v>15124.25</v>
      </c>
      <c r="BL17" s="59" t="n">
        <f aca="false">IF(BH17&gt;0,BJ17/BH17,0)</f>
        <v>0.147950664136622</v>
      </c>
      <c r="BM17" s="60" t="n">
        <f aca="false">2_Market_Gross_USD!I15</f>
        <v>7628</v>
      </c>
      <c r="BN17" s="53" t="n">
        <f aca="false">BM17*(1-0.4785)</f>
        <v>3978.002</v>
      </c>
      <c r="BO17" s="58" t="n">
        <f aca="false">BM17*0.21+0</f>
        <v>1601.88</v>
      </c>
      <c r="BP17" s="55" t="n">
        <f aca="false">BM17+BO17</f>
        <v>9229.88</v>
      </c>
      <c r="BQ17" s="59" t="n">
        <f aca="false">IF(BM17&gt;0,BO17/BM17,0)</f>
        <v>0.21</v>
      </c>
      <c r="BR17" s="60" t="n">
        <f aca="false">2_Market_Gross_USD!I15</f>
        <v>7628</v>
      </c>
      <c r="BS17" s="53" t="n">
        <f aca="false">BR17*(1-0.25)</f>
        <v>5721</v>
      </c>
      <c r="BT17" s="58" t="n">
        <f aca="false">BR17*0+0</f>
        <v>0</v>
      </c>
      <c r="BU17" s="55" t="n">
        <f aca="false">BR17+BT17</f>
        <v>7628</v>
      </c>
      <c r="BV17" s="59" t="n">
        <f aca="false">IF(BR17&gt;0,BT17/BR17,0)</f>
        <v>0</v>
      </c>
      <c r="BW17" s="60" t="n">
        <f aca="false">2_Market_Gross_USD!I15</f>
        <v>7628</v>
      </c>
      <c r="BX17" s="53" t="n">
        <f aca="false">BW17*(1-0.4785)</f>
        <v>3978.002</v>
      </c>
      <c r="BY17" s="58" t="n">
        <f aca="false">BW17*0.21+500</f>
        <v>2101.88</v>
      </c>
      <c r="BZ17" s="55" t="n">
        <f aca="false">BW17+BY17</f>
        <v>9729.88</v>
      </c>
      <c r="CA17" s="59" t="n">
        <f aca="false">IF(BW17&gt;0,BY17/BW17,0)</f>
        <v>0.275547981122181</v>
      </c>
      <c r="CB17" s="60" t="n">
        <f aca="false">2_Market_Gross_USD!J15</f>
        <v>8663</v>
      </c>
      <c r="CC17" s="53" t="n">
        <f aca="false">CB17*(1-0.3697)</f>
        <v>5460.2889</v>
      </c>
      <c r="CD17" s="58" t="n">
        <f aca="false">CB17*0.2+0</f>
        <v>1732.6</v>
      </c>
      <c r="CE17" s="55" t="n">
        <f aca="false">CB17+CD17</f>
        <v>10395.6</v>
      </c>
      <c r="CF17" s="59" t="n">
        <f aca="false">IF(CB17&gt;0,CD17/CB17,0)</f>
        <v>0.2</v>
      </c>
      <c r="CG17" s="60" t="n">
        <f aca="false">2_Market_Gross_USD!J15</f>
        <v>8663</v>
      </c>
      <c r="CH17" s="53" t="n">
        <f aca="false">CG17*(1-0.3697)</f>
        <v>5460.2889</v>
      </c>
      <c r="CI17" s="58" t="n">
        <f aca="false">CG17*0+0</f>
        <v>0</v>
      </c>
      <c r="CJ17" s="55" t="n">
        <f aca="false">CG17+CI17</f>
        <v>8663</v>
      </c>
      <c r="CK17" s="59" t="n">
        <f aca="false">IF(CG17&gt;0,CI17/CG17,0)</f>
        <v>0</v>
      </c>
      <c r="CL17" s="60" t="n">
        <f aca="false">2_Market_Gross_USD!J15</f>
        <v>8663</v>
      </c>
      <c r="CM17" s="53" t="n">
        <f aca="false">CL17*(1-0.3697)</f>
        <v>5460.2889</v>
      </c>
      <c r="CN17" s="58" t="n">
        <f aca="false">CL17*0.2+500</f>
        <v>2232.6</v>
      </c>
      <c r="CO17" s="55" t="n">
        <f aca="false">CL17+CN17</f>
        <v>10895.6</v>
      </c>
      <c r="CP17" s="59" t="n">
        <f aca="false">IF(CL17&gt;0,CN17/CL17,0)</f>
        <v>0.257716726307284</v>
      </c>
      <c r="CQ17" s="60" t="n">
        <f aca="false">2_Market_Gross_USD!K15</f>
        <v>4564</v>
      </c>
      <c r="CR17" s="53" t="n">
        <f aca="false">CQ17*(1-0.26)</f>
        <v>3377.36</v>
      </c>
      <c r="CS17" s="58" t="n">
        <f aca="false">CQ17*0.338+0</f>
        <v>1542.632</v>
      </c>
      <c r="CT17" s="55" t="n">
        <f aca="false">CQ17+CS17</f>
        <v>6106.632</v>
      </c>
      <c r="CU17" s="59" t="n">
        <f aca="false">IF(CQ17&gt;0,CS17/CQ17,0)</f>
        <v>0.338</v>
      </c>
      <c r="CV17" s="60" t="n">
        <f aca="false">2_Market_Gross_USD!K15</f>
        <v>4564</v>
      </c>
      <c r="CW17" s="53" t="n">
        <f aca="false">CV17*(1-0.15)</f>
        <v>3879.4</v>
      </c>
      <c r="CX17" s="58" t="n">
        <f aca="false">CV17*0+0</f>
        <v>0</v>
      </c>
      <c r="CY17" s="55" t="n">
        <f aca="false">CV17+CX17</f>
        <v>4564</v>
      </c>
      <c r="CZ17" s="59" t="n">
        <f aca="false">IF(CV17&gt;0,CX17/CV17,0)</f>
        <v>0</v>
      </c>
      <c r="DA17" s="60" t="n">
        <f aca="false">2_Market_Gross_USD!K15</f>
        <v>4564</v>
      </c>
      <c r="DB17" s="53" t="n">
        <f aca="false">DA17*(1-0.26)</f>
        <v>3377.36</v>
      </c>
      <c r="DC17" s="58" t="n">
        <f aca="false">DA17*0.338+500</f>
        <v>2042.632</v>
      </c>
      <c r="DD17" s="55" t="n">
        <f aca="false">DA17+DC17</f>
        <v>6606.632</v>
      </c>
      <c r="DE17" s="59" t="n">
        <f aca="false">IF(DA17&gt;0,DC17/DA17,0)</f>
        <v>0.447553023663453</v>
      </c>
      <c r="DF17" s="60" t="n">
        <f aca="false">2_Market_Gross_USD!L15</f>
        <v>5650</v>
      </c>
      <c r="DG17" s="53" t="n">
        <f aca="false">DF17*(1-0.34)</f>
        <v>3729</v>
      </c>
      <c r="DH17" s="58" t="n">
        <f aca="false">DF17*0.2375+0</f>
        <v>1341.875</v>
      </c>
      <c r="DI17" s="55" t="n">
        <f aca="false">DF17+DH17</f>
        <v>6991.875</v>
      </c>
      <c r="DJ17" s="59" t="n">
        <f aca="false">IF(DF17&gt;0,DH17/DF17,0)</f>
        <v>0.2375</v>
      </c>
      <c r="DK17" s="60" t="n">
        <f aca="false">2_Market_Gross_USD!L15</f>
        <v>5650</v>
      </c>
      <c r="DL17" s="53" t="n">
        <f aca="false">DK17*(1-0.2)</f>
        <v>4520</v>
      </c>
      <c r="DM17" s="58" t="n">
        <f aca="false">DK17*0+0</f>
        <v>0</v>
      </c>
      <c r="DN17" s="55" t="n">
        <f aca="false">DK17+DM17</f>
        <v>5650</v>
      </c>
      <c r="DO17" s="59" t="n">
        <f aca="false">IF(DK17&gt;0,DM17/DK17,0)</f>
        <v>0</v>
      </c>
      <c r="DP17" s="60" t="n">
        <f aca="false">2_Market_Gross_USD!L15</f>
        <v>5650</v>
      </c>
      <c r="DQ17" s="53" t="n">
        <f aca="false">DP17*(1-0.34)</f>
        <v>3729</v>
      </c>
      <c r="DR17" s="58" t="n">
        <f aca="false">DP17*0.2375+500</f>
        <v>1841.875</v>
      </c>
      <c r="DS17" s="55" t="n">
        <f aca="false">DP17+DR17</f>
        <v>7491.875</v>
      </c>
      <c r="DT17" s="59" t="n">
        <f aca="false">IF(DP17&gt;0,DR17/DP17,0)</f>
        <v>0.325995575221239</v>
      </c>
      <c r="DU17" s="60" t="n">
        <f aca="false">2_Market_Gross_USD!M15</f>
        <v>3733</v>
      </c>
      <c r="DV17" s="53" t="n">
        <f aca="false">DU17*0.65</f>
        <v>2426.45</v>
      </c>
      <c r="DW17" s="58" t="n">
        <f aca="false">DU17*0.0225+0</f>
        <v>83.9925</v>
      </c>
      <c r="DX17" s="55" t="n">
        <f aca="false">DU17+DW17</f>
        <v>3816.9925</v>
      </c>
      <c r="DY17" s="59" t="n">
        <f aca="false">IF(DU17&gt;0,DW17/DU17,0)</f>
        <v>0.0225</v>
      </c>
      <c r="DZ17" s="60" t="n">
        <f aca="false">2_Market_Gross_USD!M15</f>
        <v>3733</v>
      </c>
      <c r="EA17" s="53" t="n">
        <f aca="false">DZ17*(1-0.01)</f>
        <v>3695.67</v>
      </c>
      <c r="EB17" s="58" t="n">
        <f aca="false">DZ17*0+0</f>
        <v>0</v>
      </c>
      <c r="EC17" s="55" t="n">
        <f aca="false">DZ17+EB17</f>
        <v>3733</v>
      </c>
      <c r="ED17" s="59" t="n">
        <f aca="false">IF(DZ17&gt;0,EB17/DZ17,0)</f>
        <v>0</v>
      </c>
      <c r="EE17" s="60" t="n">
        <f aca="false">2_Market_Gross_USD!M15</f>
        <v>3733</v>
      </c>
      <c r="EF17" s="53" t="n">
        <f aca="false">EE17*0.65</f>
        <v>2426.45</v>
      </c>
      <c r="EG17" s="58" t="n">
        <f aca="false">EE17*0.0225+500</f>
        <v>583.9925</v>
      </c>
      <c r="EH17" s="55" t="n">
        <f aca="false">EE17+EG17</f>
        <v>4316.9925</v>
      </c>
      <c r="EI17" s="59" t="n">
        <f aca="false">IF(EE17&gt;0,EG17/EE17,0)</f>
        <v>0.1564405304045</v>
      </c>
    </row>
    <row r="18" customFormat="false" ht="15" hidden="false" customHeight="false" outlineLevel="0" collapsed="false">
      <c r="A18" s="37" t="n">
        <v>13</v>
      </c>
      <c r="B18" s="32" t="s">
        <v>253</v>
      </c>
      <c r="C18" s="32" t="s">
        <v>256</v>
      </c>
      <c r="D18" s="38" t="s">
        <v>248</v>
      </c>
      <c r="E18" s="52" t="n">
        <f aca="false">2_Market_Gross_USD!E16</f>
        <v>1250</v>
      </c>
      <c r="F18" s="53" t="n">
        <f aca="false">E18*(1-0.065)</f>
        <v>1168.75</v>
      </c>
      <c r="G18" s="54" t="n">
        <f aca="false">E18*0+35</f>
        <v>35</v>
      </c>
      <c r="H18" s="55" t="n">
        <f aca="false">E18+G18</f>
        <v>1285</v>
      </c>
      <c r="I18" s="56" t="n">
        <f aca="false">IF(E18&gt;0,G18/E18,0)</f>
        <v>0.028</v>
      </c>
      <c r="J18" s="52" t="n">
        <f aca="false">2_Market_Gross_USD!E16</f>
        <v>1250</v>
      </c>
      <c r="K18" s="53" t="n">
        <f aca="false">J18*(1-0.065)</f>
        <v>1168.75</v>
      </c>
      <c r="L18" s="54" t="n">
        <f aca="false">J18*0+40</f>
        <v>40</v>
      </c>
      <c r="M18" s="55" t="n">
        <f aca="false">J18+L18</f>
        <v>1290</v>
      </c>
      <c r="N18" s="56" t="n">
        <f aca="false">IF(J18&gt;0,L18/J18,0)</f>
        <v>0.032</v>
      </c>
      <c r="O18" s="52" t="n">
        <f aca="false">2_Market_Gross_USD!E16</f>
        <v>1250</v>
      </c>
      <c r="P18" s="53" t="n">
        <f aca="false">O18*(1-0.195)</f>
        <v>1006.25</v>
      </c>
      <c r="Q18" s="54" t="n">
        <f aca="false">IF(O18&gt;=3886,3886*0.22,O18*0.22)</f>
        <v>275</v>
      </c>
      <c r="R18" s="55" t="n">
        <f aca="false">O18+Q18</f>
        <v>1525</v>
      </c>
      <c r="S18" s="56" t="n">
        <f aca="false">IF(O18&gt;0,Q18/O18,0)</f>
        <v>0.22</v>
      </c>
      <c r="T18" s="57" t="n">
        <f aca="false">2_Market_Gross_USD!F16</f>
        <v>3315</v>
      </c>
      <c r="U18" s="53" t="n">
        <f aca="false">T18*(1-0.2571)</f>
        <v>2462.7135</v>
      </c>
      <c r="V18" s="54" t="n">
        <f aca="false">T18*0.2038+0</f>
        <v>675.597</v>
      </c>
      <c r="W18" s="55" t="n">
        <f aca="false">T18+V18</f>
        <v>3990.597</v>
      </c>
      <c r="X18" s="56" t="n">
        <f aca="false">IF(T18&gt;0,V18/T18,0)</f>
        <v>0.2038</v>
      </c>
      <c r="Y18" s="57" t="n">
        <f aca="false">2_Market_Gross_USD!F16</f>
        <v>3315</v>
      </c>
      <c r="Z18" s="53" t="n">
        <f aca="false">Y18*(1-0.12)</f>
        <v>2917.2</v>
      </c>
      <c r="AA18" s="54" t="n">
        <f aca="false">Y18*0+0</f>
        <v>0</v>
      </c>
      <c r="AB18" s="55" t="n">
        <f aca="false">Y18+AA18</f>
        <v>3315</v>
      </c>
      <c r="AC18" s="56" t="n">
        <f aca="false">IF(Y18&gt;0,AA18/Y18,0)</f>
        <v>0</v>
      </c>
      <c r="AD18" s="57" t="n">
        <f aca="false">2_Market_Gross_USD!F16</f>
        <v>3315</v>
      </c>
      <c r="AE18" s="53" t="n">
        <f aca="false">AD18*(1-0.2571)</f>
        <v>2462.7135</v>
      </c>
      <c r="AF18" s="54" t="n">
        <f aca="false">AD18*0.2038+500</f>
        <v>1175.597</v>
      </c>
      <c r="AG18" s="55" t="n">
        <f aca="false">AD18+AF18</f>
        <v>4490.597</v>
      </c>
      <c r="AH18" s="56" t="n">
        <f aca="false">IF(AD18&gt;0,AF18/AD18,0)</f>
        <v>0.354629562594269</v>
      </c>
      <c r="AI18" s="57" t="n">
        <f aca="false">2_Market_Gross_USD!G16</f>
        <v>4498</v>
      </c>
      <c r="AJ18" s="53" t="n">
        <f aca="false">AI18*(1-0.28)</f>
        <v>3238.56</v>
      </c>
      <c r="AK18" s="54" t="n">
        <f aca="false">AI18*0.15+0</f>
        <v>674.7</v>
      </c>
      <c r="AL18" s="55" t="n">
        <f aca="false">AI18+AK18</f>
        <v>5172.7</v>
      </c>
      <c r="AM18" s="56" t="n">
        <f aca="false">IF(AI18&gt;0,AK18/AI18,0)</f>
        <v>0.15</v>
      </c>
      <c r="AN18" s="57" t="n">
        <f aca="false">2_Market_Gross_USD!G16</f>
        <v>4498</v>
      </c>
      <c r="AO18" s="53" t="n">
        <f aca="false">AN18*(1-0.19)</f>
        <v>3643.38</v>
      </c>
      <c r="AP18" s="54" t="n">
        <f aca="false">AN18*0+0</f>
        <v>0</v>
      </c>
      <c r="AQ18" s="55" t="n">
        <f aca="false">AN18+AP18</f>
        <v>4498</v>
      </c>
      <c r="AR18" s="56" t="n">
        <f aca="false">IF(AN18&gt;0,AP18/AN18,0)</f>
        <v>0</v>
      </c>
      <c r="AS18" s="57" t="n">
        <f aca="false">2_Market_Gross_USD!G16</f>
        <v>4498</v>
      </c>
      <c r="AT18" s="53" t="n">
        <f aca="false">AS18*(1-0.28)</f>
        <v>3238.56</v>
      </c>
      <c r="AU18" s="54" t="n">
        <f aca="false">AS18*0.15+500</f>
        <v>1174.7</v>
      </c>
      <c r="AV18" s="55" t="n">
        <f aca="false">AS18+AU18</f>
        <v>5672.7</v>
      </c>
      <c r="AW18" s="56" t="n">
        <f aca="false">IF(AS18&gt;0,AU18/AS18,0)</f>
        <v>0.261160515784793</v>
      </c>
      <c r="AX18" s="57" t="n">
        <f aca="false">2_Market_Gross_USD!H16</f>
        <v>9000</v>
      </c>
      <c r="AY18" s="53" t="n">
        <f aca="false">AX18*(1-0.2965)</f>
        <v>6331.5</v>
      </c>
      <c r="AZ18" s="54" t="n">
        <f aca="false">AX18*0.11+0</f>
        <v>990</v>
      </c>
      <c r="BA18" s="55" t="n">
        <f aca="false">AX18+AZ18</f>
        <v>9990</v>
      </c>
      <c r="BB18" s="56" t="n">
        <f aca="false">IF(AX18&gt;0,AZ18/AX18,0)</f>
        <v>0.11</v>
      </c>
      <c r="BC18" s="57" t="n">
        <f aca="false">2_Market_Gross_USD!H16</f>
        <v>9000</v>
      </c>
      <c r="BD18" s="53" t="n">
        <f aca="false">BC18*(1-0.373)</f>
        <v>5643</v>
      </c>
      <c r="BE18" s="54" t="n">
        <f aca="false">BC18*0+0</f>
        <v>0</v>
      </c>
      <c r="BF18" s="55" t="n">
        <f aca="false">BC18+BE18</f>
        <v>9000</v>
      </c>
      <c r="BG18" s="56" t="n">
        <f aca="false">IF(BC18&gt;0,BE18/BC18,0)</f>
        <v>0</v>
      </c>
      <c r="BH18" s="57" t="n">
        <f aca="false">2_Market_Gross_USD!H16</f>
        <v>9000</v>
      </c>
      <c r="BI18" s="53" t="n">
        <f aca="false">BH18*(1-0.2965)</f>
        <v>6331.5</v>
      </c>
      <c r="BJ18" s="54" t="n">
        <f aca="false">BH18*0.11+500</f>
        <v>1490</v>
      </c>
      <c r="BK18" s="55" t="n">
        <f aca="false">BH18+BJ18</f>
        <v>10490</v>
      </c>
      <c r="BL18" s="56" t="n">
        <f aca="false">IF(BH18&gt;0,BJ18/BH18,0)</f>
        <v>0.165555555555556</v>
      </c>
      <c r="BM18" s="57" t="n">
        <f aca="false">2_Market_Gross_USD!I16</f>
        <v>4991</v>
      </c>
      <c r="BN18" s="53" t="n">
        <f aca="false">BM18*(1-0.4785)</f>
        <v>2602.8065</v>
      </c>
      <c r="BO18" s="54" t="n">
        <f aca="false">BM18*0.21+0</f>
        <v>1048.11</v>
      </c>
      <c r="BP18" s="55" t="n">
        <f aca="false">BM18+BO18</f>
        <v>6039.11</v>
      </c>
      <c r="BQ18" s="56" t="n">
        <f aca="false">IF(BM18&gt;0,BO18/BM18,0)</f>
        <v>0.21</v>
      </c>
      <c r="BR18" s="57" t="n">
        <f aca="false">2_Market_Gross_USD!I16</f>
        <v>4991</v>
      </c>
      <c r="BS18" s="53" t="n">
        <f aca="false">BR18*(1-0.25)</f>
        <v>3743.25</v>
      </c>
      <c r="BT18" s="54" t="n">
        <f aca="false">BR18*0+0</f>
        <v>0</v>
      </c>
      <c r="BU18" s="55" t="n">
        <f aca="false">BR18+BT18</f>
        <v>4991</v>
      </c>
      <c r="BV18" s="56" t="n">
        <f aca="false">IF(BR18&gt;0,BT18/BR18,0)</f>
        <v>0</v>
      </c>
      <c r="BW18" s="57" t="n">
        <f aca="false">2_Market_Gross_USD!I16</f>
        <v>4991</v>
      </c>
      <c r="BX18" s="53" t="n">
        <f aca="false">BW18*(1-0.4785)</f>
        <v>2602.8065</v>
      </c>
      <c r="BY18" s="54" t="n">
        <f aca="false">BW18*0.21+500</f>
        <v>1548.11</v>
      </c>
      <c r="BZ18" s="55" t="n">
        <f aca="false">BW18+BY18</f>
        <v>6539.11</v>
      </c>
      <c r="CA18" s="56" t="n">
        <f aca="false">IF(BW18&gt;0,BY18/BW18,0)</f>
        <v>0.310180324584252</v>
      </c>
      <c r="CB18" s="57" t="n">
        <f aca="false">2_Market_Gross_USD!J16</f>
        <v>5461</v>
      </c>
      <c r="CC18" s="53" t="n">
        <f aca="false">CB18*(1-0.3697)</f>
        <v>3442.0683</v>
      </c>
      <c r="CD18" s="54" t="n">
        <f aca="false">CB18*0.2+0</f>
        <v>1092.2</v>
      </c>
      <c r="CE18" s="55" t="n">
        <f aca="false">CB18+CD18</f>
        <v>6553.2</v>
      </c>
      <c r="CF18" s="56" t="n">
        <f aca="false">IF(CB18&gt;0,CD18/CB18,0)</f>
        <v>0.2</v>
      </c>
      <c r="CG18" s="57" t="n">
        <f aca="false">2_Market_Gross_USD!J16</f>
        <v>5461</v>
      </c>
      <c r="CH18" s="53" t="n">
        <f aca="false">CG18*(1-0.3697)</f>
        <v>3442.0683</v>
      </c>
      <c r="CI18" s="54" t="n">
        <f aca="false">CG18*0+0</f>
        <v>0</v>
      </c>
      <c r="CJ18" s="55" t="n">
        <f aca="false">CG18+CI18</f>
        <v>5461</v>
      </c>
      <c r="CK18" s="56" t="n">
        <f aca="false">IF(CG18&gt;0,CI18/CG18,0)</f>
        <v>0</v>
      </c>
      <c r="CL18" s="57" t="n">
        <f aca="false">2_Market_Gross_USD!J16</f>
        <v>5461</v>
      </c>
      <c r="CM18" s="53" t="n">
        <f aca="false">CL18*(1-0.3697)</f>
        <v>3442.0683</v>
      </c>
      <c r="CN18" s="54" t="n">
        <f aca="false">CL18*0.2+500</f>
        <v>1592.2</v>
      </c>
      <c r="CO18" s="55" t="n">
        <f aca="false">CL18+CN18</f>
        <v>7053.2</v>
      </c>
      <c r="CP18" s="56" t="n">
        <f aca="false">IF(CL18&gt;0,CN18/CL18,0)</f>
        <v>0.291558322651529</v>
      </c>
      <c r="CQ18" s="57" t="n">
        <f aca="false">2_Market_Gross_USD!K16</f>
        <v>2561</v>
      </c>
      <c r="CR18" s="53" t="n">
        <f aca="false">CQ18*(1-0.26)</f>
        <v>1895.14</v>
      </c>
      <c r="CS18" s="54" t="n">
        <f aca="false">CQ18*0.338+0</f>
        <v>865.618</v>
      </c>
      <c r="CT18" s="55" t="n">
        <f aca="false">CQ18+CS18</f>
        <v>3426.618</v>
      </c>
      <c r="CU18" s="56" t="n">
        <f aca="false">IF(CQ18&gt;0,CS18/CQ18,0)</f>
        <v>0.338</v>
      </c>
      <c r="CV18" s="57" t="n">
        <f aca="false">2_Market_Gross_USD!K16</f>
        <v>2561</v>
      </c>
      <c r="CW18" s="53" t="n">
        <f aca="false">CV18*(1-0.15)</f>
        <v>2176.85</v>
      </c>
      <c r="CX18" s="54" t="n">
        <f aca="false">CV18*0+0</f>
        <v>0</v>
      </c>
      <c r="CY18" s="55" t="n">
        <f aca="false">CV18+CX18</f>
        <v>2561</v>
      </c>
      <c r="CZ18" s="56" t="n">
        <f aca="false">IF(CV18&gt;0,CX18/CV18,0)</f>
        <v>0</v>
      </c>
      <c r="DA18" s="57" t="n">
        <f aca="false">2_Market_Gross_USD!K16</f>
        <v>2561</v>
      </c>
      <c r="DB18" s="53" t="n">
        <f aca="false">DA18*(1-0.26)</f>
        <v>1895.14</v>
      </c>
      <c r="DC18" s="54" t="n">
        <f aca="false">DA18*0.338+500</f>
        <v>1365.618</v>
      </c>
      <c r="DD18" s="55" t="n">
        <f aca="false">DA18+DC18</f>
        <v>3926.618</v>
      </c>
      <c r="DE18" s="56" t="n">
        <f aca="false">IF(DA18&gt;0,DC18/DA18,0)</f>
        <v>0.533236235845373</v>
      </c>
      <c r="DF18" s="57" t="n">
        <f aca="false">2_Market_Gross_USD!L16</f>
        <v>3390</v>
      </c>
      <c r="DG18" s="53" t="n">
        <f aca="false">DF18*(1-0.34)</f>
        <v>2237.4</v>
      </c>
      <c r="DH18" s="54" t="n">
        <f aca="false">DF18*0.2375+0</f>
        <v>805.125</v>
      </c>
      <c r="DI18" s="55" t="n">
        <f aca="false">DF18+DH18</f>
        <v>4195.125</v>
      </c>
      <c r="DJ18" s="56" t="n">
        <f aca="false">IF(DF18&gt;0,DH18/DF18,0)</f>
        <v>0.2375</v>
      </c>
      <c r="DK18" s="57" t="n">
        <f aca="false">2_Market_Gross_USD!L16</f>
        <v>3390</v>
      </c>
      <c r="DL18" s="53" t="n">
        <f aca="false">DK18*(1-0.2)</f>
        <v>2712</v>
      </c>
      <c r="DM18" s="54" t="n">
        <f aca="false">DK18*0+0</f>
        <v>0</v>
      </c>
      <c r="DN18" s="55" t="n">
        <f aca="false">DK18+DM18</f>
        <v>3390</v>
      </c>
      <c r="DO18" s="56" t="n">
        <f aca="false">IF(DK18&gt;0,DM18/DK18,0)</f>
        <v>0</v>
      </c>
      <c r="DP18" s="57" t="n">
        <f aca="false">2_Market_Gross_USD!L16</f>
        <v>3390</v>
      </c>
      <c r="DQ18" s="53" t="n">
        <f aca="false">DP18*(1-0.34)</f>
        <v>2237.4</v>
      </c>
      <c r="DR18" s="54" t="n">
        <f aca="false">DP18*0.2375+500</f>
        <v>1305.125</v>
      </c>
      <c r="DS18" s="55" t="n">
        <f aca="false">DP18+DR18</f>
        <v>4695.125</v>
      </c>
      <c r="DT18" s="56" t="n">
        <f aca="false">IF(DP18&gt;0,DR18/DP18,0)</f>
        <v>0.384992625368732</v>
      </c>
      <c r="DU18" s="57" t="n">
        <f aca="false">2_Market_Gross_USD!M16</f>
        <v>2083</v>
      </c>
      <c r="DV18" s="53" t="n">
        <f aca="false">DU18*0.65</f>
        <v>1353.95</v>
      </c>
      <c r="DW18" s="54" t="n">
        <f aca="false">DU18*0.0225+0</f>
        <v>46.8675</v>
      </c>
      <c r="DX18" s="55" t="n">
        <f aca="false">DU18+DW18</f>
        <v>2129.8675</v>
      </c>
      <c r="DY18" s="56" t="n">
        <f aca="false">IF(DU18&gt;0,DW18/DU18,0)</f>
        <v>0.0225</v>
      </c>
      <c r="DZ18" s="57" t="n">
        <f aca="false">2_Market_Gross_USD!M16</f>
        <v>2083</v>
      </c>
      <c r="EA18" s="53" t="n">
        <f aca="false">DZ18*(1-0.01)</f>
        <v>2062.17</v>
      </c>
      <c r="EB18" s="54" t="n">
        <f aca="false">DZ18*0+0</f>
        <v>0</v>
      </c>
      <c r="EC18" s="55" t="n">
        <f aca="false">DZ18+EB18</f>
        <v>2083</v>
      </c>
      <c r="ED18" s="56" t="n">
        <f aca="false">IF(DZ18&gt;0,EB18/DZ18,0)</f>
        <v>0</v>
      </c>
      <c r="EE18" s="57" t="n">
        <f aca="false">2_Market_Gross_USD!M16</f>
        <v>2083</v>
      </c>
      <c r="EF18" s="53" t="n">
        <f aca="false">EE18*0.65</f>
        <v>1353.95</v>
      </c>
      <c r="EG18" s="54" t="n">
        <f aca="false">EE18*0.0225+500</f>
        <v>546.8675</v>
      </c>
      <c r="EH18" s="55" t="n">
        <f aca="false">EE18+EG18</f>
        <v>2629.8675</v>
      </c>
      <c r="EI18" s="56" t="n">
        <f aca="false">IF(EE18&gt;0,EG18/EE18,0)</f>
        <v>0.262538406144983</v>
      </c>
    </row>
    <row r="19" customFormat="false" ht="15" hidden="false" customHeight="false" outlineLevel="0" collapsed="false">
      <c r="A19" s="41" t="n">
        <v>14</v>
      </c>
      <c r="B19" s="28" t="s">
        <v>253</v>
      </c>
      <c r="C19" s="8" t="s">
        <v>256</v>
      </c>
      <c r="D19" s="42" t="s">
        <v>249</v>
      </c>
      <c r="E19" s="52" t="n">
        <f aca="false">2_Market_Gross_USD!E17</f>
        <v>3250</v>
      </c>
      <c r="F19" s="53" t="n">
        <f aca="false">E19*(1-0.065)</f>
        <v>3038.75</v>
      </c>
      <c r="G19" s="58" t="n">
        <f aca="false">E19*0+35</f>
        <v>35</v>
      </c>
      <c r="H19" s="55" t="n">
        <f aca="false">E19+G19</f>
        <v>3285</v>
      </c>
      <c r="I19" s="59" t="n">
        <f aca="false">IF(E19&gt;0,G19/E19,0)</f>
        <v>0.0107692307692308</v>
      </c>
      <c r="J19" s="52" t="n">
        <f aca="false">2_Market_Gross_USD!E17</f>
        <v>3250</v>
      </c>
      <c r="K19" s="53" t="n">
        <f aca="false">J19*(1-0.065)</f>
        <v>3038.75</v>
      </c>
      <c r="L19" s="58" t="n">
        <f aca="false">J19*0+40</f>
        <v>40</v>
      </c>
      <c r="M19" s="55" t="n">
        <f aca="false">J19+L19</f>
        <v>3290</v>
      </c>
      <c r="N19" s="59" t="n">
        <f aca="false">IF(J19&gt;0,L19/J19,0)</f>
        <v>0.0123076923076923</v>
      </c>
      <c r="O19" s="52" t="n">
        <f aca="false">2_Market_Gross_USD!E17</f>
        <v>3250</v>
      </c>
      <c r="P19" s="53" t="n">
        <f aca="false">O19*(1-0.195)</f>
        <v>2616.25</v>
      </c>
      <c r="Q19" s="58" t="n">
        <f aca="false">IF(O19&gt;=3886,3886*0.22,O19*0.22)</f>
        <v>715</v>
      </c>
      <c r="R19" s="55" t="n">
        <f aca="false">O19+Q19</f>
        <v>3965</v>
      </c>
      <c r="S19" s="59" t="n">
        <f aca="false">IF(O19&gt;0,Q19/O19,0)</f>
        <v>0.22</v>
      </c>
      <c r="T19" s="60" t="n">
        <f aca="false">2_Market_Gross_USD!F17</f>
        <v>5100</v>
      </c>
      <c r="U19" s="53" t="n">
        <f aca="false">T19*(1-0.2571)</f>
        <v>3788.79</v>
      </c>
      <c r="V19" s="58" t="n">
        <f aca="false">T19*0.2038+0</f>
        <v>1039.38</v>
      </c>
      <c r="W19" s="55" t="n">
        <f aca="false">T19+V19</f>
        <v>6139.38</v>
      </c>
      <c r="X19" s="59" t="n">
        <f aca="false">IF(T19&gt;0,V19/T19,0)</f>
        <v>0.2038</v>
      </c>
      <c r="Y19" s="60" t="n">
        <f aca="false">2_Market_Gross_USD!F17</f>
        <v>5100</v>
      </c>
      <c r="Z19" s="53" t="n">
        <f aca="false">Y19*(1-0.12)</f>
        <v>4488</v>
      </c>
      <c r="AA19" s="58" t="n">
        <f aca="false">Y19*0+0</f>
        <v>0</v>
      </c>
      <c r="AB19" s="55" t="n">
        <f aca="false">Y19+AA19</f>
        <v>5100</v>
      </c>
      <c r="AC19" s="59" t="n">
        <f aca="false">IF(Y19&gt;0,AA19/Y19,0)</f>
        <v>0</v>
      </c>
      <c r="AD19" s="60" t="n">
        <f aca="false">2_Market_Gross_USD!F17</f>
        <v>5100</v>
      </c>
      <c r="AE19" s="53" t="n">
        <f aca="false">AD19*(1-0.2571)</f>
        <v>3788.79</v>
      </c>
      <c r="AF19" s="58" t="n">
        <f aca="false">AD19*0.2038+500</f>
        <v>1539.38</v>
      </c>
      <c r="AG19" s="55" t="n">
        <f aca="false">AD19+AF19</f>
        <v>6639.38</v>
      </c>
      <c r="AH19" s="59" t="n">
        <f aca="false">IF(AD19&gt;0,AF19/AD19,0)</f>
        <v>0.301839215686275</v>
      </c>
      <c r="AI19" s="60" t="n">
        <f aca="false">2_Market_Gross_USD!G17</f>
        <v>6350</v>
      </c>
      <c r="AJ19" s="53" t="n">
        <f aca="false">AI19*(1-0.28)</f>
        <v>4572</v>
      </c>
      <c r="AK19" s="58" t="n">
        <f aca="false">AI19*0.15+0</f>
        <v>952.5</v>
      </c>
      <c r="AL19" s="55" t="n">
        <f aca="false">AI19+AK19</f>
        <v>7302.5</v>
      </c>
      <c r="AM19" s="59" t="n">
        <f aca="false">IF(AI19&gt;0,AK19/AI19,0)</f>
        <v>0.15</v>
      </c>
      <c r="AN19" s="60" t="n">
        <f aca="false">2_Market_Gross_USD!G17</f>
        <v>6350</v>
      </c>
      <c r="AO19" s="53" t="n">
        <f aca="false">AN19*(1-0.19)</f>
        <v>5143.5</v>
      </c>
      <c r="AP19" s="58" t="n">
        <f aca="false">AN19*0+0</f>
        <v>0</v>
      </c>
      <c r="AQ19" s="55" t="n">
        <f aca="false">AN19+AP19</f>
        <v>6350</v>
      </c>
      <c r="AR19" s="59" t="n">
        <f aca="false">IF(AN19&gt;0,AP19/AN19,0)</f>
        <v>0</v>
      </c>
      <c r="AS19" s="60" t="n">
        <f aca="false">2_Market_Gross_USD!G17</f>
        <v>6350</v>
      </c>
      <c r="AT19" s="53" t="n">
        <f aca="false">AS19*(1-0.28)</f>
        <v>4572</v>
      </c>
      <c r="AU19" s="58" t="n">
        <f aca="false">AS19*0.15+500</f>
        <v>1452.5</v>
      </c>
      <c r="AV19" s="55" t="n">
        <f aca="false">AS19+AU19</f>
        <v>7802.5</v>
      </c>
      <c r="AW19" s="59" t="n">
        <f aca="false">IF(AS19&gt;0,AU19/AS19,0)</f>
        <v>0.228740157480315</v>
      </c>
      <c r="AX19" s="60" t="n">
        <f aca="false">2_Market_Gross_USD!H17</f>
        <v>11050</v>
      </c>
      <c r="AY19" s="53" t="n">
        <f aca="false">AX19*(1-0.2965)</f>
        <v>7773.675</v>
      </c>
      <c r="AZ19" s="58" t="n">
        <f aca="false">AX19*0.11+0</f>
        <v>1215.5</v>
      </c>
      <c r="BA19" s="55" t="n">
        <f aca="false">AX19+AZ19</f>
        <v>12265.5</v>
      </c>
      <c r="BB19" s="59" t="n">
        <f aca="false">IF(AX19&gt;0,AZ19/AX19,0)</f>
        <v>0.11</v>
      </c>
      <c r="BC19" s="60" t="n">
        <f aca="false">2_Market_Gross_USD!H17</f>
        <v>11050</v>
      </c>
      <c r="BD19" s="53" t="n">
        <f aca="false">BC19*(1-0.373)</f>
        <v>6928.35</v>
      </c>
      <c r="BE19" s="58" t="n">
        <f aca="false">BC19*0+0</f>
        <v>0</v>
      </c>
      <c r="BF19" s="55" t="n">
        <f aca="false">BC19+BE19</f>
        <v>11050</v>
      </c>
      <c r="BG19" s="59" t="n">
        <f aca="false">IF(BC19&gt;0,BE19/BC19,0)</f>
        <v>0</v>
      </c>
      <c r="BH19" s="60" t="n">
        <f aca="false">2_Market_Gross_USD!H17</f>
        <v>11050</v>
      </c>
      <c r="BI19" s="53" t="n">
        <f aca="false">BH19*(1-0.2965)</f>
        <v>7773.675</v>
      </c>
      <c r="BJ19" s="58" t="n">
        <f aca="false">BH19*0.11+500</f>
        <v>1715.5</v>
      </c>
      <c r="BK19" s="55" t="n">
        <f aca="false">BH19+BJ19</f>
        <v>12765.5</v>
      </c>
      <c r="BL19" s="59" t="n">
        <f aca="false">IF(BH19&gt;0,BJ19/BH19,0)</f>
        <v>0.155248868778281</v>
      </c>
      <c r="BM19" s="60" t="n">
        <f aca="false">2_Market_Gross_USD!I17</f>
        <v>7063</v>
      </c>
      <c r="BN19" s="53" t="n">
        <f aca="false">BM19*(1-0.4785)</f>
        <v>3683.3545</v>
      </c>
      <c r="BO19" s="58" t="n">
        <f aca="false">BM19*0.21+0</f>
        <v>1483.23</v>
      </c>
      <c r="BP19" s="55" t="n">
        <f aca="false">BM19+BO19</f>
        <v>8546.23</v>
      </c>
      <c r="BQ19" s="59" t="n">
        <f aca="false">IF(BM19&gt;0,BO19/BM19,0)</f>
        <v>0.21</v>
      </c>
      <c r="BR19" s="60" t="n">
        <f aca="false">2_Market_Gross_USD!I17</f>
        <v>7063</v>
      </c>
      <c r="BS19" s="53" t="n">
        <f aca="false">BR19*(1-0.25)</f>
        <v>5297.25</v>
      </c>
      <c r="BT19" s="58" t="n">
        <f aca="false">BR19*0+0</f>
        <v>0</v>
      </c>
      <c r="BU19" s="55" t="n">
        <f aca="false">BR19+BT19</f>
        <v>7063</v>
      </c>
      <c r="BV19" s="59" t="n">
        <f aca="false">IF(BR19&gt;0,BT19/BR19,0)</f>
        <v>0</v>
      </c>
      <c r="BW19" s="60" t="n">
        <f aca="false">2_Market_Gross_USD!I17</f>
        <v>7063</v>
      </c>
      <c r="BX19" s="53" t="n">
        <f aca="false">BW19*(1-0.4785)</f>
        <v>3683.3545</v>
      </c>
      <c r="BY19" s="58" t="n">
        <f aca="false">BW19*0.21+500</f>
        <v>1983.23</v>
      </c>
      <c r="BZ19" s="55" t="n">
        <f aca="false">BW19+BY19</f>
        <v>9046.23</v>
      </c>
      <c r="CA19" s="59" t="n">
        <f aca="false">IF(BW19&gt;0,BY19/BW19,0)</f>
        <v>0.280791448393034</v>
      </c>
      <c r="CB19" s="60" t="n">
        <f aca="false">2_Market_Gross_USD!J17</f>
        <v>7721</v>
      </c>
      <c r="CC19" s="53" t="n">
        <f aca="false">CB19*(1-0.3697)</f>
        <v>4866.5463</v>
      </c>
      <c r="CD19" s="58" t="n">
        <f aca="false">CB19*0.2+0</f>
        <v>1544.2</v>
      </c>
      <c r="CE19" s="55" t="n">
        <f aca="false">CB19+CD19</f>
        <v>9265.2</v>
      </c>
      <c r="CF19" s="59" t="n">
        <f aca="false">IF(CB19&gt;0,CD19/CB19,0)</f>
        <v>0.2</v>
      </c>
      <c r="CG19" s="60" t="n">
        <f aca="false">2_Market_Gross_USD!J17</f>
        <v>7721</v>
      </c>
      <c r="CH19" s="53" t="n">
        <f aca="false">CG19*(1-0.3697)</f>
        <v>4866.5463</v>
      </c>
      <c r="CI19" s="58" t="n">
        <f aca="false">CG19*0+0</f>
        <v>0</v>
      </c>
      <c r="CJ19" s="55" t="n">
        <f aca="false">CG19+CI19</f>
        <v>7721</v>
      </c>
      <c r="CK19" s="59" t="n">
        <f aca="false">IF(CG19&gt;0,CI19/CG19,0)</f>
        <v>0</v>
      </c>
      <c r="CL19" s="60" t="n">
        <f aca="false">2_Market_Gross_USD!J17</f>
        <v>7721</v>
      </c>
      <c r="CM19" s="53" t="n">
        <f aca="false">CL19*(1-0.3697)</f>
        <v>4866.5463</v>
      </c>
      <c r="CN19" s="58" t="n">
        <f aca="false">CL19*0.2+500</f>
        <v>2044.2</v>
      </c>
      <c r="CO19" s="55" t="n">
        <f aca="false">CL19+CN19</f>
        <v>9765.2</v>
      </c>
      <c r="CP19" s="59" t="n">
        <f aca="false">IF(CL19&gt;0,CN19/CL19,0)</f>
        <v>0.264758450977853</v>
      </c>
      <c r="CQ19" s="60" t="n">
        <f aca="false">2_Market_Gross_USD!K17</f>
        <v>4008</v>
      </c>
      <c r="CR19" s="53" t="n">
        <f aca="false">CQ19*(1-0.26)</f>
        <v>2965.92</v>
      </c>
      <c r="CS19" s="58" t="n">
        <f aca="false">CQ19*0.338+0</f>
        <v>1354.704</v>
      </c>
      <c r="CT19" s="55" t="n">
        <f aca="false">CQ19+CS19</f>
        <v>5362.704</v>
      </c>
      <c r="CU19" s="59" t="n">
        <f aca="false">IF(CQ19&gt;0,CS19/CQ19,0)</f>
        <v>0.338</v>
      </c>
      <c r="CV19" s="60" t="n">
        <f aca="false">2_Market_Gross_USD!K17</f>
        <v>4008</v>
      </c>
      <c r="CW19" s="53" t="n">
        <f aca="false">CV19*(1-0.15)</f>
        <v>3406.8</v>
      </c>
      <c r="CX19" s="58" t="n">
        <f aca="false">CV19*0+0</f>
        <v>0</v>
      </c>
      <c r="CY19" s="55" t="n">
        <f aca="false">CV19+CX19</f>
        <v>4008</v>
      </c>
      <c r="CZ19" s="59" t="n">
        <f aca="false">IF(CV19&gt;0,CX19/CV19,0)</f>
        <v>0</v>
      </c>
      <c r="DA19" s="60" t="n">
        <f aca="false">2_Market_Gross_USD!K17</f>
        <v>4008</v>
      </c>
      <c r="DB19" s="53" t="n">
        <f aca="false">DA19*(1-0.26)</f>
        <v>2965.92</v>
      </c>
      <c r="DC19" s="58" t="n">
        <f aca="false">DA19*0.338+500</f>
        <v>1854.704</v>
      </c>
      <c r="DD19" s="55" t="n">
        <f aca="false">DA19+DC19</f>
        <v>5862.704</v>
      </c>
      <c r="DE19" s="59" t="n">
        <f aca="false">IF(DA19&gt;0,DC19/DA19,0)</f>
        <v>0.462750499001996</v>
      </c>
      <c r="DF19" s="60" t="n">
        <f aca="false">2_Market_Gross_USD!L17</f>
        <v>5085</v>
      </c>
      <c r="DG19" s="53" t="n">
        <f aca="false">DF19*(1-0.34)</f>
        <v>3356.1</v>
      </c>
      <c r="DH19" s="58" t="n">
        <f aca="false">DF19*0.2375+0</f>
        <v>1207.6875</v>
      </c>
      <c r="DI19" s="55" t="n">
        <f aca="false">DF19+DH19</f>
        <v>6292.6875</v>
      </c>
      <c r="DJ19" s="59" t="n">
        <f aca="false">IF(DF19&gt;0,DH19/DF19,0)</f>
        <v>0.2375</v>
      </c>
      <c r="DK19" s="60" t="n">
        <f aca="false">2_Market_Gross_USD!L17</f>
        <v>5085</v>
      </c>
      <c r="DL19" s="53" t="n">
        <f aca="false">DK19*(1-0.2)</f>
        <v>4068</v>
      </c>
      <c r="DM19" s="58" t="n">
        <f aca="false">DK19*0+0</f>
        <v>0</v>
      </c>
      <c r="DN19" s="55" t="n">
        <f aca="false">DK19+DM19</f>
        <v>5085</v>
      </c>
      <c r="DO19" s="59" t="n">
        <f aca="false">IF(DK19&gt;0,DM19/DK19,0)</f>
        <v>0</v>
      </c>
      <c r="DP19" s="60" t="n">
        <f aca="false">2_Market_Gross_USD!L17</f>
        <v>5085</v>
      </c>
      <c r="DQ19" s="53" t="n">
        <f aca="false">DP19*(1-0.34)</f>
        <v>3356.1</v>
      </c>
      <c r="DR19" s="58" t="n">
        <f aca="false">DP19*0.2375+500</f>
        <v>1707.6875</v>
      </c>
      <c r="DS19" s="55" t="n">
        <f aca="false">DP19+DR19</f>
        <v>6792.6875</v>
      </c>
      <c r="DT19" s="59" t="n">
        <f aca="false">IF(DP19&gt;0,DR19/DP19,0)</f>
        <v>0.335828416912488</v>
      </c>
      <c r="DU19" s="60" t="n">
        <f aca="false">2_Market_Gross_USD!M17</f>
        <v>3360</v>
      </c>
      <c r="DV19" s="53" t="n">
        <f aca="false">DU19*0.65</f>
        <v>2184</v>
      </c>
      <c r="DW19" s="58" t="n">
        <f aca="false">DU19*0.0225+0</f>
        <v>75.6</v>
      </c>
      <c r="DX19" s="55" t="n">
        <f aca="false">DU19+DW19</f>
        <v>3435.6</v>
      </c>
      <c r="DY19" s="59" t="n">
        <f aca="false">IF(DU19&gt;0,DW19/DU19,0)</f>
        <v>0.0225</v>
      </c>
      <c r="DZ19" s="60" t="n">
        <f aca="false">2_Market_Gross_USD!M17</f>
        <v>3360</v>
      </c>
      <c r="EA19" s="53" t="n">
        <f aca="false">DZ19*(1-0.01)</f>
        <v>3326.4</v>
      </c>
      <c r="EB19" s="58" t="n">
        <f aca="false">DZ19*0+0</f>
        <v>0</v>
      </c>
      <c r="EC19" s="55" t="n">
        <f aca="false">DZ19+EB19</f>
        <v>3360</v>
      </c>
      <c r="ED19" s="59" t="n">
        <f aca="false">IF(DZ19&gt;0,EB19/DZ19,0)</f>
        <v>0</v>
      </c>
      <c r="EE19" s="60" t="n">
        <f aca="false">2_Market_Gross_USD!M17</f>
        <v>3360</v>
      </c>
      <c r="EF19" s="53" t="n">
        <f aca="false">EE19*0.65</f>
        <v>2184</v>
      </c>
      <c r="EG19" s="58" t="n">
        <f aca="false">EE19*0.0225+500</f>
        <v>575.6</v>
      </c>
      <c r="EH19" s="55" t="n">
        <f aca="false">EE19+EG19</f>
        <v>3935.6</v>
      </c>
      <c r="EI19" s="59" t="n">
        <f aca="false">IF(EE19&gt;0,EG19/EE19,0)</f>
        <v>0.171309523809524</v>
      </c>
    </row>
    <row r="20" customFormat="false" ht="15" hidden="false" customHeight="false" outlineLevel="0" collapsed="false">
      <c r="A20" s="37" t="n">
        <v>15</v>
      </c>
      <c r="B20" s="32" t="s">
        <v>253</v>
      </c>
      <c r="C20" s="32" t="s">
        <v>257</v>
      </c>
      <c r="D20" s="38" t="s">
        <v>248</v>
      </c>
      <c r="E20" s="52" t="n">
        <f aca="false">2_Market_Gross_USD!E18</f>
        <v>1450</v>
      </c>
      <c r="F20" s="53" t="n">
        <f aca="false">E20*(1-0.065)</f>
        <v>1355.75</v>
      </c>
      <c r="G20" s="54" t="n">
        <f aca="false">E20*0+35</f>
        <v>35</v>
      </c>
      <c r="H20" s="55" t="n">
        <f aca="false">E20+G20</f>
        <v>1485</v>
      </c>
      <c r="I20" s="56" t="n">
        <f aca="false">IF(E20&gt;0,G20/E20,0)</f>
        <v>0.0241379310344828</v>
      </c>
      <c r="J20" s="52" t="n">
        <f aca="false">2_Market_Gross_USD!E18</f>
        <v>1450</v>
      </c>
      <c r="K20" s="53" t="n">
        <f aca="false">J20*(1-0.065)</f>
        <v>1355.75</v>
      </c>
      <c r="L20" s="54" t="n">
        <f aca="false">J20*0+40</f>
        <v>40</v>
      </c>
      <c r="M20" s="55" t="n">
        <f aca="false">J20+L20</f>
        <v>1490</v>
      </c>
      <c r="N20" s="56" t="n">
        <f aca="false">IF(J20&gt;0,L20/J20,0)</f>
        <v>0.0275862068965517</v>
      </c>
      <c r="O20" s="52" t="n">
        <f aca="false">2_Market_Gross_USD!E18</f>
        <v>1450</v>
      </c>
      <c r="P20" s="53" t="n">
        <f aca="false">O20*(1-0.195)</f>
        <v>1167.25</v>
      </c>
      <c r="Q20" s="54" t="n">
        <f aca="false">IF(O20&gt;=3886,3886*0.22,O20*0.22)</f>
        <v>319</v>
      </c>
      <c r="R20" s="55" t="n">
        <f aca="false">O20+Q20</f>
        <v>1769</v>
      </c>
      <c r="S20" s="56" t="n">
        <f aca="false">IF(O20&gt;0,Q20/O20,0)</f>
        <v>0.22</v>
      </c>
      <c r="T20" s="57" t="n">
        <f aca="false">2_Market_Gross_USD!F18</f>
        <v>3698</v>
      </c>
      <c r="U20" s="53" t="n">
        <f aca="false">T20*(1-0.2571)</f>
        <v>2747.2442</v>
      </c>
      <c r="V20" s="54" t="n">
        <f aca="false">T20*0.2038+0</f>
        <v>753.6524</v>
      </c>
      <c r="W20" s="55" t="n">
        <f aca="false">T20+V20</f>
        <v>4451.6524</v>
      </c>
      <c r="X20" s="56" t="n">
        <f aca="false">IF(T20&gt;0,V20/T20,0)</f>
        <v>0.2038</v>
      </c>
      <c r="Y20" s="57" t="n">
        <f aca="false">2_Market_Gross_USD!F18</f>
        <v>3698</v>
      </c>
      <c r="Z20" s="53" t="n">
        <f aca="false">Y20*(1-0.12)</f>
        <v>3254.24</v>
      </c>
      <c r="AA20" s="54" t="n">
        <f aca="false">Y20*0+0</f>
        <v>0</v>
      </c>
      <c r="AB20" s="55" t="n">
        <f aca="false">Y20+AA20</f>
        <v>3698</v>
      </c>
      <c r="AC20" s="56" t="n">
        <f aca="false">IF(Y20&gt;0,AA20/Y20,0)</f>
        <v>0</v>
      </c>
      <c r="AD20" s="57" t="n">
        <f aca="false">2_Market_Gross_USD!F18</f>
        <v>3698</v>
      </c>
      <c r="AE20" s="53" t="n">
        <f aca="false">AD20*(1-0.2571)</f>
        <v>2747.2442</v>
      </c>
      <c r="AF20" s="54" t="n">
        <f aca="false">AD20*0.2038+500</f>
        <v>1253.6524</v>
      </c>
      <c r="AG20" s="55" t="n">
        <f aca="false">AD20+AF20</f>
        <v>4951.6524</v>
      </c>
      <c r="AH20" s="56" t="n">
        <f aca="false">IF(AD20&gt;0,AF20/AD20,0)</f>
        <v>0.339008220659816</v>
      </c>
      <c r="AI20" s="57" t="n">
        <f aca="false">2_Market_Gross_USD!G18</f>
        <v>5292</v>
      </c>
      <c r="AJ20" s="53" t="n">
        <f aca="false">AI20*(1-0.28)</f>
        <v>3810.24</v>
      </c>
      <c r="AK20" s="54" t="n">
        <f aca="false">AI20*0.15+0</f>
        <v>793.8</v>
      </c>
      <c r="AL20" s="55" t="n">
        <f aca="false">AI20+AK20</f>
        <v>6085.8</v>
      </c>
      <c r="AM20" s="56" t="n">
        <f aca="false">IF(AI20&gt;0,AK20/AI20,0)</f>
        <v>0.15</v>
      </c>
      <c r="AN20" s="57" t="n">
        <f aca="false">2_Market_Gross_USD!G18</f>
        <v>5292</v>
      </c>
      <c r="AO20" s="53" t="n">
        <f aca="false">AN20*(1-0.19)</f>
        <v>4286.52</v>
      </c>
      <c r="AP20" s="54" t="n">
        <f aca="false">AN20*0+0</f>
        <v>0</v>
      </c>
      <c r="AQ20" s="55" t="n">
        <f aca="false">AN20+AP20</f>
        <v>5292</v>
      </c>
      <c r="AR20" s="56" t="n">
        <f aca="false">IF(AN20&gt;0,AP20/AN20,0)</f>
        <v>0</v>
      </c>
      <c r="AS20" s="57" t="n">
        <f aca="false">2_Market_Gross_USD!G18</f>
        <v>5292</v>
      </c>
      <c r="AT20" s="53" t="n">
        <f aca="false">AS20*(1-0.28)</f>
        <v>3810.24</v>
      </c>
      <c r="AU20" s="54" t="n">
        <f aca="false">AS20*0.15+500</f>
        <v>1293.8</v>
      </c>
      <c r="AV20" s="55" t="n">
        <f aca="false">AS20+AU20</f>
        <v>6585.8</v>
      </c>
      <c r="AW20" s="56" t="n">
        <f aca="false">IF(AS20&gt;0,AU20/AS20,0)</f>
        <v>0.24448223733938</v>
      </c>
      <c r="AX20" s="57" t="n">
        <f aca="false">2_Market_Gross_USD!H18</f>
        <v>11000</v>
      </c>
      <c r="AY20" s="53" t="n">
        <f aca="false">AX20*(1-0.2965)</f>
        <v>7738.5</v>
      </c>
      <c r="AZ20" s="54" t="n">
        <f aca="false">AX20*0.11+0</f>
        <v>1210</v>
      </c>
      <c r="BA20" s="55" t="n">
        <f aca="false">AX20+AZ20</f>
        <v>12210</v>
      </c>
      <c r="BB20" s="56" t="n">
        <f aca="false">IF(AX20&gt;0,AZ20/AX20,0)</f>
        <v>0.11</v>
      </c>
      <c r="BC20" s="57" t="n">
        <f aca="false">2_Market_Gross_USD!H18</f>
        <v>11000</v>
      </c>
      <c r="BD20" s="53" t="n">
        <f aca="false">BC20*(1-0.373)</f>
        <v>6897</v>
      </c>
      <c r="BE20" s="54" t="n">
        <f aca="false">BC20*0+0</f>
        <v>0</v>
      </c>
      <c r="BF20" s="55" t="n">
        <f aca="false">BC20+BE20</f>
        <v>11000</v>
      </c>
      <c r="BG20" s="56" t="n">
        <f aca="false">IF(BC20&gt;0,BE20/BC20,0)</f>
        <v>0</v>
      </c>
      <c r="BH20" s="57" t="n">
        <f aca="false">2_Market_Gross_USD!H18</f>
        <v>11000</v>
      </c>
      <c r="BI20" s="53" t="n">
        <f aca="false">BH20*(1-0.2965)</f>
        <v>7738.5</v>
      </c>
      <c r="BJ20" s="54" t="n">
        <f aca="false">BH20*0.11+500</f>
        <v>1710</v>
      </c>
      <c r="BK20" s="55" t="n">
        <f aca="false">BH20+BJ20</f>
        <v>12710</v>
      </c>
      <c r="BL20" s="56" t="n">
        <f aca="false">IF(BH20&gt;0,BJ20/BH20,0)</f>
        <v>0.155454545454545</v>
      </c>
      <c r="BM20" s="57" t="n">
        <f aca="false">2_Market_Gross_USD!I18</f>
        <v>5556</v>
      </c>
      <c r="BN20" s="53" t="n">
        <f aca="false">BM20*(1-0.4785)</f>
        <v>2897.454</v>
      </c>
      <c r="BO20" s="54" t="n">
        <f aca="false">BM20*0.21+0</f>
        <v>1166.76</v>
      </c>
      <c r="BP20" s="55" t="n">
        <f aca="false">BM20+BO20</f>
        <v>6722.76</v>
      </c>
      <c r="BQ20" s="56" t="n">
        <f aca="false">IF(BM20&gt;0,BO20/BM20,0)</f>
        <v>0.21</v>
      </c>
      <c r="BR20" s="57" t="n">
        <f aca="false">2_Market_Gross_USD!I18</f>
        <v>5556</v>
      </c>
      <c r="BS20" s="53" t="n">
        <f aca="false">BR20*(1-0.25)</f>
        <v>4167</v>
      </c>
      <c r="BT20" s="54" t="n">
        <f aca="false">BR20*0+0</f>
        <v>0</v>
      </c>
      <c r="BU20" s="55" t="n">
        <f aca="false">BR20+BT20</f>
        <v>5556</v>
      </c>
      <c r="BV20" s="56" t="n">
        <f aca="false">IF(BR20&gt;0,BT20/BR20,0)</f>
        <v>0</v>
      </c>
      <c r="BW20" s="57" t="n">
        <f aca="false">2_Market_Gross_USD!I18</f>
        <v>5556</v>
      </c>
      <c r="BX20" s="53" t="n">
        <f aca="false">BW20*(1-0.4785)</f>
        <v>2897.454</v>
      </c>
      <c r="BY20" s="54" t="n">
        <f aca="false">BW20*0.21+500</f>
        <v>1666.76</v>
      </c>
      <c r="BZ20" s="55" t="n">
        <f aca="false">BW20+BY20</f>
        <v>7222.76</v>
      </c>
      <c r="CA20" s="56" t="n">
        <f aca="false">IF(BW20&gt;0,BY20/BW20,0)</f>
        <v>0.299992800575954</v>
      </c>
      <c r="CB20" s="57" t="n">
        <f aca="false">2_Market_Gross_USD!J18</f>
        <v>6026</v>
      </c>
      <c r="CC20" s="53" t="n">
        <f aca="false">CB20*(1-0.3697)</f>
        <v>3798.1878</v>
      </c>
      <c r="CD20" s="54" t="n">
        <f aca="false">CB20*0.2+0</f>
        <v>1205.2</v>
      </c>
      <c r="CE20" s="55" t="n">
        <f aca="false">CB20+CD20</f>
        <v>7231.2</v>
      </c>
      <c r="CF20" s="56" t="n">
        <f aca="false">IF(CB20&gt;0,CD20/CB20,0)</f>
        <v>0.2</v>
      </c>
      <c r="CG20" s="57" t="n">
        <f aca="false">2_Market_Gross_USD!J18</f>
        <v>6026</v>
      </c>
      <c r="CH20" s="53" t="n">
        <f aca="false">CG20*(1-0.3697)</f>
        <v>3798.1878</v>
      </c>
      <c r="CI20" s="54" t="n">
        <f aca="false">CG20*0+0</f>
        <v>0</v>
      </c>
      <c r="CJ20" s="55" t="n">
        <f aca="false">CG20+CI20</f>
        <v>6026</v>
      </c>
      <c r="CK20" s="56" t="n">
        <f aca="false">IF(CG20&gt;0,CI20/CG20,0)</f>
        <v>0</v>
      </c>
      <c r="CL20" s="57" t="n">
        <f aca="false">2_Market_Gross_USD!J18</f>
        <v>6026</v>
      </c>
      <c r="CM20" s="53" t="n">
        <f aca="false">CL20*(1-0.3697)</f>
        <v>3798.1878</v>
      </c>
      <c r="CN20" s="54" t="n">
        <f aca="false">CL20*0.2+500</f>
        <v>1705.2</v>
      </c>
      <c r="CO20" s="55" t="n">
        <f aca="false">CL20+CN20</f>
        <v>7731.2</v>
      </c>
      <c r="CP20" s="56" t="n">
        <f aca="false">IF(CL20&gt;0,CN20/CL20,0)</f>
        <v>0.28297378028543</v>
      </c>
      <c r="CQ20" s="57" t="n">
        <f aca="false">2_Market_Gross_USD!K18</f>
        <v>2935</v>
      </c>
      <c r="CR20" s="53" t="n">
        <f aca="false">CQ20*(1-0.26)</f>
        <v>2171.9</v>
      </c>
      <c r="CS20" s="54" t="n">
        <f aca="false">CQ20*0.338+0</f>
        <v>992.03</v>
      </c>
      <c r="CT20" s="55" t="n">
        <f aca="false">CQ20+CS20</f>
        <v>3927.03</v>
      </c>
      <c r="CU20" s="56" t="n">
        <f aca="false">IF(CQ20&gt;0,CS20/CQ20,0)</f>
        <v>0.338</v>
      </c>
      <c r="CV20" s="57" t="n">
        <f aca="false">2_Market_Gross_USD!K18</f>
        <v>2935</v>
      </c>
      <c r="CW20" s="53" t="n">
        <f aca="false">CV20*(1-0.15)</f>
        <v>2494.75</v>
      </c>
      <c r="CX20" s="54" t="n">
        <f aca="false">CV20*0+0</f>
        <v>0</v>
      </c>
      <c r="CY20" s="55" t="n">
        <f aca="false">CV20+CX20</f>
        <v>2935</v>
      </c>
      <c r="CZ20" s="56" t="n">
        <f aca="false">IF(CV20&gt;0,CX20/CV20,0)</f>
        <v>0</v>
      </c>
      <c r="DA20" s="57" t="n">
        <f aca="false">2_Market_Gross_USD!K18</f>
        <v>2935</v>
      </c>
      <c r="DB20" s="53" t="n">
        <f aca="false">DA20*(1-0.26)</f>
        <v>2171.9</v>
      </c>
      <c r="DC20" s="54" t="n">
        <f aca="false">DA20*0.338+500</f>
        <v>1492.03</v>
      </c>
      <c r="DD20" s="55" t="n">
        <f aca="false">DA20+DC20</f>
        <v>4427.03</v>
      </c>
      <c r="DE20" s="56" t="n">
        <f aca="false">IF(DA20&gt;0,DC20/DA20,0)</f>
        <v>0.508357751277683</v>
      </c>
      <c r="DF20" s="57" t="n">
        <f aca="false">2_Market_Gross_USD!L18</f>
        <v>3766</v>
      </c>
      <c r="DG20" s="53" t="n">
        <f aca="false">DF20*(1-0.34)</f>
        <v>2485.56</v>
      </c>
      <c r="DH20" s="54" t="n">
        <f aca="false">DF20*0.2375+0</f>
        <v>894.425</v>
      </c>
      <c r="DI20" s="55" t="n">
        <f aca="false">DF20+DH20</f>
        <v>4660.425</v>
      </c>
      <c r="DJ20" s="56" t="n">
        <f aca="false">IF(DF20&gt;0,DH20/DF20,0)</f>
        <v>0.2375</v>
      </c>
      <c r="DK20" s="57" t="n">
        <f aca="false">2_Market_Gross_USD!L18</f>
        <v>3766</v>
      </c>
      <c r="DL20" s="53" t="n">
        <f aca="false">DK20*(1-0.2)</f>
        <v>3012.8</v>
      </c>
      <c r="DM20" s="54" t="n">
        <f aca="false">DK20*0+0</f>
        <v>0</v>
      </c>
      <c r="DN20" s="55" t="n">
        <f aca="false">DK20+DM20</f>
        <v>3766</v>
      </c>
      <c r="DO20" s="56" t="n">
        <f aca="false">IF(DK20&gt;0,DM20/DK20,0)</f>
        <v>0</v>
      </c>
      <c r="DP20" s="57" t="n">
        <f aca="false">2_Market_Gross_USD!L18</f>
        <v>3766</v>
      </c>
      <c r="DQ20" s="53" t="n">
        <f aca="false">DP20*(1-0.34)</f>
        <v>2485.56</v>
      </c>
      <c r="DR20" s="54" t="n">
        <f aca="false">DP20*0.2375+500</f>
        <v>1394.425</v>
      </c>
      <c r="DS20" s="55" t="n">
        <f aca="false">DP20+DR20</f>
        <v>5160.425</v>
      </c>
      <c r="DT20" s="56" t="n">
        <f aca="false">IF(DP20&gt;0,DR20/DP20,0)</f>
        <v>0.370266861391397</v>
      </c>
      <c r="DU20" s="57" t="n">
        <f aca="false">2_Market_Gross_USD!M18</f>
        <v>2333</v>
      </c>
      <c r="DV20" s="53" t="n">
        <f aca="false">DU20*0.65</f>
        <v>1516.45</v>
      </c>
      <c r="DW20" s="54" t="n">
        <f aca="false">DU20*0.0225+0</f>
        <v>52.4925</v>
      </c>
      <c r="DX20" s="55" t="n">
        <f aca="false">DU20+DW20</f>
        <v>2385.4925</v>
      </c>
      <c r="DY20" s="56" t="n">
        <f aca="false">IF(DU20&gt;0,DW20/DU20,0)</f>
        <v>0.0225</v>
      </c>
      <c r="DZ20" s="57" t="n">
        <f aca="false">2_Market_Gross_USD!M18</f>
        <v>2333</v>
      </c>
      <c r="EA20" s="53" t="n">
        <f aca="false">DZ20*(1-0.01)</f>
        <v>2309.67</v>
      </c>
      <c r="EB20" s="54" t="n">
        <f aca="false">DZ20*0+0</f>
        <v>0</v>
      </c>
      <c r="EC20" s="55" t="n">
        <f aca="false">DZ20+EB20</f>
        <v>2333</v>
      </c>
      <c r="ED20" s="56" t="n">
        <f aca="false">IF(DZ20&gt;0,EB20/DZ20,0)</f>
        <v>0</v>
      </c>
      <c r="EE20" s="57" t="n">
        <f aca="false">2_Market_Gross_USD!M18</f>
        <v>2333</v>
      </c>
      <c r="EF20" s="53" t="n">
        <f aca="false">EE20*0.65</f>
        <v>1516.45</v>
      </c>
      <c r="EG20" s="54" t="n">
        <f aca="false">EE20*0.0225+500</f>
        <v>552.4925</v>
      </c>
      <c r="EH20" s="55" t="n">
        <f aca="false">EE20+EG20</f>
        <v>2885.4925</v>
      </c>
      <c r="EI20" s="56" t="n">
        <f aca="false">IF(EE20&gt;0,EG20/EE20,0)</f>
        <v>0.236816330904415</v>
      </c>
    </row>
    <row r="21" customFormat="false" ht="15" hidden="false" customHeight="false" outlineLevel="0" collapsed="false">
      <c r="A21" s="41" t="n">
        <v>16</v>
      </c>
      <c r="B21" s="28" t="s">
        <v>253</v>
      </c>
      <c r="C21" s="8" t="s">
        <v>257</v>
      </c>
      <c r="D21" s="42" t="s">
        <v>249</v>
      </c>
      <c r="E21" s="52" t="n">
        <f aca="false">2_Market_Gross_USD!E19</f>
        <v>4450</v>
      </c>
      <c r="F21" s="53" t="n">
        <f aca="false">E21*(1-0.065)</f>
        <v>4160.75</v>
      </c>
      <c r="G21" s="58" t="n">
        <f aca="false">E21*0+35</f>
        <v>35</v>
      </c>
      <c r="H21" s="55" t="n">
        <f aca="false">E21+G21</f>
        <v>4485</v>
      </c>
      <c r="I21" s="59" t="n">
        <f aca="false">IF(E21&gt;0,G21/E21,0)</f>
        <v>0.00786516853932584</v>
      </c>
      <c r="J21" s="52" t="n">
        <f aca="false">2_Market_Gross_USD!E19</f>
        <v>4450</v>
      </c>
      <c r="K21" s="53" t="n">
        <f aca="false">J21*(1-0.065)</f>
        <v>4160.75</v>
      </c>
      <c r="L21" s="58" t="n">
        <f aca="false">J21*0+40</f>
        <v>40</v>
      </c>
      <c r="M21" s="55" t="n">
        <f aca="false">J21+L21</f>
        <v>4490</v>
      </c>
      <c r="N21" s="59" t="n">
        <f aca="false">IF(J21&gt;0,L21/J21,0)</f>
        <v>0.00898876404494382</v>
      </c>
      <c r="O21" s="52" t="n">
        <f aca="false">2_Market_Gross_USD!E19</f>
        <v>4450</v>
      </c>
      <c r="P21" s="53" t="n">
        <f aca="false">O21*(1-0.195)</f>
        <v>3582.25</v>
      </c>
      <c r="Q21" s="58" t="n">
        <f aca="false">IF(O21&gt;=3886,3886*0.22,O21*0.22)</f>
        <v>854.92</v>
      </c>
      <c r="R21" s="55" t="n">
        <f aca="false">O21+Q21</f>
        <v>5304.92</v>
      </c>
      <c r="S21" s="59" t="n">
        <f aca="false">IF(O21&gt;0,Q21/O21,0)</f>
        <v>0.192116853932584</v>
      </c>
      <c r="T21" s="60" t="n">
        <f aca="false">2_Market_Gross_USD!F19</f>
        <v>6120</v>
      </c>
      <c r="U21" s="53" t="n">
        <f aca="false">T21*(1-0.2571)</f>
        <v>4546.548</v>
      </c>
      <c r="V21" s="58" t="n">
        <f aca="false">T21*0.2038+0</f>
        <v>1247.256</v>
      </c>
      <c r="W21" s="55" t="n">
        <f aca="false">T21+V21</f>
        <v>7367.256</v>
      </c>
      <c r="X21" s="59" t="n">
        <f aca="false">IF(T21&gt;0,V21/T21,0)</f>
        <v>0.2038</v>
      </c>
      <c r="Y21" s="60" t="n">
        <f aca="false">2_Market_Gross_USD!F19</f>
        <v>6120</v>
      </c>
      <c r="Z21" s="53" t="n">
        <f aca="false">Y21*(1-0.12)</f>
        <v>5385.6</v>
      </c>
      <c r="AA21" s="58" t="n">
        <f aca="false">Y21*0+0</f>
        <v>0</v>
      </c>
      <c r="AB21" s="55" t="n">
        <f aca="false">Y21+AA21</f>
        <v>6120</v>
      </c>
      <c r="AC21" s="59" t="n">
        <f aca="false">IF(Y21&gt;0,AA21/Y21,0)</f>
        <v>0</v>
      </c>
      <c r="AD21" s="60" t="n">
        <f aca="false">2_Market_Gross_USD!F19</f>
        <v>6120</v>
      </c>
      <c r="AE21" s="53" t="n">
        <f aca="false">AD21*(1-0.2571)</f>
        <v>4546.548</v>
      </c>
      <c r="AF21" s="58" t="n">
        <f aca="false">AD21*0.2038+500</f>
        <v>1747.256</v>
      </c>
      <c r="AG21" s="55" t="n">
        <f aca="false">AD21+AF21</f>
        <v>7867.256</v>
      </c>
      <c r="AH21" s="59" t="n">
        <f aca="false">IF(AD21&gt;0,AF21/AD21,0)</f>
        <v>0.285499346405229</v>
      </c>
      <c r="AI21" s="60" t="n">
        <f aca="false">2_Market_Gross_USD!G19</f>
        <v>7938</v>
      </c>
      <c r="AJ21" s="53" t="n">
        <f aca="false">AI21*(1-0.28)</f>
        <v>5715.36</v>
      </c>
      <c r="AK21" s="58" t="n">
        <f aca="false">AI21*0.15+0</f>
        <v>1190.7</v>
      </c>
      <c r="AL21" s="55" t="n">
        <f aca="false">AI21+AK21</f>
        <v>9128.7</v>
      </c>
      <c r="AM21" s="59" t="n">
        <f aca="false">IF(AI21&gt;0,AK21/AI21,0)</f>
        <v>0.15</v>
      </c>
      <c r="AN21" s="60" t="n">
        <f aca="false">2_Market_Gross_USD!G19</f>
        <v>7938</v>
      </c>
      <c r="AO21" s="53" t="n">
        <f aca="false">AN21*(1-0.19)</f>
        <v>6429.78</v>
      </c>
      <c r="AP21" s="58" t="n">
        <f aca="false">AN21*0+0</f>
        <v>0</v>
      </c>
      <c r="AQ21" s="55" t="n">
        <f aca="false">AN21+AP21</f>
        <v>7938</v>
      </c>
      <c r="AR21" s="59" t="n">
        <f aca="false">IF(AN21&gt;0,AP21/AN21,0)</f>
        <v>0</v>
      </c>
      <c r="AS21" s="60" t="n">
        <f aca="false">2_Market_Gross_USD!G19</f>
        <v>7938</v>
      </c>
      <c r="AT21" s="53" t="n">
        <f aca="false">AS21*(1-0.28)</f>
        <v>5715.36</v>
      </c>
      <c r="AU21" s="58" t="n">
        <f aca="false">AS21*0.15+500</f>
        <v>1690.7</v>
      </c>
      <c r="AV21" s="55" t="n">
        <f aca="false">AS21+AU21</f>
        <v>9628.7</v>
      </c>
      <c r="AW21" s="59" t="n">
        <f aca="false">IF(AS21&gt;0,AU21/AS21,0)</f>
        <v>0.212988158226253</v>
      </c>
      <c r="AX21" s="60" t="n">
        <f aca="false">2_Market_Gross_USD!H19</f>
        <v>13600</v>
      </c>
      <c r="AY21" s="53" t="n">
        <f aca="false">AX21*(1-0.2965)</f>
        <v>9567.6</v>
      </c>
      <c r="AZ21" s="58" t="n">
        <f aca="false">AX21*0.11+0</f>
        <v>1496</v>
      </c>
      <c r="BA21" s="55" t="n">
        <f aca="false">AX21+AZ21</f>
        <v>15096</v>
      </c>
      <c r="BB21" s="59" t="n">
        <f aca="false">IF(AX21&gt;0,AZ21/AX21,0)</f>
        <v>0.11</v>
      </c>
      <c r="BC21" s="60" t="n">
        <f aca="false">2_Market_Gross_USD!H19</f>
        <v>13600</v>
      </c>
      <c r="BD21" s="53" t="n">
        <f aca="false">BC21*(1-0.373)</f>
        <v>8527.2</v>
      </c>
      <c r="BE21" s="58" t="n">
        <f aca="false">BC21*0+0</f>
        <v>0</v>
      </c>
      <c r="BF21" s="55" t="n">
        <f aca="false">BC21+BE21</f>
        <v>13600</v>
      </c>
      <c r="BG21" s="59" t="n">
        <f aca="false">IF(BC21&gt;0,BE21/BC21,0)</f>
        <v>0</v>
      </c>
      <c r="BH21" s="60" t="n">
        <f aca="false">2_Market_Gross_USD!H19</f>
        <v>13600</v>
      </c>
      <c r="BI21" s="53" t="n">
        <f aca="false">BH21*(1-0.2965)</f>
        <v>9567.6</v>
      </c>
      <c r="BJ21" s="58" t="n">
        <f aca="false">BH21*0.11+500</f>
        <v>1996</v>
      </c>
      <c r="BK21" s="55" t="n">
        <f aca="false">BH21+BJ21</f>
        <v>15596</v>
      </c>
      <c r="BL21" s="59" t="n">
        <f aca="false">IF(BH21&gt;0,BJ21/BH21,0)</f>
        <v>0.146764705882353</v>
      </c>
      <c r="BM21" s="60" t="n">
        <f aca="false">2_Market_Gross_USD!I19</f>
        <v>7910</v>
      </c>
      <c r="BN21" s="53" t="n">
        <f aca="false">BM21*(1-0.4785)</f>
        <v>4125.065</v>
      </c>
      <c r="BO21" s="58" t="n">
        <f aca="false">BM21*0.21+0</f>
        <v>1661.1</v>
      </c>
      <c r="BP21" s="55" t="n">
        <f aca="false">BM21+BO21</f>
        <v>9571.1</v>
      </c>
      <c r="BQ21" s="59" t="n">
        <f aca="false">IF(BM21&gt;0,BO21/BM21,0)</f>
        <v>0.21</v>
      </c>
      <c r="BR21" s="60" t="n">
        <f aca="false">2_Market_Gross_USD!I19</f>
        <v>7910</v>
      </c>
      <c r="BS21" s="53" t="n">
        <f aca="false">BR21*(1-0.25)</f>
        <v>5932.5</v>
      </c>
      <c r="BT21" s="58" t="n">
        <f aca="false">BR21*0+0</f>
        <v>0</v>
      </c>
      <c r="BU21" s="55" t="n">
        <f aca="false">BR21+BT21</f>
        <v>7910</v>
      </c>
      <c r="BV21" s="59" t="n">
        <f aca="false">IF(BR21&gt;0,BT21/BR21,0)</f>
        <v>0</v>
      </c>
      <c r="BW21" s="60" t="n">
        <f aca="false">2_Market_Gross_USD!I19</f>
        <v>7910</v>
      </c>
      <c r="BX21" s="53" t="n">
        <f aca="false">BW21*(1-0.4785)</f>
        <v>4125.065</v>
      </c>
      <c r="BY21" s="58" t="n">
        <f aca="false">BW21*0.21+500</f>
        <v>2161.1</v>
      </c>
      <c r="BZ21" s="55" t="n">
        <f aca="false">BW21+BY21</f>
        <v>10071.1</v>
      </c>
      <c r="CA21" s="59" t="n">
        <f aca="false">IF(BW21&gt;0,BY21/BW21,0)</f>
        <v>0.273211125158028</v>
      </c>
      <c r="CB21" s="60" t="n">
        <f aca="false">2_Market_Gross_USD!J19</f>
        <v>8946</v>
      </c>
      <c r="CC21" s="53" t="n">
        <f aca="false">CB21*(1-0.3697)</f>
        <v>5638.6638</v>
      </c>
      <c r="CD21" s="58" t="n">
        <f aca="false">CB21*0.2+0</f>
        <v>1789.2</v>
      </c>
      <c r="CE21" s="55" t="n">
        <f aca="false">CB21+CD21</f>
        <v>10735.2</v>
      </c>
      <c r="CF21" s="59" t="n">
        <f aca="false">IF(CB21&gt;0,CD21/CB21,0)</f>
        <v>0.2</v>
      </c>
      <c r="CG21" s="60" t="n">
        <f aca="false">2_Market_Gross_USD!J19</f>
        <v>8946</v>
      </c>
      <c r="CH21" s="53" t="n">
        <f aca="false">CG21*(1-0.3697)</f>
        <v>5638.6638</v>
      </c>
      <c r="CI21" s="58" t="n">
        <f aca="false">CG21*0+0</f>
        <v>0</v>
      </c>
      <c r="CJ21" s="55" t="n">
        <f aca="false">CG21+CI21</f>
        <v>8946</v>
      </c>
      <c r="CK21" s="59" t="n">
        <f aca="false">IF(CG21&gt;0,CI21/CG21,0)</f>
        <v>0</v>
      </c>
      <c r="CL21" s="60" t="n">
        <f aca="false">2_Market_Gross_USD!J19</f>
        <v>8946</v>
      </c>
      <c r="CM21" s="53" t="n">
        <f aca="false">CL21*(1-0.3697)</f>
        <v>5638.6638</v>
      </c>
      <c r="CN21" s="58" t="n">
        <f aca="false">CL21*0.2+500</f>
        <v>2289.2</v>
      </c>
      <c r="CO21" s="55" t="n">
        <f aca="false">CL21+CN21</f>
        <v>11235.2</v>
      </c>
      <c r="CP21" s="59" t="n">
        <f aca="false">IF(CL21&gt;0,CN21/CL21,0)</f>
        <v>0.255890900961324</v>
      </c>
      <c r="CQ21" s="60" t="n">
        <f aca="false">2_Market_Gross_USD!K19</f>
        <v>4731</v>
      </c>
      <c r="CR21" s="53" t="n">
        <f aca="false">CQ21*(1-0.26)</f>
        <v>3500.94</v>
      </c>
      <c r="CS21" s="58" t="n">
        <f aca="false">CQ21*0.338+0</f>
        <v>1599.078</v>
      </c>
      <c r="CT21" s="55" t="n">
        <f aca="false">CQ21+CS21</f>
        <v>6330.078</v>
      </c>
      <c r="CU21" s="59" t="n">
        <f aca="false">IF(CQ21&gt;0,CS21/CQ21,0)</f>
        <v>0.338</v>
      </c>
      <c r="CV21" s="60" t="n">
        <f aca="false">2_Market_Gross_USD!K19</f>
        <v>4731</v>
      </c>
      <c r="CW21" s="53" t="n">
        <f aca="false">CV21*(1-0.15)</f>
        <v>4021.35</v>
      </c>
      <c r="CX21" s="58" t="n">
        <f aca="false">CV21*0+0</f>
        <v>0</v>
      </c>
      <c r="CY21" s="55" t="n">
        <f aca="false">CV21+CX21</f>
        <v>4731</v>
      </c>
      <c r="CZ21" s="59" t="n">
        <f aca="false">IF(CV21&gt;0,CX21/CV21,0)</f>
        <v>0</v>
      </c>
      <c r="DA21" s="60" t="n">
        <f aca="false">2_Market_Gross_USD!K19</f>
        <v>4731</v>
      </c>
      <c r="DB21" s="53" t="n">
        <f aca="false">DA21*(1-0.26)</f>
        <v>3500.94</v>
      </c>
      <c r="DC21" s="58" t="n">
        <f aca="false">DA21*0.338+500</f>
        <v>2099.078</v>
      </c>
      <c r="DD21" s="55" t="n">
        <f aca="false">DA21+DC21</f>
        <v>6830.078</v>
      </c>
      <c r="DE21" s="59" t="n">
        <f aca="false">IF(DA21&gt;0,DC21/DA21,0)</f>
        <v>0.44368590150074</v>
      </c>
      <c r="DF21" s="60" t="n">
        <f aca="false">2_Market_Gross_USD!L19</f>
        <v>5839</v>
      </c>
      <c r="DG21" s="53" t="n">
        <f aca="false">DF21*(1-0.34)</f>
        <v>3853.74</v>
      </c>
      <c r="DH21" s="58" t="n">
        <f aca="false">DF21*0.2375+0</f>
        <v>1386.7625</v>
      </c>
      <c r="DI21" s="55" t="n">
        <f aca="false">DF21+DH21</f>
        <v>7225.7625</v>
      </c>
      <c r="DJ21" s="59" t="n">
        <f aca="false">IF(DF21&gt;0,DH21/DF21,0)</f>
        <v>0.2375</v>
      </c>
      <c r="DK21" s="60" t="n">
        <f aca="false">2_Market_Gross_USD!L19</f>
        <v>5839</v>
      </c>
      <c r="DL21" s="53" t="n">
        <f aca="false">DK21*(1-0.2)</f>
        <v>4671.2</v>
      </c>
      <c r="DM21" s="58" t="n">
        <f aca="false">DK21*0+0</f>
        <v>0</v>
      </c>
      <c r="DN21" s="55" t="n">
        <f aca="false">DK21+DM21</f>
        <v>5839</v>
      </c>
      <c r="DO21" s="59" t="n">
        <f aca="false">IF(DK21&gt;0,DM21/DK21,0)</f>
        <v>0</v>
      </c>
      <c r="DP21" s="60" t="n">
        <f aca="false">2_Market_Gross_USD!L19</f>
        <v>5839</v>
      </c>
      <c r="DQ21" s="53" t="n">
        <f aca="false">DP21*(1-0.34)</f>
        <v>3853.74</v>
      </c>
      <c r="DR21" s="58" t="n">
        <f aca="false">DP21*0.2375+500</f>
        <v>1886.7625</v>
      </c>
      <c r="DS21" s="55" t="n">
        <f aca="false">DP21+DR21</f>
        <v>7725.7625</v>
      </c>
      <c r="DT21" s="59" t="n">
        <f aca="false">IF(DP21&gt;0,DR21/DP21,0)</f>
        <v>0.323131101215962</v>
      </c>
      <c r="DU21" s="60" t="n">
        <f aca="false">2_Market_Gross_USD!M19</f>
        <v>3733</v>
      </c>
      <c r="DV21" s="53" t="n">
        <f aca="false">DU21*0.65</f>
        <v>2426.45</v>
      </c>
      <c r="DW21" s="58" t="n">
        <f aca="false">DU21*0.0225+0</f>
        <v>83.9925</v>
      </c>
      <c r="DX21" s="55" t="n">
        <f aca="false">DU21+DW21</f>
        <v>3816.9925</v>
      </c>
      <c r="DY21" s="59" t="n">
        <f aca="false">IF(DU21&gt;0,DW21/DU21,0)</f>
        <v>0.0225</v>
      </c>
      <c r="DZ21" s="60" t="n">
        <f aca="false">2_Market_Gross_USD!M19</f>
        <v>3733</v>
      </c>
      <c r="EA21" s="53" t="n">
        <f aca="false">DZ21*(1-0.01)</f>
        <v>3695.67</v>
      </c>
      <c r="EB21" s="58" t="n">
        <f aca="false">DZ21*0+0</f>
        <v>0</v>
      </c>
      <c r="EC21" s="55" t="n">
        <f aca="false">DZ21+EB21</f>
        <v>3733</v>
      </c>
      <c r="ED21" s="59" t="n">
        <f aca="false">IF(DZ21&gt;0,EB21/DZ21,0)</f>
        <v>0</v>
      </c>
      <c r="EE21" s="60" t="n">
        <f aca="false">2_Market_Gross_USD!M19</f>
        <v>3733</v>
      </c>
      <c r="EF21" s="53" t="n">
        <f aca="false">EE21*0.65</f>
        <v>2426.45</v>
      </c>
      <c r="EG21" s="58" t="n">
        <f aca="false">EE21*0.0225+500</f>
        <v>583.9925</v>
      </c>
      <c r="EH21" s="55" t="n">
        <f aca="false">EE21+EG21</f>
        <v>4316.9925</v>
      </c>
      <c r="EI21" s="59" t="n">
        <f aca="false">IF(EE21&gt;0,EG21/EE21,0)</f>
        <v>0.1564405304045</v>
      </c>
    </row>
    <row r="22" customFormat="false" ht="15" hidden="false" customHeight="false" outlineLevel="0" collapsed="false">
      <c r="A22" s="37" t="n">
        <v>17</v>
      </c>
      <c r="B22" s="32" t="s">
        <v>253</v>
      </c>
      <c r="C22" s="32" t="s">
        <v>258</v>
      </c>
      <c r="D22" s="38" t="s">
        <v>248</v>
      </c>
      <c r="E22" s="52" t="n">
        <f aca="false">2_Market_Gross_USD!E20</f>
        <v>1488</v>
      </c>
      <c r="F22" s="53" t="n">
        <f aca="false">E22*(1-0.065)</f>
        <v>1391.28</v>
      </c>
      <c r="G22" s="54" t="n">
        <f aca="false">E22*0+35</f>
        <v>35</v>
      </c>
      <c r="H22" s="55" t="n">
        <f aca="false">E22+G22</f>
        <v>1523</v>
      </c>
      <c r="I22" s="56" t="n">
        <f aca="false">IF(E22&gt;0,G22/E22,0)</f>
        <v>0.0235215053763441</v>
      </c>
      <c r="J22" s="52" t="n">
        <f aca="false">2_Market_Gross_USD!E20</f>
        <v>1488</v>
      </c>
      <c r="K22" s="53" t="n">
        <f aca="false">J22*(1-0.065)</f>
        <v>1391.28</v>
      </c>
      <c r="L22" s="54" t="n">
        <f aca="false">J22*0+40</f>
        <v>40</v>
      </c>
      <c r="M22" s="55" t="n">
        <f aca="false">J22+L22</f>
        <v>1528</v>
      </c>
      <c r="N22" s="56" t="n">
        <f aca="false">IF(J22&gt;0,L22/J22,0)</f>
        <v>0.0268817204301075</v>
      </c>
      <c r="O22" s="52" t="n">
        <f aca="false">2_Market_Gross_USD!E20</f>
        <v>1488</v>
      </c>
      <c r="P22" s="53" t="n">
        <f aca="false">O22*(1-0.195)</f>
        <v>1197.84</v>
      </c>
      <c r="Q22" s="54" t="n">
        <f aca="false">IF(O22&gt;=3886,3886*0.22,O22*0.22)</f>
        <v>327.36</v>
      </c>
      <c r="R22" s="55" t="n">
        <f aca="false">O22+Q22</f>
        <v>1815.36</v>
      </c>
      <c r="S22" s="56" t="n">
        <f aca="false">IF(O22&gt;0,Q22/O22,0)</f>
        <v>0.22</v>
      </c>
      <c r="T22" s="57" t="n">
        <f aca="false">2_Market_Gross_USD!F20</f>
        <v>3698</v>
      </c>
      <c r="U22" s="53" t="n">
        <f aca="false">T22*(1-0.2571)</f>
        <v>2747.2442</v>
      </c>
      <c r="V22" s="54" t="n">
        <f aca="false">T22*0.2038+0</f>
        <v>753.6524</v>
      </c>
      <c r="W22" s="55" t="n">
        <f aca="false">T22+V22</f>
        <v>4451.6524</v>
      </c>
      <c r="X22" s="56" t="n">
        <f aca="false">IF(T22&gt;0,V22/T22,0)</f>
        <v>0.2038</v>
      </c>
      <c r="Y22" s="57" t="n">
        <f aca="false">2_Market_Gross_USD!F20</f>
        <v>3698</v>
      </c>
      <c r="Z22" s="53" t="n">
        <f aca="false">Y22*(1-0.12)</f>
        <v>3254.24</v>
      </c>
      <c r="AA22" s="54" t="n">
        <f aca="false">Y22*0+0</f>
        <v>0</v>
      </c>
      <c r="AB22" s="55" t="n">
        <f aca="false">Y22+AA22</f>
        <v>3698</v>
      </c>
      <c r="AC22" s="56" t="n">
        <f aca="false">IF(Y22&gt;0,AA22/Y22,0)</f>
        <v>0</v>
      </c>
      <c r="AD22" s="57" t="n">
        <f aca="false">2_Market_Gross_USD!F20</f>
        <v>3698</v>
      </c>
      <c r="AE22" s="53" t="n">
        <f aca="false">AD22*(1-0.2571)</f>
        <v>2747.2442</v>
      </c>
      <c r="AF22" s="54" t="n">
        <f aca="false">AD22*0.2038+500</f>
        <v>1253.6524</v>
      </c>
      <c r="AG22" s="55" t="n">
        <f aca="false">AD22+AF22</f>
        <v>4951.6524</v>
      </c>
      <c r="AH22" s="56" t="n">
        <f aca="false">IF(AD22&gt;0,AF22/AD22,0)</f>
        <v>0.339008220659816</v>
      </c>
      <c r="AI22" s="57" t="n">
        <f aca="false">2_Market_Gross_USD!G20</f>
        <v>5820</v>
      </c>
      <c r="AJ22" s="53" t="n">
        <f aca="false">AI22*(1-0.28)</f>
        <v>4190.4</v>
      </c>
      <c r="AK22" s="54" t="n">
        <f aca="false">AI22*0.15+0</f>
        <v>873</v>
      </c>
      <c r="AL22" s="55" t="n">
        <f aca="false">AI22+AK22</f>
        <v>6693</v>
      </c>
      <c r="AM22" s="56" t="n">
        <f aca="false">IF(AI22&gt;0,AK22/AI22,0)</f>
        <v>0.15</v>
      </c>
      <c r="AN22" s="57" t="n">
        <f aca="false">2_Market_Gross_USD!G20</f>
        <v>5820</v>
      </c>
      <c r="AO22" s="53" t="n">
        <f aca="false">AN22*(1-0.19)</f>
        <v>4714.2</v>
      </c>
      <c r="AP22" s="54" t="n">
        <f aca="false">AN22*0+0</f>
        <v>0</v>
      </c>
      <c r="AQ22" s="55" t="n">
        <f aca="false">AN22+AP22</f>
        <v>5820</v>
      </c>
      <c r="AR22" s="56" t="n">
        <f aca="false">IF(AN22&gt;0,AP22/AN22,0)</f>
        <v>0</v>
      </c>
      <c r="AS22" s="57" t="n">
        <f aca="false">2_Market_Gross_USD!G20</f>
        <v>5820</v>
      </c>
      <c r="AT22" s="53" t="n">
        <f aca="false">AS22*(1-0.28)</f>
        <v>4190.4</v>
      </c>
      <c r="AU22" s="54" t="n">
        <f aca="false">AS22*0.15+500</f>
        <v>1373</v>
      </c>
      <c r="AV22" s="55" t="n">
        <f aca="false">AS22+AU22</f>
        <v>7193</v>
      </c>
      <c r="AW22" s="56" t="n">
        <f aca="false">IF(AS22&gt;0,AU22/AS22,0)</f>
        <v>0.235910652920962</v>
      </c>
      <c r="AX22" s="57" t="n">
        <f aca="false">2_Market_Gross_USD!H20</f>
        <v>11500</v>
      </c>
      <c r="AY22" s="53" t="n">
        <f aca="false">AX22*(1-0.2965)</f>
        <v>8090.25</v>
      </c>
      <c r="AZ22" s="54" t="n">
        <f aca="false">AX22*0.11+0</f>
        <v>1265</v>
      </c>
      <c r="BA22" s="55" t="n">
        <f aca="false">AX22+AZ22</f>
        <v>12765</v>
      </c>
      <c r="BB22" s="56" t="n">
        <f aca="false">IF(AX22&gt;0,AZ22/AX22,0)</f>
        <v>0.11</v>
      </c>
      <c r="BC22" s="57" t="n">
        <f aca="false">2_Market_Gross_USD!H20</f>
        <v>11500</v>
      </c>
      <c r="BD22" s="53" t="n">
        <f aca="false">BC22*(1-0.373)</f>
        <v>7210.5</v>
      </c>
      <c r="BE22" s="54" t="n">
        <f aca="false">BC22*0+0</f>
        <v>0</v>
      </c>
      <c r="BF22" s="55" t="n">
        <f aca="false">BC22+BE22</f>
        <v>11500</v>
      </c>
      <c r="BG22" s="56" t="n">
        <f aca="false">IF(BC22&gt;0,BE22/BC22,0)</f>
        <v>0</v>
      </c>
      <c r="BH22" s="57" t="n">
        <f aca="false">2_Market_Gross_USD!H20</f>
        <v>11500</v>
      </c>
      <c r="BI22" s="53" t="n">
        <f aca="false">BH22*(1-0.2965)</f>
        <v>8090.25</v>
      </c>
      <c r="BJ22" s="54" t="n">
        <f aca="false">BH22*0.11+500</f>
        <v>1765</v>
      </c>
      <c r="BK22" s="55" t="n">
        <f aca="false">BH22+BJ22</f>
        <v>13265</v>
      </c>
      <c r="BL22" s="56" t="n">
        <f aca="false">IF(BH22&gt;0,BJ22/BH22,0)</f>
        <v>0.153478260869565</v>
      </c>
      <c r="BM22" s="57" t="n">
        <f aca="false">2_Market_Gross_USD!I20</f>
        <v>5744</v>
      </c>
      <c r="BN22" s="53" t="n">
        <f aca="false">BM22*(1-0.4785)</f>
        <v>2995.496</v>
      </c>
      <c r="BO22" s="54" t="n">
        <f aca="false">BM22*0.21+0</f>
        <v>1206.24</v>
      </c>
      <c r="BP22" s="55" t="n">
        <f aca="false">BM22+BO22</f>
        <v>6950.24</v>
      </c>
      <c r="BQ22" s="56" t="n">
        <f aca="false">IF(BM22&gt;0,BO22/BM22,0)</f>
        <v>0.21</v>
      </c>
      <c r="BR22" s="57" t="n">
        <f aca="false">2_Market_Gross_USD!I20</f>
        <v>5744</v>
      </c>
      <c r="BS22" s="53" t="n">
        <f aca="false">BR22*(1-0.25)</f>
        <v>4308</v>
      </c>
      <c r="BT22" s="54" t="n">
        <f aca="false">BR22*0+0</f>
        <v>0</v>
      </c>
      <c r="BU22" s="55" t="n">
        <f aca="false">BR22+BT22</f>
        <v>5744</v>
      </c>
      <c r="BV22" s="56" t="n">
        <f aca="false">IF(BR22&gt;0,BT22/BR22,0)</f>
        <v>0</v>
      </c>
      <c r="BW22" s="57" t="n">
        <f aca="false">2_Market_Gross_USD!I20</f>
        <v>5744</v>
      </c>
      <c r="BX22" s="53" t="n">
        <f aca="false">BW22*(1-0.4785)</f>
        <v>2995.496</v>
      </c>
      <c r="BY22" s="54" t="n">
        <f aca="false">BW22*0.21+500</f>
        <v>1706.24</v>
      </c>
      <c r="BZ22" s="55" t="n">
        <f aca="false">BW22+BY22</f>
        <v>7450.24</v>
      </c>
      <c r="CA22" s="56" t="n">
        <f aca="false">IF(BW22&gt;0,BY22/BW22,0)</f>
        <v>0.297047353760446</v>
      </c>
      <c r="CB22" s="57" t="n">
        <f aca="false">2_Market_Gross_USD!J20</f>
        <v>6215</v>
      </c>
      <c r="CC22" s="53" t="n">
        <f aca="false">CB22*(1-0.3697)</f>
        <v>3917.3145</v>
      </c>
      <c r="CD22" s="54" t="n">
        <f aca="false">CB22*0.2+0</f>
        <v>1243</v>
      </c>
      <c r="CE22" s="55" t="n">
        <f aca="false">CB22+CD22</f>
        <v>7458</v>
      </c>
      <c r="CF22" s="56" t="n">
        <f aca="false">IF(CB22&gt;0,CD22/CB22,0)</f>
        <v>0.2</v>
      </c>
      <c r="CG22" s="57" t="n">
        <f aca="false">2_Market_Gross_USD!J20</f>
        <v>6215</v>
      </c>
      <c r="CH22" s="53" t="n">
        <f aca="false">CG22*(1-0.3697)</f>
        <v>3917.3145</v>
      </c>
      <c r="CI22" s="54" t="n">
        <f aca="false">CG22*0+0</f>
        <v>0</v>
      </c>
      <c r="CJ22" s="55" t="n">
        <f aca="false">CG22+CI22</f>
        <v>6215</v>
      </c>
      <c r="CK22" s="56" t="n">
        <f aca="false">IF(CG22&gt;0,CI22/CG22,0)</f>
        <v>0</v>
      </c>
      <c r="CL22" s="57" t="n">
        <f aca="false">2_Market_Gross_USD!J20</f>
        <v>6215</v>
      </c>
      <c r="CM22" s="53" t="n">
        <f aca="false">CL22*(1-0.3697)</f>
        <v>3917.3145</v>
      </c>
      <c r="CN22" s="54" t="n">
        <f aca="false">CL22*0.2+500</f>
        <v>1743</v>
      </c>
      <c r="CO22" s="55" t="n">
        <f aca="false">CL22+CN22</f>
        <v>7958</v>
      </c>
      <c r="CP22" s="56" t="n">
        <f aca="false">IF(CL22&gt;0,CN22/CL22,0)</f>
        <v>0.280450522928399</v>
      </c>
      <c r="CQ22" s="57" t="n">
        <f aca="false">2_Market_Gross_USD!K20</f>
        <v>2988</v>
      </c>
      <c r="CR22" s="53" t="n">
        <f aca="false">CQ22*(1-0.26)</f>
        <v>2211.12</v>
      </c>
      <c r="CS22" s="54" t="n">
        <f aca="false">CQ22*0.338+0</f>
        <v>1009.944</v>
      </c>
      <c r="CT22" s="55" t="n">
        <f aca="false">CQ22+CS22</f>
        <v>3997.944</v>
      </c>
      <c r="CU22" s="56" t="n">
        <f aca="false">IF(CQ22&gt;0,CS22/CQ22,0)</f>
        <v>0.338</v>
      </c>
      <c r="CV22" s="57" t="n">
        <f aca="false">2_Market_Gross_USD!K20</f>
        <v>2988</v>
      </c>
      <c r="CW22" s="53" t="n">
        <f aca="false">CV22*(1-0.15)</f>
        <v>2539.8</v>
      </c>
      <c r="CX22" s="54" t="n">
        <f aca="false">CV22*0+0</f>
        <v>0</v>
      </c>
      <c r="CY22" s="55" t="n">
        <f aca="false">CV22+CX22</f>
        <v>2988</v>
      </c>
      <c r="CZ22" s="56" t="n">
        <f aca="false">IF(CV22&gt;0,CX22/CV22,0)</f>
        <v>0</v>
      </c>
      <c r="DA22" s="57" t="n">
        <f aca="false">2_Market_Gross_USD!K20</f>
        <v>2988</v>
      </c>
      <c r="DB22" s="53" t="n">
        <f aca="false">DA22*(1-0.26)</f>
        <v>2211.12</v>
      </c>
      <c r="DC22" s="54" t="n">
        <f aca="false">DA22*0.338+500</f>
        <v>1509.944</v>
      </c>
      <c r="DD22" s="55" t="n">
        <f aca="false">DA22+DC22</f>
        <v>4497.944</v>
      </c>
      <c r="DE22" s="56" t="n">
        <f aca="false">IF(DA22&gt;0,DC22/DA22,0)</f>
        <v>0.505336010709505</v>
      </c>
      <c r="DF22" s="57" t="n">
        <f aca="false">2_Market_Gross_USD!L20</f>
        <v>3955</v>
      </c>
      <c r="DG22" s="53" t="n">
        <f aca="false">DF22*(1-0.34)</f>
        <v>2610.3</v>
      </c>
      <c r="DH22" s="54" t="n">
        <f aca="false">DF22*0.2375+0</f>
        <v>939.3125</v>
      </c>
      <c r="DI22" s="55" t="n">
        <f aca="false">DF22+DH22</f>
        <v>4894.3125</v>
      </c>
      <c r="DJ22" s="56" t="n">
        <f aca="false">IF(DF22&gt;0,DH22/DF22,0)</f>
        <v>0.2375</v>
      </c>
      <c r="DK22" s="57" t="n">
        <f aca="false">2_Market_Gross_USD!L20</f>
        <v>3955</v>
      </c>
      <c r="DL22" s="53" t="n">
        <f aca="false">DK22*(1-0.2)</f>
        <v>3164</v>
      </c>
      <c r="DM22" s="54" t="n">
        <f aca="false">DK22*0+0</f>
        <v>0</v>
      </c>
      <c r="DN22" s="55" t="n">
        <f aca="false">DK22+DM22</f>
        <v>3955</v>
      </c>
      <c r="DO22" s="56" t="n">
        <f aca="false">IF(DK22&gt;0,DM22/DK22,0)</f>
        <v>0</v>
      </c>
      <c r="DP22" s="57" t="n">
        <f aca="false">2_Market_Gross_USD!L20</f>
        <v>3955</v>
      </c>
      <c r="DQ22" s="53" t="n">
        <f aca="false">DP22*(1-0.34)</f>
        <v>2610.3</v>
      </c>
      <c r="DR22" s="54" t="n">
        <f aca="false">DP22*0.2375+500</f>
        <v>1439.3125</v>
      </c>
      <c r="DS22" s="55" t="n">
        <f aca="false">DP22+DR22</f>
        <v>5394.3125</v>
      </c>
      <c r="DT22" s="56" t="n">
        <f aca="false">IF(DP22&gt;0,DR22/DP22,0)</f>
        <v>0.363922250316056</v>
      </c>
      <c r="DU22" s="57" t="n">
        <f aca="false">2_Market_Gross_USD!M20</f>
        <v>2500</v>
      </c>
      <c r="DV22" s="53" t="n">
        <f aca="false">DU22*0.65</f>
        <v>1625</v>
      </c>
      <c r="DW22" s="54" t="n">
        <f aca="false">DU22*0.0225+0</f>
        <v>56.25</v>
      </c>
      <c r="DX22" s="55" t="n">
        <f aca="false">DU22+DW22</f>
        <v>2556.25</v>
      </c>
      <c r="DY22" s="56" t="n">
        <f aca="false">IF(DU22&gt;0,DW22/DU22,0)</f>
        <v>0.0225</v>
      </c>
      <c r="DZ22" s="57" t="n">
        <f aca="false">2_Market_Gross_USD!M20</f>
        <v>2500</v>
      </c>
      <c r="EA22" s="53" t="n">
        <f aca="false">DZ22*(1-0.01)</f>
        <v>2475</v>
      </c>
      <c r="EB22" s="54" t="n">
        <f aca="false">DZ22*0+0</f>
        <v>0</v>
      </c>
      <c r="EC22" s="55" t="n">
        <f aca="false">DZ22+EB22</f>
        <v>2500</v>
      </c>
      <c r="ED22" s="56" t="n">
        <f aca="false">IF(DZ22&gt;0,EB22/DZ22,0)</f>
        <v>0</v>
      </c>
      <c r="EE22" s="57" t="n">
        <f aca="false">2_Market_Gross_USD!M20</f>
        <v>2500</v>
      </c>
      <c r="EF22" s="53" t="n">
        <f aca="false">EE22*0.65</f>
        <v>1625</v>
      </c>
      <c r="EG22" s="54" t="n">
        <f aca="false">EE22*0.0225+500</f>
        <v>556.25</v>
      </c>
      <c r="EH22" s="55" t="n">
        <f aca="false">EE22+EG22</f>
        <v>3056.25</v>
      </c>
      <c r="EI22" s="56" t="n">
        <f aca="false">IF(EE22&gt;0,EG22/EE22,0)</f>
        <v>0.2225</v>
      </c>
    </row>
    <row r="23" customFormat="false" ht="15" hidden="false" customHeight="false" outlineLevel="0" collapsed="false">
      <c r="A23" s="41" t="n">
        <v>18</v>
      </c>
      <c r="B23" s="28" t="s">
        <v>253</v>
      </c>
      <c r="C23" s="8" t="s">
        <v>258</v>
      </c>
      <c r="D23" s="42" t="s">
        <v>249</v>
      </c>
      <c r="E23" s="52" t="n">
        <f aca="false">2_Market_Gross_USD!E21</f>
        <v>4500</v>
      </c>
      <c r="F23" s="53" t="n">
        <f aca="false">E23*(1-0.065)</f>
        <v>4207.5</v>
      </c>
      <c r="G23" s="58" t="n">
        <f aca="false">E23*0+35</f>
        <v>35</v>
      </c>
      <c r="H23" s="55" t="n">
        <f aca="false">E23+G23</f>
        <v>4535</v>
      </c>
      <c r="I23" s="59" t="n">
        <f aca="false">IF(E23&gt;0,G23/E23,0)</f>
        <v>0.00777777777777778</v>
      </c>
      <c r="J23" s="52" t="n">
        <f aca="false">2_Market_Gross_USD!E21</f>
        <v>4500</v>
      </c>
      <c r="K23" s="53" t="n">
        <f aca="false">J23*(1-0.065)</f>
        <v>4207.5</v>
      </c>
      <c r="L23" s="58" t="n">
        <f aca="false">J23*0+40</f>
        <v>40</v>
      </c>
      <c r="M23" s="55" t="n">
        <f aca="false">J23+L23</f>
        <v>4540</v>
      </c>
      <c r="N23" s="59" t="n">
        <f aca="false">IF(J23&gt;0,L23/J23,0)</f>
        <v>0.00888888888888889</v>
      </c>
      <c r="O23" s="52" t="n">
        <f aca="false">2_Market_Gross_USD!E21</f>
        <v>4500</v>
      </c>
      <c r="P23" s="53" t="n">
        <f aca="false">O23*(1-0.195)</f>
        <v>3622.5</v>
      </c>
      <c r="Q23" s="58" t="n">
        <f aca="false">IF(O23&gt;=3886,3886*0.22,O23*0.22)</f>
        <v>854.92</v>
      </c>
      <c r="R23" s="55" t="n">
        <f aca="false">O23+Q23</f>
        <v>5354.92</v>
      </c>
      <c r="S23" s="59" t="n">
        <f aca="false">IF(O23&gt;0,Q23/O23,0)</f>
        <v>0.189982222222222</v>
      </c>
      <c r="T23" s="60" t="n">
        <f aca="false">2_Market_Gross_USD!F21</f>
        <v>6248</v>
      </c>
      <c r="U23" s="53" t="n">
        <f aca="false">T23*(1-0.2571)</f>
        <v>4641.6392</v>
      </c>
      <c r="V23" s="58" t="n">
        <f aca="false">T23*0.2038+0</f>
        <v>1273.3424</v>
      </c>
      <c r="W23" s="55" t="n">
        <f aca="false">T23+V23</f>
        <v>7521.3424</v>
      </c>
      <c r="X23" s="59" t="n">
        <f aca="false">IF(T23&gt;0,V23/T23,0)</f>
        <v>0.2038</v>
      </c>
      <c r="Y23" s="60" t="n">
        <f aca="false">2_Market_Gross_USD!F21</f>
        <v>6248</v>
      </c>
      <c r="Z23" s="53" t="n">
        <f aca="false">Y23*(1-0.12)</f>
        <v>5498.24</v>
      </c>
      <c r="AA23" s="58" t="n">
        <f aca="false">Y23*0+0</f>
        <v>0</v>
      </c>
      <c r="AB23" s="55" t="n">
        <f aca="false">Y23+AA23</f>
        <v>6248</v>
      </c>
      <c r="AC23" s="59" t="n">
        <f aca="false">IF(Y23&gt;0,AA23/Y23,0)</f>
        <v>0</v>
      </c>
      <c r="AD23" s="60" t="n">
        <f aca="false">2_Market_Gross_USD!F21</f>
        <v>6248</v>
      </c>
      <c r="AE23" s="53" t="n">
        <f aca="false">AD23*(1-0.2571)</f>
        <v>4641.6392</v>
      </c>
      <c r="AF23" s="58" t="n">
        <f aca="false">AD23*0.2038+500</f>
        <v>1773.3424</v>
      </c>
      <c r="AG23" s="55" t="n">
        <f aca="false">AD23+AF23</f>
        <v>8021.3424</v>
      </c>
      <c r="AH23" s="59" t="n">
        <f aca="false">IF(AD23&gt;0,AF23/AD23,0)</f>
        <v>0.283825608194622</v>
      </c>
      <c r="AI23" s="60" t="n">
        <f aca="false">2_Market_Gross_USD!G21</f>
        <v>8467</v>
      </c>
      <c r="AJ23" s="53" t="n">
        <f aca="false">AI23*(1-0.28)</f>
        <v>6096.24</v>
      </c>
      <c r="AK23" s="58" t="n">
        <f aca="false">AI23*0.15+0</f>
        <v>1270.05</v>
      </c>
      <c r="AL23" s="55" t="n">
        <f aca="false">AI23+AK23</f>
        <v>9737.05</v>
      </c>
      <c r="AM23" s="59" t="n">
        <f aca="false">IF(AI23&gt;0,AK23/AI23,0)</f>
        <v>0.15</v>
      </c>
      <c r="AN23" s="60" t="n">
        <f aca="false">2_Market_Gross_USD!G21</f>
        <v>8467</v>
      </c>
      <c r="AO23" s="53" t="n">
        <f aca="false">AN23*(1-0.19)</f>
        <v>6858.27</v>
      </c>
      <c r="AP23" s="58" t="n">
        <f aca="false">AN23*0+0</f>
        <v>0</v>
      </c>
      <c r="AQ23" s="55" t="n">
        <f aca="false">AN23+AP23</f>
        <v>8467</v>
      </c>
      <c r="AR23" s="59" t="n">
        <f aca="false">IF(AN23&gt;0,AP23/AN23,0)</f>
        <v>0</v>
      </c>
      <c r="AS23" s="60" t="n">
        <f aca="false">2_Market_Gross_USD!G21</f>
        <v>8467</v>
      </c>
      <c r="AT23" s="53" t="n">
        <f aca="false">AS23*(1-0.28)</f>
        <v>6096.24</v>
      </c>
      <c r="AU23" s="58" t="n">
        <f aca="false">AS23*0.15+500</f>
        <v>1770.05</v>
      </c>
      <c r="AV23" s="55" t="n">
        <f aca="false">AS23+AU23</f>
        <v>10237.05</v>
      </c>
      <c r="AW23" s="59" t="n">
        <f aca="false">IF(AS23&gt;0,AU23/AS23,0)</f>
        <v>0.209052793197118</v>
      </c>
      <c r="AX23" s="60" t="n">
        <f aca="false">2_Market_Gross_USD!H21</f>
        <v>14450</v>
      </c>
      <c r="AY23" s="53" t="n">
        <f aca="false">AX23*(1-0.2965)</f>
        <v>10165.575</v>
      </c>
      <c r="AZ23" s="58" t="n">
        <f aca="false">AX23*0.11+0</f>
        <v>1589.5</v>
      </c>
      <c r="BA23" s="55" t="n">
        <f aca="false">AX23+AZ23</f>
        <v>16039.5</v>
      </c>
      <c r="BB23" s="59" t="n">
        <f aca="false">IF(AX23&gt;0,AZ23/AX23,0)</f>
        <v>0.11</v>
      </c>
      <c r="BC23" s="60" t="n">
        <f aca="false">2_Market_Gross_USD!H21</f>
        <v>14450</v>
      </c>
      <c r="BD23" s="53" t="n">
        <f aca="false">BC23*(1-0.373)</f>
        <v>9060.15</v>
      </c>
      <c r="BE23" s="58" t="n">
        <f aca="false">BC23*0+0</f>
        <v>0</v>
      </c>
      <c r="BF23" s="55" t="n">
        <f aca="false">BC23+BE23</f>
        <v>14450</v>
      </c>
      <c r="BG23" s="59" t="n">
        <f aca="false">IF(BC23&gt;0,BE23/BC23,0)</f>
        <v>0</v>
      </c>
      <c r="BH23" s="60" t="n">
        <f aca="false">2_Market_Gross_USD!H21</f>
        <v>14450</v>
      </c>
      <c r="BI23" s="53" t="n">
        <f aca="false">BH23*(1-0.2965)</f>
        <v>10165.575</v>
      </c>
      <c r="BJ23" s="58" t="n">
        <f aca="false">BH23*0.11+500</f>
        <v>2089.5</v>
      </c>
      <c r="BK23" s="55" t="n">
        <f aca="false">BH23+BJ23</f>
        <v>16539.5</v>
      </c>
      <c r="BL23" s="59" t="n">
        <f aca="false">IF(BH23&gt;0,BJ23/BH23,0)</f>
        <v>0.144602076124567</v>
      </c>
      <c r="BM23" s="60" t="n">
        <f aca="false">2_Market_Gross_USD!I21</f>
        <v>8286</v>
      </c>
      <c r="BN23" s="53" t="n">
        <f aca="false">BM23*(1-0.4785)</f>
        <v>4321.149</v>
      </c>
      <c r="BO23" s="58" t="n">
        <f aca="false">BM23*0.21+0</f>
        <v>1740.06</v>
      </c>
      <c r="BP23" s="55" t="n">
        <f aca="false">BM23+BO23</f>
        <v>10026.06</v>
      </c>
      <c r="BQ23" s="59" t="n">
        <f aca="false">IF(BM23&gt;0,BO23/BM23,0)</f>
        <v>0.21</v>
      </c>
      <c r="BR23" s="60" t="n">
        <f aca="false">2_Market_Gross_USD!I21</f>
        <v>8286</v>
      </c>
      <c r="BS23" s="53" t="n">
        <f aca="false">BR23*(1-0.25)</f>
        <v>6214.5</v>
      </c>
      <c r="BT23" s="58" t="n">
        <f aca="false">BR23*0+0</f>
        <v>0</v>
      </c>
      <c r="BU23" s="55" t="n">
        <f aca="false">BR23+BT23</f>
        <v>8286</v>
      </c>
      <c r="BV23" s="59" t="n">
        <f aca="false">IF(BR23&gt;0,BT23/BR23,0)</f>
        <v>0</v>
      </c>
      <c r="BW23" s="60" t="n">
        <f aca="false">2_Market_Gross_USD!I21</f>
        <v>8286</v>
      </c>
      <c r="BX23" s="53" t="n">
        <f aca="false">BW23*(1-0.4785)</f>
        <v>4321.149</v>
      </c>
      <c r="BY23" s="58" t="n">
        <f aca="false">BW23*0.21+500</f>
        <v>2240.06</v>
      </c>
      <c r="BZ23" s="55" t="n">
        <f aca="false">BW23+BY23</f>
        <v>10526.06</v>
      </c>
      <c r="CA23" s="59" t="n">
        <f aca="false">IF(BW23&gt;0,BY23/BW23,0)</f>
        <v>0.270342746801834</v>
      </c>
      <c r="CB23" s="60" t="n">
        <f aca="false">2_Market_Gross_USD!J21</f>
        <v>9229</v>
      </c>
      <c r="CC23" s="53" t="n">
        <f aca="false">CB23*(1-0.3697)</f>
        <v>5817.0387</v>
      </c>
      <c r="CD23" s="58" t="n">
        <f aca="false">CB23*0.2+0</f>
        <v>1845.8</v>
      </c>
      <c r="CE23" s="55" t="n">
        <f aca="false">CB23+CD23</f>
        <v>11074.8</v>
      </c>
      <c r="CF23" s="59" t="n">
        <f aca="false">IF(CB23&gt;0,CD23/CB23,0)</f>
        <v>0.2</v>
      </c>
      <c r="CG23" s="60" t="n">
        <f aca="false">2_Market_Gross_USD!J21</f>
        <v>9229</v>
      </c>
      <c r="CH23" s="53" t="n">
        <f aca="false">CG23*(1-0.3697)</f>
        <v>5817.0387</v>
      </c>
      <c r="CI23" s="58" t="n">
        <f aca="false">CG23*0+0</f>
        <v>0</v>
      </c>
      <c r="CJ23" s="55" t="n">
        <f aca="false">CG23+CI23</f>
        <v>9229</v>
      </c>
      <c r="CK23" s="59" t="n">
        <f aca="false">IF(CG23&gt;0,CI23/CG23,0)</f>
        <v>0</v>
      </c>
      <c r="CL23" s="60" t="n">
        <f aca="false">2_Market_Gross_USD!J21</f>
        <v>9229</v>
      </c>
      <c r="CM23" s="53" t="n">
        <f aca="false">CL23*(1-0.3697)</f>
        <v>5817.0387</v>
      </c>
      <c r="CN23" s="58" t="n">
        <f aca="false">CL23*0.2+500</f>
        <v>2345.8</v>
      </c>
      <c r="CO23" s="55" t="n">
        <f aca="false">CL23+CN23</f>
        <v>11574.8</v>
      </c>
      <c r="CP23" s="59" t="n">
        <f aca="false">IF(CL23&gt;0,CN23/CL23,0)</f>
        <v>0.254177050601365</v>
      </c>
      <c r="CQ23" s="60" t="n">
        <f aca="false">2_Market_Gross_USD!K21</f>
        <v>4731</v>
      </c>
      <c r="CR23" s="53" t="n">
        <f aca="false">CQ23*(1-0.26)</f>
        <v>3500.94</v>
      </c>
      <c r="CS23" s="58" t="n">
        <f aca="false">CQ23*0.338+0</f>
        <v>1599.078</v>
      </c>
      <c r="CT23" s="55" t="n">
        <f aca="false">CQ23+CS23</f>
        <v>6330.078</v>
      </c>
      <c r="CU23" s="59" t="n">
        <f aca="false">IF(CQ23&gt;0,CS23/CQ23,0)</f>
        <v>0.338</v>
      </c>
      <c r="CV23" s="60" t="n">
        <f aca="false">2_Market_Gross_USD!K21</f>
        <v>4731</v>
      </c>
      <c r="CW23" s="53" t="n">
        <f aca="false">CV23*(1-0.15)</f>
        <v>4021.35</v>
      </c>
      <c r="CX23" s="58" t="n">
        <f aca="false">CV23*0+0</f>
        <v>0</v>
      </c>
      <c r="CY23" s="55" t="n">
        <f aca="false">CV23+CX23</f>
        <v>4731</v>
      </c>
      <c r="CZ23" s="59" t="n">
        <f aca="false">IF(CV23&gt;0,CX23/CV23,0)</f>
        <v>0</v>
      </c>
      <c r="DA23" s="60" t="n">
        <f aca="false">2_Market_Gross_USD!K21</f>
        <v>4731</v>
      </c>
      <c r="DB23" s="53" t="n">
        <f aca="false">DA23*(1-0.26)</f>
        <v>3500.94</v>
      </c>
      <c r="DC23" s="58" t="n">
        <f aca="false">DA23*0.338+500</f>
        <v>2099.078</v>
      </c>
      <c r="DD23" s="55" t="n">
        <f aca="false">DA23+DC23</f>
        <v>6830.078</v>
      </c>
      <c r="DE23" s="59" t="n">
        <f aca="false">IF(DA23&gt;0,DC23/DA23,0)</f>
        <v>0.44368590150074</v>
      </c>
      <c r="DF23" s="60" t="n">
        <f aca="false">2_Market_Gross_USD!L21</f>
        <v>6215</v>
      </c>
      <c r="DG23" s="53" t="n">
        <f aca="false">DF23*(1-0.34)</f>
        <v>4101.9</v>
      </c>
      <c r="DH23" s="58" t="n">
        <f aca="false">DF23*0.2375+0</f>
        <v>1476.0625</v>
      </c>
      <c r="DI23" s="55" t="n">
        <f aca="false">DF23+DH23</f>
        <v>7691.0625</v>
      </c>
      <c r="DJ23" s="59" t="n">
        <f aca="false">IF(DF23&gt;0,DH23/DF23,0)</f>
        <v>0.2375</v>
      </c>
      <c r="DK23" s="60" t="n">
        <f aca="false">2_Market_Gross_USD!L21</f>
        <v>6215</v>
      </c>
      <c r="DL23" s="53" t="n">
        <f aca="false">DK23*(1-0.2)</f>
        <v>4972</v>
      </c>
      <c r="DM23" s="58" t="n">
        <f aca="false">DK23*0+0</f>
        <v>0</v>
      </c>
      <c r="DN23" s="55" t="n">
        <f aca="false">DK23+DM23</f>
        <v>6215</v>
      </c>
      <c r="DO23" s="59" t="n">
        <f aca="false">IF(DK23&gt;0,DM23/DK23,0)</f>
        <v>0</v>
      </c>
      <c r="DP23" s="60" t="n">
        <f aca="false">2_Market_Gross_USD!L21</f>
        <v>6215</v>
      </c>
      <c r="DQ23" s="53" t="n">
        <f aca="false">DP23*(1-0.34)</f>
        <v>4101.9</v>
      </c>
      <c r="DR23" s="58" t="n">
        <f aca="false">DP23*0.2375+500</f>
        <v>1976.0625</v>
      </c>
      <c r="DS23" s="55" t="n">
        <f aca="false">DP23+DR23</f>
        <v>8191.0625</v>
      </c>
      <c r="DT23" s="59" t="n">
        <f aca="false">IF(DP23&gt;0,DR23/DP23,0)</f>
        <v>0.317950522928399</v>
      </c>
      <c r="DU23" s="60" t="n">
        <f aca="false">2_Market_Gross_USD!M21</f>
        <v>4200</v>
      </c>
      <c r="DV23" s="53" t="n">
        <f aca="false">DU23*0.65</f>
        <v>2730</v>
      </c>
      <c r="DW23" s="58" t="n">
        <f aca="false">DU23*0.0225+0</f>
        <v>94.5</v>
      </c>
      <c r="DX23" s="55" t="n">
        <f aca="false">DU23+DW23</f>
        <v>4294.5</v>
      </c>
      <c r="DY23" s="59" t="n">
        <f aca="false">IF(DU23&gt;0,DW23/DU23,0)</f>
        <v>0.0225</v>
      </c>
      <c r="DZ23" s="60" t="n">
        <f aca="false">2_Market_Gross_USD!M21</f>
        <v>4200</v>
      </c>
      <c r="EA23" s="53" t="n">
        <f aca="false">DZ23*(1-0.01)</f>
        <v>4158</v>
      </c>
      <c r="EB23" s="58" t="n">
        <f aca="false">DZ23*0+0</f>
        <v>0</v>
      </c>
      <c r="EC23" s="55" t="n">
        <f aca="false">DZ23+EB23</f>
        <v>4200</v>
      </c>
      <c r="ED23" s="59" t="n">
        <f aca="false">IF(DZ23&gt;0,EB23/DZ23,0)</f>
        <v>0</v>
      </c>
      <c r="EE23" s="60" t="n">
        <f aca="false">2_Market_Gross_USD!M21</f>
        <v>4200</v>
      </c>
      <c r="EF23" s="53" t="n">
        <f aca="false">EE23*0.65</f>
        <v>2730</v>
      </c>
      <c r="EG23" s="58" t="n">
        <f aca="false">EE23*0.0225+500</f>
        <v>594.5</v>
      </c>
      <c r="EH23" s="55" t="n">
        <f aca="false">EE23+EG23</f>
        <v>4794.5</v>
      </c>
      <c r="EI23" s="59" t="n">
        <f aca="false">IF(EE23&gt;0,EG23/EE23,0)</f>
        <v>0.141547619047619</v>
      </c>
    </row>
    <row r="24" customFormat="false" ht="15" hidden="false" customHeight="false" outlineLevel="0" collapsed="false">
      <c r="A24" s="37" t="n">
        <v>19</v>
      </c>
      <c r="B24" s="32" t="s">
        <v>259</v>
      </c>
      <c r="C24" s="32" t="s">
        <v>260</v>
      </c>
      <c r="D24" s="38" t="s">
        <v>248</v>
      </c>
      <c r="E24" s="52" t="n">
        <f aca="false">2_Market_Gross_USD!E22</f>
        <v>1231</v>
      </c>
      <c r="F24" s="53" t="n">
        <f aca="false">E24*(1-0.065)</f>
        <v>1150.985</v>
      </c>
      <c r="G24" s="54" t="n">
        <f aca="false">E24*0+35</f>
        <v>35</v>
      </c>
      <c r="H24" s="55" t="n">
        <f aca="false">E24+G24</f>
        <v>1266</v>
      </c>
      <c r="I24" s="56" t="n">
        <f aca="false">IF(E24&gt;0,G24/E24,0)</f>
        <v>0.0284321689683184</v>
      </c>
      <c r="J24" s="52" t="n">
        <f aca="false">2_Market_Gross_USD!E22</f>
        <v>1231</v>
      </c>
      <c r="K24" s="53" t="n">
        <f aca="false">J24*(1-0.065)</f>
        <v>1150.985</v>
      </c>
      <c r="L24" s="54" t="n">
        <f aca="false">J24*0+40</f>
        <v>40</v>
      </c>
      <c r="M24" s="55" t="n">
        <f aca="false">J24+L24</f>
        <v>1271</v>
      </c>
      <c r="N24" s="56" t="n">
        <f aca="false">IF(J24&gt;0,L24/J24,0)</f>
        <v>0.0324939073923639</v>
      </c>
      <c r="O24" s="52" t="n">
        <f aca="false">2_Market_Gross_USD!E22</f>
        <v>1231</v>
      </c>
      <c r="P24" s="53" t="n">
        <f aca="false">O24*(1-0.195)</f>
        <v>990.955</v>
      </c>
      <c r="Q24" s="54" t="n">
        <f aca="false">IF(O24&gt;=3886,3886*0.22,O24*0.22)</f>
        <v>270.82</v>
      </c>
      <c r="R24" s="55" t="n">
        <f aca="false">O24+Q24</f>
        <v>1501.82</v>
      </c>
      <c r="S24" s="56" t="n">
        <f aca="false">IF(O24&gt;0,Q24/O24,0)</f>
        <v>0.22</v>
      </c>
      <c r="T24" s="57" t="n">
        <f aca="false">2_Market_Gross_USD!F22</f>
        <v>3188</v>
      </c>
      <c r="U24" s="53" t="n">
        <f aca="false">T24*(1-0.2571)</f>
        <v>2368.3652</v>
      </c>
      <c r="V24" s="54" t="n">
        <f aca="false">T24*0.2038+0</f>
        <v>649.7144</v>
      </c>
      <c r="W24" s="55" t="n">
        <f aca="false">T24+V24</f>
        <v>3837.7144</v>
      </c>
      <c r="X24" s="56" t="n">
        <f aca="false">IF(T24&gt;0,V24/T24,0)</f>
        <v>0.2038</v>
      </c>
      <c r="Y24" s="57" t="n">
        <f aca="false">2_Market_Gross_USD!F22</f>
        <v>3188</v>
      </c>
      <c r="Z24" s="53" t="n">
        <f aca="false">Y24*(1-0.12)</f>
        <v>2805.44</v>
      </c>
      <c r="AA24" s="54" t="n">
        <f aca="false">Y24*0+0</f>
        <v>0</v>
      </c>
      <c r="AB24" s="55" t="n">
        <f aca="false">Y24+AA24</f>
        <v>3188</v>
      </c>
      <c r="AC24" s="56" t="n">
        <f aca="false">IF(Y24&gt;0,AA24/Y24,0)</f>
        <v>0</v>
      </c>
      <c r="AD24" s="57" t="n">
        <f aca="false">2_Market_Gross_USD!F22</f>
        <v>3188</v>
      </c>
      <c r="AE24" s="53" t="n">
        <f aca="false">AD24*(1-0.2571)</f>
        <v>2368.3652</v>
      </c>
      <c r="AF24" s="54" t="n">
        <f aca="false">AD24*0.2038+500</f>
        <v>1149.7144</v>
      </c>
      <c r="AG24" s="55" t="n">
        <f aca="false">AD24+AF24</f>
        <v>4337.7144</v>
      </c>
      <c r="AH24" s="56" t="n">
        <f aca="false">IF(AD24&gt;0,AF24/AD24,0)</f>
        <v>0.360638143036386</v>
      </c>
      <c r="AI24" s="57" t="n">
        <f aca="false">2_Market_Gross_USD!G22</f>
        <v>4233</v>
      </c>
      <c r="AJ24" s="53" t="n">
        <f aca="false">AI24*(1-0.28)</f>
        <v>3047.76</v>
      </c>
      <c r="AK24" s="54" t="n">
        <f aca="false">AI24*0.15+0</f>
        <v>634.95</v>
      </c>
      <c r="AL24" s="55" t="n">
        <f aca="false">AI24+AK24</f>
        <v>4867.95</v>
      </c>
      <c r="AM24" s="56" t="n">
        <f aca="false">IF(AI24&gt;0,AK24/AI24,0)</f>
        <v>0.15</v>
      </c>
      <c r="AN24" s="57" t="n">
        <f aca="false">2_Market_Gross_USD!G22</f>
        <v>4233</v>
      </c>
      <c r="AO24" s="53" t="n">
        <f aca="false">AN24*(1-0.19)</f>
        <v>3428.73</v>
      </c>
      <c r="AP24" s="54" t="n">
        <f aca="false">AN24*0+0</f>
        <v>0</v>
      </c>
      <c r="AQ24" s="55" t="n">
        <f aca="false">AN24+AP24</f>
        <v>4233</v>
      </c>
      <c r="AR24" s="56" t="n">
        <f aca="false">IF(AN24&gt;0,AP24/AN24,0)</f>
        <v>0</v>
      </c>
      <c r="AS24" s="57" t="n">
        <f aca="false">2_Market_Gross_USD!G22</f>
        <v>4233</v>
      </c>
      <c r="AT24" s="53" t="n">
        <f aca="false">AS24*(1-0.28)</f>
        <v>3047.76</v>
      </c>
      <c r="AU24" s="54" t="n">
        <f aca="false">AS24*0.15+500</f>
        <v>1134.95</v>
      </c>
      <c r="AV24" s="55" t="n">
        <f aca="false">AS24+AU24</f>
        <v>5367.95</v>
      </c>
      <c r="AW24" s="56" t="n">
        <f aca="false">IF(AS24&gt;0,AU24/AS24,0)</f>
        <v>0.268119536971415</v>
      </c>
      <c r="AX24" s="57" t="n">
        <f aca="false">2_Market_Gross_USD!H22</f>
        <v>9500</v>
      </c>
      <c r="AY24" s="53" t="n">
        <f aca="false">AX24*(1-0.2965)</f>
        <v>6683.25</v>
      </c>
      <c r="AZ24" s="54" t="n">
        <f aca="false">AX24*0.11+0</f>
        <v>1045</v>
      </c>
      <c r="BA24" s="55" t="n">
        <f aca="false">AX24+AZ24</f>
        <v>10545</v>
      </c>
      <c r="BB24" s="56" t="n">
        <f aca="false">IF(AX24&gt;0,AZ24/AX24,0)</f>
        <v>0.11</v>
      </c>
      <c r="BC24" s="57" t="n">
        <f aca="false">2_Market_Gross_USD!H22</f>
        <v>9500</v>
      </c>
      <c r="BD24" s="53" t="n">
        <f aca="false">BC24*(1-0.373)</f>
        <v>5956.5</v>
      </c>
      <c r="BE24" s="54" t="n">
        <f aca="false">BC24*0+0</f>
        <v>0</v>
      </c>
      <c r="BF24" s="55" t="n">
        <f aca="false">BC24+BE24</f>
        <v>9500</v>
      </c>
      <c r="BG24" s="56" t="n">
        <f aca="false">IF(BC24&gt;0,BE24/BC24,0)</f>
        <v>0</v>
      </c>
      <c r="BH24" s="57" t="n">
        <f aca="false">2_Market_Gross_USD!H22</f>
        <v>9500</v>
      </c>
      <c r="BI24" s="53" t="n">
        <f aca="false">BH24*(1-0.2965)</f>
        <v>6683.25</v>
      </c>
      <c r="BJ24" s="54" t="n">
        <f aca="false">BH24*0.11+500</f>
        <v>1545</v>
      </c>
      <c r="BK24" s="55" t="n">
        <f aca="false">BH24+BJ24</f>
        <v>11045</v>
      </c>
      <c r="BL24" s="56" t="n">
        <f aca="false">IF(BH24&gt;0,BJ24/BH24,0)</f>
        <v>0.162631578947368</v>
      </c>
      <c r="BM24" s="57" t="n">
        <f aca="false">2_Market_Gross_USD!I22</f>
        <v>4803</v>
      </c>
      <c r="BN24" s="53" t="n">
        <f aca="false">BM24*(1-0.4785)</f>
        <v>2504.7645</v>
      </c>
      <c r="BO24" s="54" t="n">
        <f aca="false">BM24*0.21+0</f>
        <v>1008.63</v>
      </c>
      <c r="BP24" s="55" t="n">
        <f aca="false">BM24+BO24</f>
        <v>5811.63</v>
      </c>
      <c r="BQ24" s="56" t="n">
        <f aca="false">IF(BM24&gt;0,BO24/BM24,0)</f>
        <v>0.21</v>
      </c>
      <c r="BR24" s="57" t="n">
        <f aca="false">2_Market_Gross_USD!I22</f>
        <v>4803</v>
      </c>
      <c r="BS24" s="53" t="n">
        <f aca="false">BR24*(1-0.25)</f>
        <v>3602.25</v>
      </c>
      <c r="BT24" s="54" t="n">
        <f aca="false">BR24*0+0</f>
        <v>0</v>
      </c>
      <c r="BU24" s="55" t="n">
        <f aca="false">BR24+BT24</f>
        <v>4803</v>
      </c>
      <c r="BV24" s="56" t="n">
        <f aca="false">IF(BR24&gt;0,BT24/BR24,0)</f>
        <v>0</v>
      </c>
      <c r="BW24" s="57" t="n">
        <f aca="false">2_Market_Gross_USD!I22</f>
        <v>4803</v>
      </c>
      <c r="BX24" s="53" t="n">
        <f aca="false">BW24*(1-0.4785)</f>
        <v>2504.7645</v>
      </c>
      <c r="BY24" s="54" t="n">
        <f aca="false">BW24*0.21+500</f>
        <v>1508.63</v>
      </c>
      <c r="BZ24" s="55" t="n">
        <f aca="false">BW24+BY24</f>
        <v>6311.63</v>
      </c>
      <c r="CA24" s="56" t="n">
        <f aca="false">IF(BW24&gt;0,BY24/BW24,0)</f>
        <v>0.314101603164689</v>
      </c>
      <c r="CB24" s="57" t="n">
        <f aca="false">2_Market_Gross_USD!J22</f>
        <v>5650</v>
      </c>
      <c r="CC24" s="53" t="n">
        <f aca="false">CB24*(1-0.3697)</f>
        <v>3561.195</v>
      </c>
      <c r="CD24" s="54" t="n">
        <f aca="false">CB24*0.2+0</f>
        <v>1130</v>
      </c>
      <c r="CE24" s="55" t="n">
        <f aca="false">CB24+CD24</f>
        <v>6780</v>
      </c>
      <c r="CF24" s="56" t="n">
        <f aca="false">IF(CB24&gt;0,CD24/CB24,0)</f>
        <v>0.2</v>
      </c>
      <c r="CG24" s="57" t="n">
        <f aca="false">2_Market_Gross_USD!J22</f>
        <v>5650</v>
      </c>
      <c r="CH24" s="53" t="n">
        <f aca="false">CG24*(1-0.3697)</f>
        <v>3561.195</v>
      </c>
      <c r="CI24" s="54" t="n">
        <f aca="false">CG24*0+0</f>
        <v>0</v>
      </c>
      <c r="CJ24" s="55" t="n">
        <f aca="false">CG24+CI24</f>
        <v>5650</v>
      </c>
      <c r="CK24" s="56" t="n">
        <f aca="false">IF(CG24&gt;0,CI24/CG24,0)</f>
        <v>0</v>
      </c>
      <c r="CL24" s="57" t="n">
        <f aca="false">2_Market_Gross_USD!J22</f>
        <v>5650</v>
      </c>
      <c r="CM24" s="53" t="n">
        <f aca="false">CL24*(1-0.3697)</f>
        <v>3561.195</v>
      </c>
      <c r="CN24" s="54" t="n">
        <f aca="false">CL24*0.2+500</f>
        <v>1630</v>
      </c>
      <c r="CO24" s="55" t="n">
        <f aca="false">CL24+CN24</f>
        <v>7280</v>
      </c>
      <c r="CP24" s="56" t="n">
        <f aca="false">IF(CL24&gt;0,CN24/CL24,0)</f>
        <v>0.288495575221239</v>
      </c>
      <c r="CQ24" s="57" t="n">
        <f aca="false">2_Market_Gross_USD!K22</f>
        <v>2561</v>
      </c>
      <c r="CR24" s="53" t="n">
        <f aca="false">CQ24*(1-0.26)</f>
        <v>1895.14</v>
      </c>
      <c r="CS24" s="54" t="n">
        <f aca="false">CQ24*0.338+0</f>
        <v>865.618</v>
      </c>
      <c r="CT24" s="55" t="n">
        <f aca="false">CQ24+CS24</f>
        <v>3426.618</v>
      </c>
      <c r="CU24" s="56" t="n">
        <f aca="false">IF(CQ24&gt;0,CS24/CQ24,0)</f>
        <v>0.338</v>
      </c>
      <c r="CV24" s="57" t="n">
        <f aca="false">2_Market_Gross_USD!K22</f>
        <v>2561</v>
      </c>
      <c r="CW24" s="53" t="n">
        <f aca="false">CV24*(1-0.15)</f>
        <v>2176.85</v>
      </c>
      <c r="CX24" s="54" t="n">
        <f aca="false">CV24*0+0</f>
        <v>0</v>
      </c>
      <c r="CY24" s="55" t="n">
        <f aca="false">CV24+CX24</f>
        <v>2561</v>
      </c>
      <c r="CZ24" s="56" t="n">
        <f aca="false">IF(CV24&gt;0,CX24/CV24,0)</f>
        <v>0</v>
      </c>
      <c r="DA24" s="57" t="n">
        <f aca="false">2_Market_Gross_USD!K22</f>
        <v>2561</v>
      </c>
      <c r="DB24" s="53" t="n">
        <f aca="false">DA24*(1-0.26)</f>
        <v>1895.14</v>
      </c>
      <c r="DC24" s="54" t="n">
        <f aca="false">DA24*0.338+500</f>
        <v>1365.618</v>
      </c>
      <c r="DD24" s="55" t="n">
        <f aca="false">DA24+DC24</f>
        <v>3926.618</v>
      </c>
      <c r="DE24" s="56" t="n">
        <f aca="false">IF(DA24&gt;0,DC24/DA24,0)</f>
        <v>0.533236235845373</v>
      </c>
      <c r="DF24" s="57" t="n">
        <f aca="false">2_Market_Gross_USD!L22</f>
        <v>3390</v>
      </c>
      <c r="DG24" s="53" t="n">
        <f aca="false">DF24*(1-0.34)</f>
        <v>2237.4</v>
      </c>
      <c r="DH24" s="54" t="n">
        <f aca="false">DF24*0.2375+0</f>
        <v>805.125</v>
      </c>
      <c r="DI24" s="55" t="n">
        <f aca="false">DF24+DH24</f>
        <v>4195.125</v>
      </c>
      <c r="DJ24" s="56" t="n">
        <f aca="false">IF(DF24&gt;0,DH24/DF24,0)</f>
        <v>0.2375</v>
      </c>
      <c r="DK24" s="57" t="n">
        <f aca="false">2_Market_Gross_USD!L22</f>
        <v>3390</v>
      </c>
      <c r="DL24" s="53" t="n">
        <f aca="false">DK24*(1-0.2)</f>
        <v>2712</v>
      </c>
      <c r="DM24" s="54" t="n">
        <f aca="false">DK24*0+0</f>
        <v>0</v>
      </c>
      <c r="DN24" s="55" t="n">
        <f aca="false">DK24+DM24</f>
        <v>3390</v>
      </c>
      <c r="DO24" s="56" t="n">
        <f aca="false">IF(DK24&gt;0,DM24/DK24,0)</f>
        <v>0</v>
      </c>
      <c r="DP24" s="57" t="n">
        <f aca="false">2_Market_Gross_USD!L22</f>
        <v>3390</v>
      </c>
      <c r="DQ24" s="53" t="n">
        <f aca="false">DP24*(1-0.34)</f>
        <v>2237.4</v>
      </c>
      <c r="DR24" s="54" t="n">
        <f aca="false">DP24*0.2375+500</f>
        <v>1305.125</v>
      </c>
      <c r="DS24" s="55" t="n">
        <f aca="false">DP24+DR24</f>
        <v>4695.125</v>
      </c>
      <c r="DT24" s="56" t="n">
        <f aca="false">IF(DP24&gt;0,DR24/DP24,0)</f>
        <v>0.384992625368732</v>
      </c>
      <c r="DU24" s="57" t="n">
        <f aca="false">2_Market_Gross_USD!M22</f>
        <v>2083</v>
      </c>
      <c r="DV24" s="53" t="n">
        <f aca="false">DU24*0.65</f>
        <v>1353.95</v>
      </c>
      <c r="DW24" s="54" t="n">
        <f aca="false">DU24*0.0225+0</f>
        <v>46.8675</v>
      </c>
      <c r="DX24" s="55" t="n">
        <f aca="false">DU24+DW24</f>
        <v>2129.8675</v>
      </c>
      <c r="DY24" s="56" t="n">
        <f aca="false">IF(DU24&gt;0,DW24/DU24,0)</f>
        <v>0.0225</v>
      </c>
      <c r="DZ24" s="57" t="n">
        <f aca="false">2_Market_Gross_USD!M22</f>
        <v>2083</v>
      </c>
      <c r="EA24" s="53" t="n">
        <f aca="false">DZ24*(1-0.01)</f>
        <v>2062.17</v>
      </c>
      <c r="EB24" s="54" t="n">
        <f aca="false">DZ24*0+0</f>
        <v>0</v>
      </c>
      <c r="EC24" s="55" t="n">
        <f aca="false">DZ24+EB24</f>
        <v>2083</v>
      </c>
      <c r="ED24" s="56" t="n">
        <f aca="false">IF(DZ24&gt;0,EB24/DZ24,0)</f>
        <v>0</v>
      </c>
      <c r="EE24" s="57" t="n">
        <f aca="false">2_Market_Gross_USD!M22</f>
        <v>2083</v>
      </c>
      <c r="EF24" s="53" t="n">
        <f aca="false">EE24*0.65</f>
        <v>1353.95</v>
      </c>
      <c r="EG24" s="54" t="n">
        <f aca="false">EE24*0.0225+500</f>
        <v>546.8675</v>
      </c>
      <c r="EH24" s="55" t="n">
        <f aca="false">EE24+EG24</f>
        <v>2629.8675</v>
      </c>
      <c r="EI24" s="56" t="n">
        <f aca="false">IF(EE24&gt;0,EG24/EE24,0)</f>
        <v>0.262538406144983</v>
      </c>
    </row>
    <row r="25" customFormat="false" ht="15" hidden="false" customHeight="false" outlineLevel="0" collapsed="false">
      <c r="A25" s="41" t="n">
        <v>20</v>
      </c>
      <c r="B25" s="28" t="s">
        <v>259</v>
      </c>
      <c r="C25" s="8" t="s">
        <v>260</v>
      </c>
      <c r="D25" s="42" t="s">
        <v>249</v>
      </c>
      <c r="E25" s="52" t="n">
        <f aca="false">2_Market_Gross_USD!E23</f>
        <v>4000</v>
      </c>
      <c r="F25" s="53" t="n">
        <f aca="false">E25*(1-0.065)</f>
        <v>3740</v>
      </c>
      <c r="G25" s="58" t="n">
        <f aca="false">E25*0+35</f>
        <v>35</v>
      </c>
      <c r="H25" s="55" t="n">
        <f aca="false">E25+G25</f>
        <v>4035</v>
      </c>
      <c r="I25" s="59" t="n">
        <f aca="false">IF(E25&gt;0,G25/E25,0)</f>
        <v>0.00875</v>
      </c>
      <c r="J25" s="52" t="n">
        <f aca="false">2_Market_Gross_USD!E23</f>
        <v>4000</v>
      </c>
      <c r="K25" s="53" t="n">
        <f aca="false">J25*(1-0.065)</f>
        <v>3740</v>
      </c>
      <c r="L25" s="58" t="n">
        <f aca="false">J25*0+40</f>
        <v>40</v>
      </c>
      <c r="M25" s="55" t="n">
        <f aca="false">J25+L25</f>
        <v>4040</v>
      </c>
      <c r="N25" s="59" t="n">
        <f aca="false">IF(J25&gt;0,L25/J25,0)</f>
        <v>0.01</v>
      </c>
      <c r="O25" s="52" t="n">
        <f aca="false">2_Market_Gross_USD!E23</f>
        <v>4000</v>
      </c>
      <c r="P25" s="53" t="n">
        <f aca="false">O25*(1-0.195)</f>
        <v>3220</v>
      </c>
      <c r="Q25" s="58" t="n">
        <f aca="false">IF(O25&gt;=3886,3886*0.22,O25*0.22)</f>
        <v>854.92</v>
      </c>
      <c r="R25" s="55" t="n">
        <f aca="false">O25+Q25</f>
        <v>4854.92</v>
      </c>
      <c r="S25" s="59" t="n">
        <f aca="false">IF(O25&gt;0,Q25/O25,0)</f>
        <v>0.21373</v>
      </c>
      <c r="T25" s="60" t="n">
        <f aca="false">2_Market_Gross_USD!F23</f>
        <v>5100</v>
      </c>
      <c r="U25" s="53" t="n">
        <f aca="false">T25*(1-0.2571)</f>
        <v>3788.79</v>
      </c>
      <c r="V25" s="58" t="n">
        <f aca="false">T25*0.2038+0</f>
        <v>1039.38</v>
      </c>
      <c r="W25" s="55" t="n">
        <f aca="false">T25+V25</f>
        <v>6139.38</v>
      </c>
      <c r="X25" s="59" t="n">
        <f aca="false">IF(T25&gt;0,V25/T25,0)</f>
        <v>0.2038</v>
      </c>
      <c r="Y25" s="60" t="n">
        <f aca="false">2_Market_Gross_USD!F23</f>
        <v>5100</v>
      </c>
      <c r="Z25" s="53" t="n">
        <f aca="false">Y25*(1-0.12)</f>
        <v>4488</v>
      </c>
      <c r="AA25" s="58" t="n">
        <f aca="false">Y25*0+0</f>
        <v>0</v>
      </c>
      <c r="AB25" s="55" t="n">
        <f aca="false">Y25+AA25</f>
        <v>5100</v>
      </c>
      <c r="AC25" s="59" t="n">
        <f aca="false">IF(Y25&gt;0,AA25/Y25,0)</f>
        <v>0</v>
      </c>
      <c r="AD25" s="60" t="n">
        <f aca="false">2_Market_Gross_USD!F23</f>
        <v>5100</v>
      </c>
      <c r="AE25" s="53" t="n">
        <f aca="false">AD25*(1-0.2571)</f>
        <v>3788.79</v>
      </c>
      <c r="AF25" s="58" t="n">
        <f aca="false">AD25*0.2038+500</f>
        <v>1539.38</v>
      </c>
      <c r="AG25" s="55" t="n">
        <f aca="false">AD25+AF25</f>
        <v>6639.38</v>
      </c>
      <c r="AH25" s="59" t="n">
        <f aca="false">IF(AD25&gt;0,AF25/AD25,0)</f>
        <v>0.301839215686275</v>
      </c>
      <c r="AI25" s="60" t="n">
        <f aca="false">2_Market_Gross_USD!G23</f>
        <v>6350</v>
      </c>
      <c r="AJ25" s="53" t="n">
        <f aca="false">AI25*(1-0.28)</f>
        <v>4572</v>
      </c>
      <c r="AK25" s="58" t="n">
        <f aca="false">AI25*0.15+0</f>
        <v>952.5</v>
      </c>
      <c r="AL25" s="55" t="n">
        <f aca="false">AI25+AK25</f>
        <v>7302.5</v>
      </c>
      <c r="AM25" s="59" t="n">
        <f aca="false">IF(AI25&gt;0,AK25/AI25,0)</f>
        <v>0.15</v>
      </c>
      <c r="AN25" s="60" t="n">
        <f aca="false">2_Market_Gross_USD!G23</f>
        <v>6350</v>
      </c>
      <c r="AO25" s="53" t="n">
        <f aca="false">AN25*(1-0.19)</f>
        <v>5143.5</v>
      </c>
      <c r="AP25" s="58" t="n">
        <f aca="false">AN25*0+0</f>
        <v>0</v>
      </c>
      <c r="AQ25" s="55" t="n">
        <f aca="false">AN25+AP25</f>
        <v>6350</v>
      </c>
      <c r="AR25" s="59" t="n">
        <f aca="false">IF(AN25&gt;0,AP25/AN25,0)</f>
        <v>0</v>
      </c>
      <c r="AS25" s="60" t="n">
        <f aca="false">2_Market_Gross_USD!G23</f>
        <v>6350</v>
      </c>
      <c r="AT25" s="53" t="n">
        <f aca="false">AS25*(1-0.28)</f>
        <v>4572</v>
      </c>
      <c r="AU25" s="58" t="n">
        <f aca="false">AS25*0.15+500</f>
        <v>1452.5</v>
      </c>
      <c r="AV25" s="55" t="n">
        <f aca="false">AS25+AU25</f>
        <v>7802.5</v>
      </c>
      <c r="AW25" s="59" t="n">
        <f aca="false">IF(AS25&gt;0,AU25/AS25,0)</f>
        <v>0.228740157480315</v>
      </c>
      <c r="AX25" s="60" t="n">
        <f aca="false">2_Market_Gross_USD!H23</f>
        <v>11900</v>
      </c>
      <c r="AY25" s="53" t="n">
        <f aca="false">AX25*(1-0.2965)</f>
        <v>8371.65</v>
      </c>
      <c r="AZ25" s="58" t="n">
        <f aca="false">AX25*0.11+0</f>
        <v>1309</v>
      </c>
      <c r="BA25" s="55" t="n">
        <f aca="false">AX25+AZ25</f>
        <v>13209</v>
      </c>
      <c r="BB25" s="59" t="n">
        <f aca="false">IF(AX25&gt;0,AZ25/AX25,0)</f>
        <v>0.11</v>
      </c>
      <c r="BC25" s="60" t="n">
        <f aca="false">2_Market_Gross_USD!H23</f>
        <v>11900</v>
      </c>
      <c r="BD25" s="53" t="n">
        <f aca="false">BC25*(1-0.373)</f>
        <v>7461.3</v>
      </c>
      <c r="BE25" s="58" t="n">
        <f aca="false">BC25*0+0</f>
        <v>0</v>
      </c>
      <c r="BF25" s="55" t="n">
        <f aca="false">BC25+BE25</f>
        <v>11900</v>
      </c>
      <c r="BG25" s="59" t="n">
        <f aca="false">IF(BC25&gt;0,BE25/BC25,0)</f>
        <v>0</v>
      </c>
      <c r="BH25" s="60" t="n">
        <f aca="false">2_Market_Gross_USD!H23</f>
        <v>11900</v>
      </c>
      <c r="BI25" s="53" t="n">
        <f aca="false">BH25*(1-0.2965)</f>
        <v>8371.65</v>
      </c>
      <c r="BJ25" s="58" t="n">
        <f aca="false">BH25*0.11+500</f>
        <v>1809</v>
      </c>
      <c r="BK25" s="55" t="n">
        <f aca="false">BH25+BJ25</f>
        <v>13709</v>
      </c>
      <c r="BL25" s="59" t="n">
        <f aca="false">IF(BH25&gt;0,BJ25/BH25,0)</f>
        <v>0.152016806722689</v>
      </c>
      <c r="BM25" s="60" t="n">
        <f aca="false">2_Market_Gross_USD!I23</f>
        <v>6780</v>
      </c>
      <c r="BN25" s="53" t="n">
        <f aca="false">BM25*(1-0.4785)</f>
        <v>3535.77</v>
      </c>
      <c r="BO25" s="58" t="n">
        <f aca="false">BM25*0.21+0</f>
        <v>1423.8</v>
      </c>
      <c r="BP25" s="55" t="n">
        <f aca="false">BM25+BO25</f>
        <v>8203.8</v>
      </c>
      <c r="BQ25" s="59" t="n">
        <f aca="false">IF(BM25&gt;0,BO25/BM25,0)</f>
        <v>0.21</v>
      </c>
      <c r="BR25" s="60" t="n">
        <f aca="false">2_Market_Gross_USD!I23</f>
        <v>6780</v>
      </c>
      <c r="BS25" s="53" t="n">
        <f aca="false">BR25*(1-0.25)</f>
        <v>5085</v>
      </c>
      <c r="BT25" s="58" t="n">
        <f aca="false">BR25*0+0</f>
        <v>0</v>
      </c>
      <c r="BU25" s="55" t="n">
        <f aca="false">BR25+BT25</f>
        <v>6780</v>
      </c>
      <c r="BV25" s="59" t="n">
        <f aca="false">IF(BR25&gt;0,BT25/BR25,0)</f>
        <v>0</v>
      </c>
      <c r="BW25" s="60" t="n">
        <f aca="false">2_Market_Gross_USD!I23</f>
        <v>6780</v>
      </c>
      <c r="BX25" s="53" t="n">
        <f aca="false">BW25*(1-0.4785)</f>
        <v>3535.77</v>
      </c>
      <c r="BY25" s="58" t="n">
        <f aca="false">BW25*0.21+500</f>
        <v>1923.8</v>
      </c>
      <c r="BZ25" s="55" t="n">
        <f aca="false">BW25+BY25</f>
        <v>8703.8</v>
      </c>
      <c r="CA25" s="59" t="n">
        <f aca="false">IF(BW25&gt;0,BY25/BW25,0)</f>
        <v>0.283746312684366</v>
      </c>
      <c r="CB25" s="60" t="n">
        <f aca="false">2_Market_Gross_USD!J23</f>
        <v>8475</v>
      </c>
      <c r="CC25" s="53" t="n">
        <f aca="false">CB25*(1-0.3697)</f>
        <v>5341.7925</v>
      </c>
      <c r="CD25" s="58" t="n">
        <f aca="false">CB25*0.2+0</f>
        <v>1695</v>
      </c>
      <c r="CE25" s="55" t="n">
        <f aca="false">CB25+CD25</f>
        <v>10170</v>
      </c>
      <c r="CF25" s="59" t="n">
        <f aca="false">IF(CB25&gt;0,CD25/CB25,0)</f>
        <v>0.2</v>
      </c>
      <c r="CG25" s="60" t="n">
        <f aca="false">2_Market_Gross_USD!J23</f>
        <v>8475</v>
      </c>
      <c r="CH25" s="53" t="n">
        <f aca="false">CG25*(1-0.3697)</f>
        <v>5341.7925</v>
      </c>
      <c r="CI25" s="58" t="n">
        <f aca="false">CG25*0+0</f>
        <v>0</v>
      </c>
      <c r="CJ25" s="55" t="n">
        <f aca="false">CG25+CI25</f>
        <v>8475</v>
      </c>
      <c r="CK25" s="59" t="n">
        <f aca="false">IF(CG25&gt;0,CI25/CG25,0)</f>
        <v>0</v>
      </c>
      <c r="CL25" s="60" t="n">
        <f aca="false">2_Market_Gross_USD!J23</f>
        <v>8475</v>
      </c>
      <c r="CM25" s="53" t="n">
        <f aca="false">CL25*(1-0.3697)</f>
        <v>5341.7925</v>
      </c>
      <c r="CN25" s="58" t="n">
        <f aca="false">CL25*0.2+500</f>
        <v>2195</v>
      </c>
      <c r="CO25" s="55" t="n">
        <f aca="false">CL25+CN25</f>
        <v>10670</v>
      </c>
      <c r="CP25" s="59" t="n">
        <f aca="false">IF(CL25&gt;0,CN25/CL25,0)</f>
        <v>0.258997050147493</v>
      </c>
      <c r="CQ25" s="60" t="n">
        <f aca="false">2_Market_Gross_USD!K23</f>
        <v>3896</v>
      </c>
      <c r="CR25" s="53" t="n">
        <f aca="false">CQ25*(1-0.26)</f>
        <v>2883.04</v>
      </c>
      <c r="CS25" s="58" t="n">
        <f aca="false">CQ25*0.338+0</f>
        <v>1316.848</v>
      </c>
      <c r="CT25" s="55" t="n">
        <f aca="false">CQ25+CS25</f>
        <v>5212.848</v>
      </c>
      <c r="CU25" s="59" t="n">
        <f aca="false">IF(CQ25&gt;0,CS25/CQ25,0)</f>
        <v>0.338</v>
      </c>
      <c r="CV25" s="60" t="n">
        <f aca="false">2_Market_Gross_USD!K23</f>
        <v>3896</v>
      </c>
      <c r="CW25" s="53" t="n">
        <f aca="false">CV25*(1-0.15)</f>
        <v>3311.6</v>
      </c>
      <c r="CX25" s="58" t="n">
        <f aca="false">CV25*0+0</f>
        <v>0</v>
      </c>
      <c r="CY25" s="55" t="n">
        <f aca="false">CV25+CX25</f>
        <v>3896</v>
      </c>
      <c r="CZ25" s="59" t="n">
        <f aca="false">IF(CV25&gt;0,CX25/CV25,0)</f>
        <v>0</v>
      </c>
      <c r="DA25" s="60" t="n">
        <f aca="false">2_Market_Gross_USD!K23</f>
        <v>3896</v>
      </c>
      <c r="DB25" s="53" t="n">
        <f aca="false">DA25*(1-0.26)</f>
        <v>2883.04</v>
      </c>
      <c r="DC25" s="58" t="n">
        <f aca="false">DA25*0.338+500</f>
        <v>1816.848</v>
      </c>
      <c r="DD25" s="55" t="n">
        <f aca="false">DA25+DC25</f>
        <v>5712.848</v>
      </c>
      <c r="DE25" s="59" t="n">
        <f aca="false">IF(DA25&gt;0,DC25/DA25,0)</f>
        <v>0.466336755646817</v>
      </c>
      <c r="DF25" s="60" t="n">
        <f aca="false">2_Market_Gross_USD!L23</f>
        <v>5179</v>
      </c>
      <c r="DG25" s="53" t="n">
        <f aca="false">DF25*(1-0.34)</f>
        <v>3418.14</v>
      </c>
      <c r="DH25" s="58" t="n">
        <f aca="false">DF25*0.2375+0</f>
        <v>1230.0125</v>
      </c>
      <c r="DI25" s="55" t="n">
        <f aca="false">DF25+DH25</f>
        <v>6409.0125</v>
      </c>
      <c r="DJ25" s="59" t="n">
        <f aca="false">IF(DF25&gt;0,DH25/DF25,0)</f>
        <v>0.2375</v>
      </c>
      <c r="DK25" s="60" t="n">
        <f aca="false">2_Market_Gross_USD!L23</f>
        <v>5179</v>
      </c>
      <c r="DL25" s="53" t="n">
        <f aca="false">DK25*(1-0.2)</f>
        <v>4143.2</v>
      </c>
      <c r="DM25" s="58" t="n">
        <f aca="false">DK25*0+0</f>
        <v>0</v>
      </c>
      <c r="DN25" s="55" t="n">
        <f aca="false">DK25+DM25</f>
        <v>5179</v>
      </c>
      <c r="DO25" s="59" t="n">
        <f aca="false">IF(DK25&gt;0,DM25/DK25,0)</f>
        <v>0</v>
      </c>
      <c r="DP25" s="60" t="n">
        <f aca="false">2_Market_Gross_USD!L23</f>
        <v>5179</v>
      </c>
      <c r="DQ25" s="53" t="n">
        <f aca="false">DP25*(1-0.34)</f>
        <v>3418.14</v>
      </c>
      <c r="DR25" s="58" t="n">
        <f aca="false">DP25*0.2375+500</f>
        <v>1730.0125</v>
      </c>
      <c r="DS25" s="55" t="n">
        <f aca="false">DP25+DR25</f>
        <v>6909.0125</v>
      </c>
      <c r="DT25" s="59" t="n">
        <f aca="false">IF(DP25&gt;0,DR25/DP25,0)</f>
        <v>0.334043734311643</v>
      </c>
      <c r="DU25" s="60" t="n">
        <f aca="false">2_Market_Gross_USD!M23</f>
        <v>3360</v>
      </c>
      <c r="DV25" s="53" t="n">
        <f aca="false">DU25*0.65</f>
        <v>2184</v>
      </c>
      <c r="DW25" s="58" t="n">
        <f aca="false">DU25*0.0225+0</f>
        <v>75.6</v>
      </c>
      <c r="DX25" s="55" t="n">
        <f aca="false">DU25+DW25</f>
        <v>3435.6</v>
      </c>
      <c r="DY25" s="59" t="n">
        <f aca="false">IF(DU25&gt;0,DW25/DU25,0)</f>
        <v>0.0225</v>
      </c>
      <c r="DZ25" s="60" t="n">
        <f aca="false">2_Market_Gross_USD!M23</f>
        <v>3360</v>
      </c>
      <c r="EA25" s="53" t="n">
        <f aca="false">DZ25*(1-0.01)</f>
        <v>3326.4</v>
      </c>
      <c r="EB25" s="58" t="n">
        <f aca="false">DZ25*0+0</f>
        <v>0</v>
      </c>
      <c r="EC25" s="55" t="n">
        <f aca="false">DZ25+EB25</f>
        <v>3360</v>
      </c>
      <c r="ED25" s="59" t="n">
        <f aca="false">IF(DZ25&gt;0,EB25/DZ25,0)</f>
        <v>0</v>
      </c>
      <c r="EE25" s="60" t="n">
        <f aca="false">2_Market_Gross_USD!M23</f>
        <v>3360</v>
      </c>
      <c r="EF25" s="53" t="n">
        <f aca="false">EE25*0.65</f>
        <v>2184</v>
      </c>
      <c r="EG25" s="58" t="n">
        <f aca="false">EE25*0.0225+500</f>
        <v>575.6</v>
      </c>
      <c r="EH25" s="55" t="n">
        <f aca="false">EE25+EG25</f>
        <v>3935.6</v>
      </c>
      <c r="EI25" s="59" t="n">
        <f aca="false">IF(EE25&gt;0,EG25/EE25,0)</f>
        <v>0.171309523809524</v>
      </c>
    </row>
    <row r="26" customFormat="false" ht="15" hidden="false" customHeight="false" outlineLevel="0" collapsed="false">
      <c r="A26" s="37" t="n">
        <v>21</v>
      </c>
      <c r="B26" s="32" t="s">
        <v>259</v>
      </c>
      <c r="C26" s="32" t="s">
        <v>261</v>
      </c>
      <c r="D26" s="38" t="s">
        <v>248</v>
      </c>
      <c r="E26" s="52" t="n">
        <f aca="false">2_Market_Gross_USD!E24</f>
        <v>1500</v>
      </c>
      <c r="F26" s="53" t="n">
        <f aca="false">E26*(1-0.065)</f>
        <v>1402.5</v>
      </c>
      <c r="G26" s="54" t="n">
        <f aca="false">E26*0+35</f>
        <v>35</v>
      </c>
      <c r="H26" s="55" t="n">
        <f aca="false">E26+G26</f>
        <v>1535</v>
      </c>
      <c r="I26" s="56" t="n">
        <f aca="false">IF(E26&gt;0,G26/E26,0)</f>
        <v>0.0233333333333333</v>
      </c>
      <c r="J26" s="52" t="n">
        <f aca="false">2_Market_Gross_USD!E24</f>
        <v>1500</v>
      </c>
      <c r="K26" s="53" t="n">
        <f aca="false">J26*(1-0.065)</f>
        <v>1402.5</v>
      </c>
      <c r="L26" s="54" t="n">
        <f aca="false">J26*0+40</f>
        <v>40</v>
      </c>
      <c r="M26" s="55" t="n">
        <f aca="false">J26+L26</f>
        <v>1540</v>
      </c>
      <c r="N26" s="56" t="n">
        <f aca="false">IF(J26&gt;0,L26/J26,0)</f>
        <v>0.0266666666666667</v>
      </c>
      <c r="O26" s="52" t="n">
        <f aca="false">2_Market_Gross_USD!E24</f>
        <v>1500</v>
      </c>
      <c r="P26" s="53" t="n">
        <f aca="false">O26*(1-0.195)</f>
        <v>1207.5</v>
      </c>
      <c r="Q26" s="54" t="n">
        <f aca="false">IF(O26&gt;=3886,3886*0.22,O26*0.22)</f>
        <v>330</v>
      </c>
      <c r="R26" s="55" t="n">
        <f aca="false">O26+Q26</f>
        <v>1830</v>
      </c>
      <c r="S26" s="56" t="n">
        <f aca="false">IF(O26&gt;0,Q26/O26,0)</f>
        <v>0.22</v>
      </c>
      <c r="T26" s="57" t="n">
        <f aca="false">2_Market_Gross_USD!F24</f>
        <v>3570</v>
      </c>
      <c r="U26" s="53" t="n">
        <f aca="false">T26*(1-0.2571)</f>
        <v>2652.153</v>
      </c>
      <c r="V26" s="54" t="n">
        <f aca="false">T26*0.2038+0</f>
        <v>727.566</v>
      </c>
      <c r="W26" s="55" t="n">
        <f aca="false">T26+V26</f>
        <v>4297.566</v>
      </c>
      <c r="X26" s="56" t="n">
        <f aca="false">IF(T26&gt;0,V26/T26,0)</f>
        <v>0.2038</v>
      </c>
      <c r="Y26" s="57" t="n">
        <f aca="false">2_Market_Gross_USD!F24</f>
        <v>3570</v>
      </c>
      <c r="Z26" s="53" t="n">
        <f aca="false">Y26*(1-0.12)</f>
        <v>3141.6</v>
      </c>
      <c r="AA26" s="54" t="n">
        <f aca="false">Y26*0+0</f>
        <v>0</v>
      </c>
      <c r="AB26" s="55" t="n">
        <f aca="false">Y26+AA26</f>
        <v>3570</v>
      </c>
      <c r="AC26" s="56" t="n">
        <f aca="false">IF(Y26&gt;0,AA26/Y26,0)</f>
        <v>0</v>
      </c>
      <c r="AD26" s="57" t="n">
        <f aca="false">2_Market_Gross_USD!F24</f>
        <v>3570</v>
      </c>
      <c r="AE26" s="53" t="n">
        <f aca="false">AD26*(1-0.2571)</f>
        <v>2652.153</v>
      </c>
      <c r="AF26" s="54" t="n">
        <f aca="false">AD26*0.2038+500</f>
        <v>1227.566</v>
      </c>
      <c r="AG26" s="55" t="n">
        <f aca="false">AD26+AF26</f>
        <v>4797.566</v>
      </c>
      <c r="AH26" s="56" t="n">
        <f aca="false">IF(AD26&gt;0,AF26/AD26,0)</f>
        <v>0.343856022408964</v>
      </c>
      <c r="AI26" s="57" t="n">
        <f aca="false">2_Market_Gross_USD!G24</f>
        <v>4763</v>
      </c>
      <c r="AJ26" s="53" t="n">
        <f aca="false">AI26*(1-0.28)</f>
        <v>3429.36</v>
      </c>
      <c r="AK26" s="54" t="n">
        <f aca="false">AI26*0.15+0</f>
        <v>714.45</v>
      </c>
      <c r="AL26" s="55" t="n">
        <f aca="false">AI26+AK26</f>
        <v>5477.45</v>
      </c>
      <c r="AM26" s="56" t="n">
        <f aca="false">IF(AI26&gt;0,AK26/AI26,0)</f>
        <v>0.15</v>
      </c>
      <c r="AN26" s="57" t="n">
        <f aca="false">2_Market_Gross_USD!G24</f>
        <v>4763</v>
      </c>
      <c r="AO26" s="53" t="n">
        <f aca="false">AN26*(1-0.19)</f>
        <v>3858.03</v>
      </c>
      <c r="AP26" s="54" t="n">
        <f aca="false">AN26*0+0</f>
        <v>0</v>
      </c>
      <c r="AQ26" s="55" t="n">
        <f aca="false">AN26+AP26</f>
        <v>4763</v>
      </c>
      <c r="AR26" s="56" t="n">
        <f aca="false">IF(AN26&gt;0,AP26/AN26,0)</f>
        <v>0</v>
      </c>
      <c r="AS26" s="57" t="n">
        <f aca="false">2_Market_Gross_USD!G24</f>
        <v>4763</v>
      </c>
      <c r="AT26" s="53" t="n">
        <f aca="false">AS26*(1-0.28)</f>
        <v>3429.36</v>
      </c>
      <c r="AU26" s="54" t="n">
        <f aca="false">AS26*0.15+500</f>
        <v>1214.45</v>
      </c>
      <c r="AV26" s="55" t="n">
        <f aca="false">AS26+AU26</f>
        <v>5977.45</v>
      </c>
      <c r="AW26" s="56" t="n">
        <f aca="false">IF(AS26&gt;0,AU26/AS26,0)</f>
        <v>0.254975855553223</v>
      </c>
      <c r="AX26" s="57" t="n">
        <f aca="false">2_Market_Gross_USD!H24</f>
        <v>11000</v>
      </c>
      <c r="AY26" s="53" t="n">
        <f aca="false">AX26*(1-0.2965)</f>
        <v>7738.5</v>
      </c>
      <c r="AZ26" s="54" t="n">
        <f aca="false">AX26*0.11+0</f>
        <v>1210</v>
      </c>
      <c r="BA26" s="55" t="n">
        <f aca="false">AX26+AZ26</f>
        <v>12210</v>
      </c>
      <c r="BB26" s="56" t="n">
        <f aca="false">IF(AX26&gt;0,AZ26/AX26,0)</f>
        <v>0.11</v>
      </c>
      <c r="BC26" s="57" t="n">
        <f aca="false">2_Market_Gross_USD!H24</f>
        <v>11000</v>
      </c>
      <c r="BD26" s="53" t="n">
        <f aca="false">BC26*(1-0.373)</f>
        <v>6897</v>
      </c>
      <c r="BE26" s="54" t="n">
        <f aca="false">BC26*0+0</f>
        <v>0</v>
      </c>
      <c r="BF26" s="55" t="n">
        <f aca="false">BC26+BE26</f>
        <v>11000</v>
      </c>
      <c r="BG26" s="56" t="n">
        <f aca="false">IF(BC26&gt;0,BE26/BC26,0)</f>
        <v>0</v>
      </c>
      <c r="BH26" s="57" t="n">
        <f aca="false">2_Market_Gross_USD!H24</f>
        <v>11000</v>
      </c>
      <c r="BI26" s="53" t="n">
        <f aca="false">BH26*(1-0.2965)</f>
        <v>7738.5</v>
      </c>
      <c r="BJ26" s="54" t="n">
        <f aca="false">BH26*0.11+500</f>
        <v>1710</v>
      </c>
      <c r="BK26" s="55" t="n">
        <f aca="false">BH26+BJ26</f>
        <v>12710</v>
      </c>
      <c r="BL26" s="56" t="n">
        <f aca="false">IF(BH26&gt;0,BJ26/BH26,0)</f>
        <v>0.155454545454545</v>
      </c>
      <c r="BM26" s="57" t="n">
        <f aca="false">2_Market_Gross_USD!I24</f>
        <v>5556</v>
      </c>
      <c r="BN26" s="53" t="n">
        <f aca="false">BM26*(1-0.4785)</f>
        <v>2897.454</v>
      </c>
      <c r="BO26" s="54" t="n">
        <f aca="false">BM26*0.21+0</f>
        <v>1166.76</v>
      </c>
      <c r="BP26" s="55" t="n">
        <f aca="false">BM26+BO26</f>
        <v>6722.76</v>
      </c>
      <c r="BQ26" s="56" t="n">
        <f aca="false">IF(BM26&gt;0,BO26/BM26,0)</f>
        <v>0.21</v>
      </c>
      <c r="BR26" s="57" t="n">
        <f aca="false">2_Market_Gross_USD!I24</f>
        <v>5556</v>
      </c>
      <c r="BS26" s="53" t="n">
        <f aca="false">BR26*(1-0.25)</f>
        <v>4167</v>
      </c>
      <c r="BT26" s="54" t="n">
        <f aca="false">BR26*0+0</f>
        <v>0</v>
      </c>
      <c r="BU26" s="55" t="n">
        <f aca="false">BR26+BT26</f>
        <v>5556</v>
      </c>
      <c r="BV26" s="56" t="n">
        <f aca="false">IF(BR26&gt;0,BT26/BR26,0)</f>
        <v>0</v>
      </c>
      <c r="BW26" s="57" t="n">
        <f aca="false">2_Market_Gross_USD!I24</f>
        <v>5556</v>
      </c>
      <c r="BX26" s="53" t="n">
        <f aca="false">BW26*(1-0.4785)</f>
        <v>2897.454</v>
      </c>
      <c r="BY26" s="54" t="n">
        <f aca="false">BW26*0.21+500</f>
        <v>1666.76</v>
      </c>
      <c r="BZ26" s="55" t="n">
        <f aca="false">BW26+BY26</f>
        <v>7222.76</v>
      </c>
      <c r="CA26" s="56" t="n">
        <f aca="false">IF(BW26&gt;0,BY26/BW26,0)</f>
        <v>0.299992800575954</v>
      </c>
      <c r="CB26" s="57" t="n">
        <f aca="false">2_Market_Gross_USD!J24</f>
        <v>6026</v>
      </c>
      <c r="CC26" s="53" t="n">
        <f aca="false">CB26*(1-0.3697)</f>
        <v>3798.1878</v>
      </c>
      <c r="CD26" s="54" t="n">
        <f aca="false">CB26*0.2+0</f>
        <v>1205.2</v>
      </c>
      <c r="CE26" s="55" t="n">
        <f aca="false">CB26+CD26</f>
        <v>7231.2</v>
      </c>
      <c r="CF26" s="56" t="n">
        <f aca="false">IF(CB26&gt;0,CD26/CB26,0)</f>
        <v>0.2</v>
      </c>
      <c r="CG26" s="57" t="n">
        <f aca="false">2_Market_Gross_USD!J24</f>
        <v>6026</v>
      </c>
      <c r="CH26" s="53" t="n">
        <f aca="false">CG26*(1-0.3697)</f>
        <v>3798.1878</v>
      </c>
      <c r="CI26" s="54" t="n">
        <f aca="false">CG26*0+0</f>
        <v>0</v>
      </c>
      <c r="CJ26" s="55" t="n">
        <f aca="false">CG26+CI26</f>
        <v>6026</v>
      </c>
      <c r="CK26" s="56" t="n">
        <f aca="false">IF(CG26&gt;0,CI26/CG26,0)</f>
        <v>0</v>
      </c>
      <c r="CL26" s="57" t="n">
        <f aca="false">2_Market_Gross_USD!J24</f>
        <v>6026</v>
      </c>
      <c r="CM26" s="53" t="n">
        <f aca="false">CL26*(1-0.3697)</f>
        <v>3798.1878</v>
      </c>
      <c r="CN26" s="54" t="n">
        <f aca="false">CL26*0.2+500</f>
        <v>1705.2</v>
      </c>
      <c r="CO26" s="55" t="n">
        <f aca="false">CL26+CN26</f>
        <v>7731.2</v>
      </c>
      <c r="CP26" s="56" t="n">
        <f aca="false">IF(CL26&gt;0,CN26/CL26,0)</f>
        <v>0.28297378028543</v>
      </c>
      <c r="CQ26" s="57" t="n">
        <f aca="false">2_Market_Gross_USD!K24</f>
        <v>2881</v>
      </c>
      <c r="CR26" s="53" t="n">
        <f aca="false">CQ26*(1-0.26)</f>
        <v>2131.94</v>
      </c>
      <c r="CS26" s="54" t="n">
        <f aca="false">CQ26*0.338+0</f>
        <v>973.778</v>
      </c>
      <c r="CT26" s="55" t="n">
        <f aca="false">CQ26+CS26</f>
        <v>3854.778</v>
      </c>
      <c r="CU26" s="56" t="n">
        <f aca="false">IF(CQ26&gt;0,CS26/CQ26,0)</f>
        <v>0.338</v>
      </c>
      <c r="CV26" s="57" t="n">
        <f aca="false">2_Market_Gross_USD!K24</f>
        <v>2881</v>
      </c>
      <c r="CW26" s="53" t="n">
        <f aca="false">CV26*(1-0.15)</f>
        <v>2448.85</v>
      </c>
      <c r="CX26" s="54" t="n">
        <f aca="false">CV26*0+0</f>
        <v>0</v>
      </c>
      <c r="CY26" s="55" t="n">
        <f aca="false">CV26+CX26</f>
        <v>2881</v>
      </c>
      <c r="CZ26" s="56" t="n">
        <f aca="false">IF(CV26&gt;0,CX26/CV26,0)</f>
        <v>0</v>
      </c>
      <c r="DA26" s="57" t="n">
        <f aca="false">2_Market_Gross_USD!K24</f>
        <v>2881</v>
      </c>
      <c r="DB26" s="53" t="n">
        <f aca="false">DA26*(1-0.26)</f>
        <v>2131.94</v>
      </c>
      <c r="DC26" s="54" t="n">
        <f aca="false">DA26*0.338+500</f>
        <v>1473.778</v>
      </c>
      <c r="DD26" s="55" t="n">
        <f aca="false">DA26+DC26</f>
        <v>4354.778</v>
      </c>
      <c r="DE26" s="56" t="n">
        <f aca="false">IF(DA26&gt;0,DC26/DA26,0)</f>
        <v>0.511550850399167</v>
      </c>
      <c r="DF26" s="57" t="n">
        <f aca="false">2_Market_Gross_USD!L24</f>
        <v>3766</v>
      </c>
      <c r="DG26" s="53" t="n">
        <f aca="false">DF26*(1-0.34)</f>
        <v>2485.56</v>
      </c>
      <c r="DH26" s="54" t="n">
        <f aca="false">DF26*0.2375+0</f>
        <v>894.425</v>
      </c>
      <c r="DI26" s="55" t="n">
        <f aca="false">DF26+DH26</f>
        <v>4660.425</v>
      </c>
      <c r="DJ26" s="56" t="n">
        <f aca="false">IF(DF26&gt;0,DH26/DF26,0)</f>
        <v>0.2375</v>
      </c>
      <c r="DK26" s="57" t="n">
        <f aca="false">2_Market_Gross_USD!L24</f>
        <v>3766</v>
      </c>
      <c r="DL26" s="53" t="n">
        <f aca="false">DK26*(1-0.2)</f>
        <v>3012.8</v>
      </c>
      <c r="DM26" s="54" t="n">
        <f aca="false">DK26*0+0</f>
        <v>0</v>
      </c>
      <c r="DN26" s="55" t="n">
        <f aca="false">DK26+DM26</f>
        <v>3766</v>
      </c>
      <c r="DO26" s="56" t="n">
        <f aca="false">IF(DK26&gt;0,DM26/DK26,0)</f>
        <v>0</v>
      </c>
      <c r="DP26" s="57" t="n">
        <f aca="false">2_Market_Gross_USD!L24</f>
        <v>3766</v>
      </c>
      <c r="DQ26" s="53" t="n">
        <f aca="false">DP26*(1-0.34)</f>
        <v>2485.56</v>
      </c>
      <c r="DR26" s="54" t="n">
        <f aca="false">DP26*0.2375+500</f>
        <v>1394.425</v>
      </c>
      <c r="DS26" s="55" t="n">
        <f aca="false">DP26+DR26</f>
        <v>5160.425</v>
      </c>
      <c r="DT26" s="56" t="n">
        <f aca="false">IF(DP26&gt;0,DR26/DP26,0)</f>
        <v>0.370266861391397</v>
      </c>
      <c r="DU26" s="57" t="n">
        <f aca="false">2_Market_Gross_USD!M24</f>
        <v>2333</v>
      </c>
      <c r="DV26" s="53" t="n">
        <f aca="false">DU26*0.65</f>
        <v>1516.45</v>
      </c>
      <c r="DW26" s="54" t="n">
        <f aca="false">DU26*0.0225+0</f>
        <v>52.4925</v>
      </c>
      <c r="DX26" s="55" t="n">
        <f aca="false">DU26+DW26</f>
        <v>2385.4925</v>
      </c>
      <c r="DY26" s="56" t="n">
        <f aca="false">IF(DU26&gt;0,DW26/DU26,0)</f>
        <v>0.0225</v>
      </c>
      <c r="DZ26" s="57" t="n">
        <f aca="false">2_Market_Gross_USD!M24</f>
        <v>2333</v>
      </c>
      <c r="EA26" s="53" t="n">
        <f aca="false">DZ26*(1-0.01)</f>
        <v>2309.67</v>
      </c>
      <c r="EB26" s="54" t="n">
        <f aca="false">DZ26*0+0</f>
        <v>0</v>
      </c>
      <c r="EC26" s="55" t="n">
        <f aca="false">DZ26+EB26</f>
        <v>2333</v>
      </c>
      <c r="ED26" s="56" t="n">
        <f aca="false">IF(DZ26&gt;0,EB26/DZ26,0)</f>
        <v>0</v>
      </c>
      <c r="EE26" s="57" t="n">
        <f aca="false">2_Market_Gross_USD!M24</f>
        <v>2333</v>
      </c>
      <c r="EF26" s="53" t="n">
        <f aca="false">EE26*0.65</f>
        <v>1516.45</v>
      </c>
      <c r="EG26" s="54" t="n">
        <f aca="false">EE26*0.0225+500</f>
        <v>552.4925</v>
      </c>
      <c r="EH26" s="55" t="n">
        <f aca="false">EE26+EG26</f>
        <v>2885.4925</v>
      </c>
      <c r="EI26" s="56" t="n">
        <f aca="false">IF(EE26&gt;0,EG26/EE26,0)</f>
        <v>0.236816330904415</v>
      </c>
    </row>
    <row r="27" customFormat="false" ht="15" hidden="false" customHeight="false" outlineLevel="0" collapsed="false">
      <c r="A27" s="41" t="n">
        <v>22</v>
      </c>
      <c r="B27" s="28" t="s">
        <v>259</v>
      </c>
      <c r="C27" s="8" t="s">
        <v>261</v>
      </c>
      <c r="D27" s="42" t="s">
        <v>249</v>
      </c>
      <c r="E27" s="52" t="n">
        <f aca="false">2_Market_Gross_USD!E25</f>
        <v>4750</v>
      </c>
      <c r="F27" s="53" t="n">
        <f aca="false">E27*(1-0.065)</f>
        <v>4441.25</v>
      </c>
      <c r="G27" s="58" t="n">
        <f aca="false">E27*0+35</f>
        <v>35</v>
      </c>
      <c r="H27" s="55" t="n">
        <f aca="false">E27+G27</f>
        <v>4785</v>
      </c>
      <c r="I27" s="59" t="n">
        <f aca="false">IF(E27&gt;0,G27/E27,0)</f>
        <v>0.00736842105263158</v>
      </c>
      <c r="J27" s="52" t="n">
        <f aca="false">2_Market_Gross_USD!E25</f>
        <v>4750</v>
      </c>
      <c r="K27" s="53" t="n">
        <f aca="false">J27*(1-0.065)</f>
        <v>4441.25</v>
      </c>
      <c r="L27" s="58" t="n">
        <f aca="false">J27*0+40</f>
        <v>40</v>
      </c>
      <c r="M27" s="55" t="n">
        <f aca="false">J27+L27</f>
        <v>4790</v>
      </c>
      <c r="N27" s="59" t="n">
        <f aca="false">IF(J27&gt;0,L27/J27,0)</f>
        <v>0.00842105263157895</v>
      </c>
      <c r="O27" s="52" t="n">
        <f aca="false">2_Market_Gross_USD!E25</f>
        <v>4750</v>
      </c>
      <c r="P27" s="53" t="n">
        <f aca="false">O27*(1-0.195)</f>
        <v>3823.75</v>
      </c>
      <c r="Q27" s="58" t="n">
        <f aca="false">IF(O27&gt;=3886,3886*0.22,O27*0.22)</f>
        <v>854.92</v>
      </c>
      <c r="R27" s="55" t="n">
        <f aca="false">O27+Q27</f>
        <v>5604.92</v>
      </c>
      <c r="S27" s="59" t="n">
        <f aca="false">IF(O27&gt;0,Q27/O27,0)</f>
        <v>0.179983157894737</v>
      </c>
      <c r="T27" s="60" t="n">
        <f aca="false">2_Market_Gross_USD!F25</f>
        <v>5865</v>
      </c>
      <c r="U27" s="53" t="n">
        <f aca="false">T27*(1-0.2571)</f>
        <v>4357.1085</v>
      </c>
      <c r="V27" s="58" t="n">
        <f aca="false">T27*0.2038+0</f>
        <v>1195.287</v>
      </c>
      <c r="W27" s="55" t="n">
        <f aca="false">T27+V27</f>
        <v>7060.287</v>
      </c>
      <c r="X27" s="59" t="n">
        <f aca="false">IF(T27&gt;0,V27/T27,0)</f>
        <v>0.2038</v>
      </c>
      <c r="Y27" s="60" t="n">
        <f aca="false">2_Market_Gross_USD!F25</f>
        <v>5865</v>
      </c>
      <c r="Z27" s="53" t="n">
        <f aca="false">Y27*(1-0.12)</f>
        <v>5161.2</v>
      </c>
      <c r="AA27" s="58" t="n">
        <f aca="false">Y27*0+0</f>
        <v>0</v>
      </c>
      <c r="AB27" s="55" t="n">
        <f aca="false">Y27+AA27</f>
        <v>5865</v>
      </c>
      <c r="AC27" s="59" t="n">
        <f aca="false">IF(Y27&gt;0,AA27/Y27,0)</f>
        <v>0</v>
      </c>
      <c r="AD27" s="60" t="n">
        <f aca="false">2_Market_Gross_USD!F25</f>
        <v>5865</v>
      </c>
      <c r="AE27" s="53" t="n">
        <f aca="false">AD27*(1-0.2571)</f>
        <v>4357.1085</v>
      </c>
      <c r="AF27" s="58" t="n">
        <f aca="false">AD27*0.2038+500</f>
        <v>1695.287</v>
      </c>
      <c r="AG27" s="55" t="n">
        <f aca="false">AD27+AF27</f>
        <v>7560.287</v>
      </c>
      <c r="AH27" s="59" t="n">
        <f aca="false">IF(AD27&gt;0,AF27/AD27,0)</f>
        <v>0.289051491901108</v>
      </c>
      <c r="AI27" s="60" t="n">
        <f aca="false">2_Market_Gross_USD!G25</f>
        <v>7407</v>
      </c>
      <c r="AJ27" s="53" t="n">
        <f aca="false">AI27*(1-0.28)</f>
        <v>5333.04</v>
      </c>
      <c r="AK27" s="58" t="n">
        <f aca="false">AI27*0.15+0</f>
        <v>1111.05</v>
      </c>
      <c r="AL27" s="55" t="n">
        <f aca="false">AI27+AK27</f>
        <v>8518.05</v>
      </c>
      <c r="AM27" s="59" t="n">
        <f aca="false">IF(AI27&gt;0,AK27/AI27,0)</f>
        <v>0.15</v>
      </c>
      <c r="AN27" s="60" t="n">
        <f aca="false">2_Market_Gross_USD!G25</f>
        <v>7407</v>
      </c>
      <c r="AO27" s="53" t="n">
        <f aca="false">AN27*(1-0.19)</f>
        <v>5999.67</v>
      </c>
      <c r="AP27" s="58" t="n">
        <f aca="false">AN27*0+0</f>
        <v>0</v>
      </c>
      <c r="AQ27" s="55" t="n">
        <f aca="false">AN27+AP27</f>
        <v>7407</v>
      </c>
      <c r="AR27" s="59" t="n">
        <f aca="false">IF(AN27&gt;0,AP27/AN27,0)</f>
        <v>0</v>
      </c>
      <c r="AS27" s="60" t="n">
        <f aca="false">2_Market_Gross_USD!G25</f>
        <v>7407</v>
      </c>
      <c r="AT27" s="53" t="n">
        <f aca="false">AS27*(1-0.28)</f>
        <v>5333.04</v>
      </c>
      <c r="AU27" s="58" t="n">
        <f aca="false">AS27*0.15+500</f>
        <v>1611.05</v>
      </c>
      <c r="AV27" s="55" t="n">
        <f aca="false">AS27+AU27</f>
        <v>9018.05</v>
      </c>
      <c r="AW27" s="59" t="n">
        <f aca="false">IF(AS27&gt;0,AU27/AS27,0)</f>
        <v>0.217503712704199</v>
      </c>
      <c r="AX27" s="60" t="n">
        <f aca="false">2_Market_Gross_USD!H25</f>
        <v>13600</v>
      </c>
      <c r="AY27" s="53" t="n">
        <f aca="false">AX27*(1-0.2965)</f>
        <v>9567.6</v>
      </c>
      <c r="AZ27" s="58" t="n">
        <f aca="false">AX27*0.11+0</f>
        <v>1496</v>
      </c>
      <c r="BA27" s="55" t="n">
        <f aca="false">AX27+AZ27</f>
        <v>15096</v>
      </c>
      <c r="BB27" s="59" t="n">
        <f aca="false">IF(AX27&gt;0,AZ27/AX27,0)</f>
        <v>0.11</v>
      </c>
      <c r="BC27" s="60" t="n">
        <f aca="false">2_Market_Gross_USD!H25</f>
        <v>13600</v>
      </c>
      <c r="BD27" s="53" t="n">
        <f aca="false">BC27*(1-0.373)</f>
        <v>8527.2</v>
      </c>
      <c r="BE27" s="58" t="n">
        <f aca="false">BC27*0+0</f>
        <v>0</v>
      </c>
      <c r="BF27" s="55" t="n">
        <f aca="false">BC27+BE27</f>
        <v>13600</v>
      </c>
      <c r="BG27" s="59" t="n">
        <f aca="false">IF(BC27&gt;0,BE27/BC27,0)</f>
        <v>0</v>
      </c>
      <c r="BH27" s="60" t="n">
        <f aca="false">2_Market_Gross_USD!H25</f>
        <v>13600</v>
      </c>
      <c r="BI27" s="53" t="n">
        <f aca="false">BH27*(1-0.2965)</f>
        <v>9567.6</v>
      </c>
      <c r="BJ27" s="58" t="n">
        <f aca="false">BH27*0.11+500</f>
        <v>1996</v>
      </c>
      <c r="BK27" s="55" t="n">
        <f aca="false">BH27+BJ27</f>
        <v>15596</v>
      </c>
      <c r="BL27" s="59" t="n">
        <f aca="false">IF(BH27&gt;0,BJ27/BH27,0)</f>
        <v>0.146764705882353</v>
      </c>
      <c r="BM27" s="60" t="n">
        <f aca="false">2_Market_Gross_USD!I25</f>
        <v>7628</v>
      </c>
      <c r="BN27" s="53" t="n">
        <f aca="false">BM27*(1-0.4785)</f>
        <v>3978.002</v>
      </c>
      <c r="BO27" s="58" t="n">
        <f aca="false">BM27*0.21+0</f>
        <v>1601.88</v>
      </c>
      <c r="BP27" s="55" t="n">
        <f aca="false">BM27+BO27</f>
        <v>9229.88</v>
      </c>
      <c r="BQ27" s="59" t="n">
        <f aca="false">IF(BM27&gt;0,BO27/BM27,0)</f>
        <v>0.21</v>
      </c>
      <c r="BR27" s="60" t="n">
        <f aca="false">2_Market_Gross_USD!I25</f>
        <v>7628</v>
      </c>
      <c r="BS27" s="53" t="n">
        <f aca="false">BR27*(1-0.25)</f>
        <v>5721</v>
      </c>
      <c r="BT27" s="58" t="n">
        <f aca="false">BR27*0+0</f>
        <v>0</v>
      </c>
      <c r="BU27" s="55" t="n">
        <f aca="false">BR27+BT27</f>
        <v>7628</v>
      </c>
      <c r="BV27" s="59" t="n">
        <f aca="false">IF(BR27&gt;0,BT27/BR27,0)</f>
        <v>0</v>
      </c>
      <c r="BW27" s="60" t="n">
        <f aca="false">2_Market_Gross_USD!I25</f>
        <v>7628</v>
      </c>
      <c r="BX27" s="53" t="n">
        <f aca="false">BW27*(1-0.4785)</f>
        <v>3978.002</v>
      </c>
      <c r="BY27" s="58" t="n">
        <f aca="false">BW27*0.21+500</f>
        <v>2101.88</v>
      </c>
      <c r="BZ27" s="55" t="n">
        <f aca="false">BW27+BY27</f>
        <v>9729.88</v>
      </c>
      <c r="CA27" s="59" t="n">
        <f aca="false">IF(BW27&gt;0,BY27/BW27,0)</f>
        <v>0.275547981122181</v>
      </c>
      <c r="CB27" s="60" t="n">
        <f aca="false">2_Market_Gross_USD!J25</f>
        <v>8946</v>
      </c>
      <c r="CC27" s="53" t="n">
        <f aca="false">CB27*(1-0.3697)</f>
        <v>5638.6638</v>
      </c>
      <c r="CD27" s="58" t="n">
        <f aca="false">CB27*0.2+0</f>
        <v>1789.2</v>
      </c>
      <c r="CE27" s="55" t="n">
        <f aca="false">CB27+CD27</f>
        <v>10735.2</v>
      </c>
      <c r="CF27" s="59" t="n">
        <f aca="false">IF(CB27&gt;0,CD27/CB27,0)</f>
        <v>0.2</v>
      </c>
      <c r="CG27" s="60" t="n">
        <f aca="false">2_Market_Gross_USD!J25</f>
        <v>8946</v>
      </c>
      <c r="CH27" s="53" t="n">
        <f aca="false">CG27*(1-0.3697)</f>
        <v>5638.6638</v>
      </c>
      <c r="CI27" s="58" t="n">
        <f aca="false">CG27*0+0</f>
        <v>0</v>
      </c>
      <c r="CJ27" s="55" t="n">
        <f aca="false">CG27+CI27</f>
        <v>8946</v>
      </c>
      <c r="CK27" s="59" t="n">
        <f aca="false">IF(CG27&gt;0,CI27/CG27,0)</f>
        <v>0</v>
      </c>
      <c r="CL27" s="60" t="n">
        <f aca="false">2_Market_Gross_USD!J25</f>
        <v>8946</v>
      </c>
      <c r="CM27" s="53" t="n">
        <f aca="false">CL27*(1-0.3697)</f>
        <v>5638.6638</v>
      </c>
      <c r="CN27" s="58" t="n">
        <f aca="false">CL27*0.2+500</f>
        <v>2289.2</v>
      </c>
      <c r="CO27" s="55" t="n">
        <f aca="false">CL27+CN27</f>
        <v>11235.2</v>
      </c>
      <c r="CP27" s="59" t="n">
        <f aca="false">IF(CL27&gt;0,CN27/CL27,0)</f>
        <v>0.255890900961324</v>
      </c>
      <c r="CQ27" s="60" t="n">
        <f aca="false">2_Market_Gross_USD!K25</f>
        <v>4564</v>
      </c>
      <c r="CR27" s="53" t="n">
        <f aca="false">CQ27*(1-0.26)</f>
        <v>3377.36</v>
      </c>
      <c r="CS27" s="58" t="n">
        <f aca="false">CQ27*0.338+0</f>
        <v>1542.632</v>
      </c>
      <c r="CT27" s="55" t="n">
        <f aca="false">CQ27+CS27</f>
        <v>6106.632</v>
      </c>
      <c r="CU27" s="59" t="n">
        <f aca="false">IF(CQ27&gt;0,CS27/CQ27,0)</f>
        <v>0.338</v>
      </c>
      <c r="CV27" s="60" t="n">
        <f aca="false">2_Market_Gross_USD!K25</f>
        <v>4564</v>
      </c>
      <c r="CW27" s="53" t="n">
        <f aca="false">CV27*(1-0.15)</f>
        <v>3879.4</v>
      </c>
      <c r="CX27" s="58" t="n">
        <f aca="false">CV27*0+0</f>
        <v>0</v>
      </c>
      <c r="CY27" s="55" t="n">
        <f aca="false">CV27+CX27</f>
        <v>4564</v>
      </c>
      <c r="CZ27" s="59" t="n">
        <f aca="false">IF(CV27&gt;0,CX27/CV27,0)</f>
        <v>0</v>
      </c>
      <c r="DA27" s="60" t="n">
        <f aca="false">2_Market_Gross_USD!K25</f>
        <v>4564</v>
      </c>
      <c r="DB27" s="53" t="n">
        <f aca="false">DA27*(1-0.26)</f>
        <v>3377.36</v>
      </c>
      <c r="DC27" s="58" t="n">
        <f aca="false">DA27*0.338+500</f>
        <v>2042.632</v>
      </c>
      <c r="DD27" s="55" t="n">
        <f aca="false">DA27+DC27</f>
        <v>6606.632</v>
      </c>
      <c r="DE27" s="59" t="n">
        <f aca="false">IF(DA27&gt;0,DC27/DA27,0)</f>
        <v>0.447553023663453</v>
      </c>
      <c r="DF27" s="60" t="n">
        <f aca="false">2_Market_Gross_USD!L25</f>
        <v>5650</v>
      </c>
      <c r="DG27" s="53" t="n">
        <f aca="false">DF27*(1-0.34)</f>
        <v>3729</v>
      </c>
      <c r="DH27" s="58" t="n">
        <f aca="false">DF27*0.2375+0</f>
        <v>1341.875</v>
      </c>
      <c r="DI27" s="55" t="n">
        <f aca="false">DF27+DH27</f>
        <v>6991.875</v>
      </c>
      <c r="DJ27" s="59" t="n">
        <f aca="false">IF(DF27&gt;0,DH27/DF27,0)</f>
        <v>0.2375</v>
      </c>
      <c r="DK27" s="60" t="n">
        <f aca="false">2_Market_Gross_USD!L25</f>
        <v>5650</v>
      </c>
      <c r="DL27" s="53" t="n">
        <f aca="false">DK27*(1-0.2)</f>
        <v>4520</v>
      </c>
      <c r="DM27" s="58" t="n">
        <f aca="false">DK27*0+0</f>
        <v>0</v>
      </c>
      <c r="DN27" s="55" t="n">
        <f aca="false">DK27+DM27</f>
        <v>5650</v>
      </c>
      <c r="DO27" s="59" t="n">
        <f aca="false">IF(DK27&gt;0,DM27/DK27,0)</f>
        <v>0</v>
      </c>
      <c r="DP27" s="60" t="n">
        <f aca="false">2_Market_Gross_USD!L25</f>
        <v>5650</v>
      </c>
      <c r="DQ27" s="53" t="n">
        <f aca="false">DP27*(1-0.34)</f>
        <v>3729</v>
      </c>
      <c r="DR27" s="58" t="n">
        <f aca="false">DP27*0.2375+500</f>
        <v>1841.875</v>
      </c>
      <c r="DS27" s="55" t="n">
        <f aca="false">DP27+DR27</f>
        <v>7491.875</v>
      </c>
      <c r="DT27" s="59" t="n">
        <f aca="false">IF(DP27&gt;0,DR27/DP27,0)</f>
        <v>0.325995575221239</v>
      </c>
      <c r="DU27" s="60" t="n">
        <f aca="false">2_Market_Gross_USD!M25</f>
        <v>3733</v>
      </c>
      <c r="DV27" s="53" t="n">
        <f aca="false">DU27*0.65</f>
        <v>2426.45</v>
      </c>
      <c r="DW27" s="58" t="n">
        <f aca="false">DU27*0.0225+0</f>
        <v>83.9925</v>
      </c>
      <c r="DX27" s="55" t="n">
        <f aca="false">DU27+DW27</f>
        <v>3816.9925</v>
      </c>
      <c r="DY27" s="59" t="n">
        <f aca="false">IF(DU27&gt;0,DW27/DU27,0)</f>
        <v>0.0225</v>
      </c>
      <c r="DZ27" s="60" t="n">
        <f aca="false">2_Market_Gross_USD!M25</f>
        <v>3733</v>
      </c>
      <c r="EA27" s="53" t="n">
        <f aca="false">DZ27*(1-0.01)</f>
        <v>3695.67</v>
      </c>
      <c r="EB27" s="58" t="n">
        <f aca="false">DZ27*0+0</f>
        <v>0</v>
      </c>
      <c r="EC27" s="55" t="n">
        <f aca="false">DZ27+EB27</f>
        <v>3733</v>
      </c>
      <c r="ED27" s="59" t="n">
        <f aca="false">IF(DZ27&gt;0,EB27/DZ27,0)</f>
        <v>0</v>
      </c>
      <c r="EE27" s="60" t="n">
        <f aca="false">2_Market_Gross_USD!M25</f>
        <v>3733</v>
      </c>
      <c r="EF27" s="53" t="n">
        <f aca="false">EE27*0.65</f>
        <v>2426.45</v>
      </c>
      <c r="EG27" s="58" t="n">
        <f aca="false">EE27*0.0225+500</f>
        <v>583.9925</v>
      </c>
      <c r="EH27" s="55" t="n">
        <f aca="false">EE27+EG27</f>
        <v>4316.9925</v>
      </c>
      <c r="EI27" s="59" t="n">
        <f aca="false">IF(EE27&gt;0,EG27/EE27,0)</f>
        <v>0.1564405304045</v>
      </c>
    </row>
    <row r="28" customFormat="false" ht="15" hidden="false" customHeight="false" outlineLevel="0" collapsed="false">
      <c r="A28" s="37" t="n">
        <v>23</v>
      </c>
      <c r="B28" s="32" t="s">
        <v>259</v>
      </c>
      <c r="C28" s="32" t="s">
        <v>262</v>
      </c>
      <c r="D28" s="38" t="s">
        <v>248</v>
      </c>
      <c r="E28" s="52" t="n">
        <f aca="false">2_Market_Gross_USD!E26</f>
        <v>1500</v>
      </c>
      <c r="F28" s="53" t="n">
        <f aca="false">E28*(1-0.065)</f>
        <v>1402.5</v>
      </c>
      <c r="G28" s="54" t="n">
        <f aca="false">E28*0+35</f>
        <v>35</v>
      </c>
      <c r="H28" s="55" t="n">
        <f aca="false">E28+G28</f>
        <v>1535</v>
      </c>
      <c r="I28" s="56" t="n">
        <f aca="false">IF(E28&gt;0,G28/E28,0)</f>
        <v>0.0233333333333333</v>
      </c>
      <c r="J28" s="52" t="n">
        <f aca="false">2_Market_Gross_USD!E26</f>
        <v>1500</v>
      </c>
      <c r="K28" s="53" t="n">
        <f aca="false">J28*(1-0.065)</f>
        <v>1402.5</v>
      </c>
      <c r="L28" s="54" t="n">
        <f aca="false">J28*0+40</f>
        <v>40</v>
      </c>
      <c r="M28" s="55" t="n">
        <f aca="false">J28+L28</f>
        <v>1540</v>
      </c>
      <c r="N28" s="56" t="n">
        <f aca="false">IF(J28&gt;0,L28/J28,0)</f>
        <v>0.0266666666666667</v>
      </c>
      <c r="O28" s="52" t="n">
        <f aca="false">2_Market_Gross_USD!E26</f>
        <v>1500</v>
      </c>
      <c r="P28" s="53" t="n">
        <f aca="false">O28*(1-0.195)</f>
        <v>1207.5</v>
      </c>
      <c r="Q28" s="54" t="n">
        <f aca="false">IF(O28&gt;=3886,3886*0.22,O28*0.22)</f>
        <v>330</v>
      </c>
      <c r="R28" s="55" t="n">
        <f aca="false">O28+Q28</f>
        <v>1830</v>
      </c>
      <c r="S28" s="56" t="n">
        <f aca="false">IF(O28&gt;0,Q28/O28,0)</f>
        <v>0.22</v>
      </c>
      <c r="T28" s="57" t="n">
        <f aca="false">2_Market_Gross_USD!F26</f>
        <v>3570</v>
      </c>
      <c r="U28" s="53" t="n">
        <f aca="false">T28*(1-0.2571)</f>
        <v>2652.153</v>
      </c>
      <c r="V28" s="54" t="n">
        <f aca="false">T28*0.2038+0</f>
        <v>727.566</v>
      </c>
      <c r="W28" s="55" t="n">
        <f aca="false">T28+V28</f>
        <v>4297.566</v>
      </c>
      <c r="X28" s="56" t="n">
        <f aca="false">IF(T28&gt;0,V28/T28,0)</f>
        <v>0.2038</v>
      </c>
      <c r="Y28" s="57" t="n">
        <f aca="false">2_Market_Gross_USD!F26</f>
        <v>3570</v>
      </c>
      <c r="Z28" s="53" t="n">
        <f aca="false">Y28*(1-0.12)</f>
        <v>3141.6</v>
      </c>
      <c r="AA28" s="54" t="n">
        <f aca="false">Y28*0+0</f>
        <v>0</v>
      </c>
      <c r="AB28" s="55" t="n">
        <f aca="false">Y28+AA28</f>
        <v>3570</v>
      </c>
      <c r="AC28" s="56" t="n">
        <f aca="false">IF(Y28&gt;0,AA28/Y28,0)</f>
        <v>0</v>
      </c>
      <c r="AD28" s="57" t="n">
        <f aca="false">2_Market_Gross_USD!F26</f>
        <v>3570</v>
      </c>
      <c r="AE28" s="53" t="n">
        <f aca="false">AD28*(1-0.2571)</f>
        <v>2652.153</v>
      </c>
      <c r="AF28" s="54" t="n">
        <f aca="false">AD28*0.2038+500</f>
        <v>1227.566</v>
      </c>
      <c r="AG28" s="55" t="n">
        <f aca="false">AD28+AF28</f>
        <v>4797.566</v>
      </c>
      <c r="AH28" s="56" t="n">
        <f aca="false">IF(AD28&gt;0,AF28/AD28,0)</f>
        <v>0.343856022408964</v>
      </c>
      <c r="AI28" s="57" t="n">
        <f aca="false">2_Market_Gross_USD!G26</f>
        <v>4763</v>
      </c>
      <c r="AJ28" s="53" t="n">
        <f aca="false">AI28*(1-0.28)</f>
        <v>3429.36</v>
      </c>
      <c r="AK28" s="54" t="n">
        <f aca="false">AI28*0.15+0</f>
        <v>714.45</v>
      </c>
      <c r="AL28" s="55" t="n">
        <f aca="false">AI28+AK28</f>
        <v>5477.45</v>
      </c>
      <c r="AM28" s="56" t="n">
        <f aca="false">IF(AI28&gt;0,AK28/AI28,0)</f>
        <v>0.15</v>
      </c>
      <c r="AN28" s="57" t="n">
        <f aca="false">2_Market_Gross_USD!G26</f>
        <v>4763</v>
      </c>
      <c r="AO28" s="53" t="n">
        <f aca="false">AN28*(1-0.19)</f>
        <v>3858.03</v>
      </c>
      <c r="AP28" s="54" t="n">
        <f aca="false">AN28*0+0</f>
        <v>0</v>
      </c>
      <c r="AQ28" s="55" t="n">
        <f aca="false">AN28+AP28</f>
        <v>4763</v>
      </c>
      <c r="AR28" s="56" t="n">
        <f aca="false">IF(AN28&gt;0,AP28/AN28,0)</f>
        <v>0</v>
      </c>
      <c r="AS28" s="57" t="n">
        <f aca="false">2_Market_Gross_USD!G26</f>
        <v>4763</v>
      </c>
      <c r="AT28" s="53" t="n">
        <f aca="false">AS28*(1-0.28)</f>
        <v>3429.36</v>
      </c>
      <c r="AU28" s="54" t="n">
        <f aca="false">AS28*0.15+500</f>
        <v>1214.45</v>
      </c>
      <c r="AV28" s="55" t="n">
        <f aca="false">AS28+AU28</f>
        <v>5977.45</v>
      </c>
      <c r="AW28" s="56" t="n">
        <f aca="false">IF(AS28&gt;0,AU28/AS28,0)</f>
        <v>0.254975855553223</v>
      </c>
      <c r="AX28" s="57" t="n">
        <f aca="false">2_Market_Gross_USD!H26</f>
        <v>11000</v>
      </c>
      <c r="AY28" s="53" t="n">
        <f aca="false">AX28*(1-0.2965)</f>
        <v>7738.5</v>
      </c>
      <c r="AZ28" s="54" t="n">
        <f aca="false">AX28*0.11+0</f>
        <v>1210</v>
      </c>
      <c r="BA28" s="55" t="n">
        <f aca="false">AX28+AZ28</f>
        <v>12210</v>
      </c>
      <c r="BB28" s="56" t="n">
        <f aca="false">IF(AX28&gt;0,AZ28/AX28,0)</f>
        <v>0.11</v>
      </c>
      <c r="BC28" s="57" t="n">
        <f aca="false">2_Market_Gross_USD!H26</f>
        <v>11000</v>
      </c>
      <c r="BD28" s="53" t="n">
        <f aca="false">BC28*(1-0.373)</f>
        <v>6897</v>
      </c>
      <c r="BE28" s="54" t="n">
        <f aca="false">BC28*0+0</f>
        <v>0</v>
      </c>
      <c r="BF28" s="55" t="n">
        <f aca="false">BC28+BE28</f>
        <v>11000</v>
      </c>
      <c r="BG28" s="56" t="n">
        <f aca="false">IF(BC28&gt;0,BE28/BC28,0)</f>
        <v>0</v>
      </c>
      <c r="BH28" s="57" t="n">
        <f aca="false">2_Market_Gross_USD!H26</f>
        <v>11000</v>
      </c>
      <c r="BI28" s="53" t="n">
        <f aca="false">BH28*(1-0.2965)</f>
        <v>7738.5</v>
      </c>
      <c r="BJ28" s="54" t="n">
        <f aca="false">BH28*0.11+500</f>
        <v>1710</v>
      </c>
      <c r="BK28" s="55" t="n">
        <f aca="false">BH28+BJ28</f>
        <v>12710</v>
      </c>
      <c r="BL28" s="56" t="n">
        <f aca="false">IF(BH28&gt;0,BJ28/BH28,0)</f>
        <v>0.155454545454545</v>
      </c>
      <c r="BM28" s="57" t="n">
        <f aca="false">2_Market_Gross_USD!I26</f>
        <v>5556</v>
      </c>
      <c r="BN28" s="53" t="n">
        <f aca="false">BM28*(1-0.4785)</f>
        <v>2897.454</v>
      </c>
      <c r="BO28" s="54" t="n">
        <f aca="false">BM28*0.21+0</f>
        <v>1166.76</v>
      </c>
      <c r="BP28" s="55" t="n">
        <f aca="false">BM28+BO28</f>
        <v>6722.76</v>
      </c>
      <c r="BQ28" s="56" t="n">
        <f aca="false">IF(BM28&gt;0,BO28/BM28,0)</f>
        <v>0.21</v>
      </c>
      <c r="BR28" s="57" t="n">
        <f aca="false">2_Market_Gross_USD!I26</f>
        <v>5556</v>
      </c>
      <c r="BS28" s="53" t="n">
        <f aca="false">BR28*(1-0.25)</f>
        <v>4167</v>
      </c>
      <c r="BT28" s="54" t="n">
        <f aca="false">BR28*0+0</f>
        <v>0</v>
      </c>
      <c r="BU28" s="55" t="n">
        <f aca="false">BR28+BT28</f>
        <v>5556</v>
      </c>
      <c r="BV28" s="56" t="n">
        <f aca="false">IF(BR28&gt;0,BT28/BR28,0)</f>
        <v>0</v>
      </c>
      <c r="BW28" s="57" t="n">
        <f aca="false">2_Market_Gross_USD!I26</f>
        <v>5556</v>
      </c>
      <c r="BX28" s="53" t="n">
        <f aca="false">BW28*(1-0.4785)</f>
        <v>2897.454</v>
      </c>
      <c r="BY28" s="54" t="n">
        <f aca="false">BW28*0.21+500</f>
        <v>1666.76</v>
      </c>
      <c r="BZ28" s="55" t="n">
        <f aca="false">BW28+BY28</f>
        <v>7222.76</v>
      </c>
      <c r="CA28" s="56" t="n">
        <f aca="false">IF(BW28&gt;0,BY28/BW28,0)</f>
        <v>0.299992800575954</v>
      </c>
      <c r="CB28" s="57" t="n">
        <f aca="false">2_Market_Gross_USD!J26</f>
        <v>6026</v>
      </c>
      <c r="CC28" s="53" t="n">
        <f aca="false">CB28*(1-0.3697)</f>
        <v>3798.1878</v>
      </c>
      <c r="CD28" s="54" t="n">
        <f aca="false">CB28*0.2+0</f>
        <v>1205.2</v>
      </c>
      <c r="CE28" s="55" t="n">
        <f aca="false">CB28+CD28</f>
        <v>7231.2</v>
      </c>
      <c r="CF28" s="56" t="n">
        <f aca="false">IF(CB28&gt;0,CD28/CB28,0)</f>
        <v>0.2</v>
      </c>
      <c r="CG28" s="57" t="n">
        <f aca="false">2_Market_Gross_USD!J26</f>
        <v>6026</v>
      </c>
      <c r="CH28" s="53" t="n">
        <f aca="false">CG28*(1-0.3697)</f>
        <v>3798.1878</v>
      </c>
      <c r="CI28" s="54" t="n">
        <f aca="false">CG28*0+0</f>
        <v>0</v>
      </c>
      <c r="CJ28" s="55" t="n">
        <f aca="false">CG28+CI28</f>
        <v>6026</v>
      </c>
      <c r="CK28" s="56" t="n">
        <f aca="false">IF(CG28&gt;0,CI28/CG28,0)</f>
        <v>0</v>
      </c>
      <c r="CL28" s="57" t="n">
        <f aca="false">2_Market_Gross_USD!J26</f>
        <v>6026</v>
      </c>
      <c r="CM28" s="53" t="n">
        <f aca="false">CL28*(1-0.3697)</f>
        <v>3798.1878</v>
      </c>
      <c r="CN28" s="54" t="n">
        <f aca="false">CL28*0.2+500</f>
        <v>1705.2</v>
      </c>
      <c r="CO28" s="55" t="n">
        <f aca="false">CL28+CN28</f>
        <v>7731.2</v>
      </c>
      <c r="CP28" s="56" t="n">
        <f aca="false">IF(CL28&gt;0,CN28/CL28,0)</f>
        <v>0.28297378028543</v>
      </c>
      <c r="CQ28" s="57" t="n">
        <f aca="false">2_Market_Gross_USD!K26</f>
        <v>2881</v>
      </c>
      <c r="CR28" s="53" t="n">
        <f aca="false">CQ28*(1-0.26)</f>
        <v>2131.94</v>
      </c>
      <c r="CS28" s="54" t="n">
        <f aca="false">CQ28*0.338+0</f>
        <v>973.778</v>
      </c>
      <c r="CT28" s="55" t="n">
        <f aca="false">CQ28+CS28</f>
        <v>3854.778</v>
      </c>
      <c r="CU28" s="56" t="n">
        <f aca="false">IF(CQ28&gt;0,CS28/CQ28,0)</f>
        <v>0.338</v>
      </c>
      <c r="CV28" s="57" t="n">
        <f aca="false">2_Market_Gross_USD!K26</f>
        <v>2881</v>
      </c>
      <c r="CW28" s="53" t="n">
        <f aca="false">CV28*(1-0.15)</f>
        <v>2448.85</v>
      </c>
      <c r="CX28" s="54" t="n">
        <f aca="false">CV28*0+0</f>
        <v>0</v>
      </c>
      <c r="CY28" s="55" t="n">
        <f aca="false">CV28+CX28</f>
        <v>2881</v>
      </c>
      <c r="CZ28" s="56" t="n">
        <f aca="false">IF(CV28&gt;0,CX28/CV28,0)</f>
        <v>0</v>
      </c>
      <c r="DA28" s="57" t="n">
        <f aca="false">2_Market_Gross_USD!K26</f>
        <v>2881</v>
      </c>
      <c r="DB28" s="53" t="n">
        <f aca="false">DA28*(1-0.26)</f>
        <v>2131.94</v>
      </c>
      <c r="DC28" s="54" t="n">
        <f aca="false">DA28*0.338+500</f>
        <v>1473.778</v>
      </c>
      <c r="DD28" s="55" t="n">
        <f aca="false">DA28+DC28</f>
        <v>4354.778</v>
      </c>
      <c r="DE28" s="56" t="n">
        <f aca="false">IF(DA28&gt;0,DC28/DA28,0)</f>
        <v>0.511550850399167</v>
      </c>
      <c r="DF28" s="57" t="n">
        <f aca="false">2_Market_Gross_USD!L26</f>
        <v>3766</v>
      </c>
      <c r="DG28" s="53" t="n">
        <f aca="false">DF28*(1-0.34)</f>
        <v>2485.56</v>
      </c>
      <c r="DH28" s="54" t="n">
        <f aca="false">DF28*0.2375+0</f>
        <v>894.425</v>
      </c>
      <c r="DI28" s="55" t="n">
        <f aca="false">DF28+DH28</f>
        <v>4660.425</v>
      </c>
      <c r="DJ28" s="56" t="n">
        <f aca="false">IF(DF28&gt;0,DH28/DF28,0)</f>
        <v>0.2375</v>
      </c>
      <c r="DK28" s="57" t="n">
        <f aca="false">2_Market_Gross_USD!L26</f>
        <v>3766</v>
      </c>
      <c r="DL28" s="53" t="n">
        <f aca="false">DK28*(1-0.2)</f>
        <v>3012.8</v>
      </c>
      <c r="DM28" s="54" t="n">
        <f aca="false">DK28*0+0</f>
        <v>0</v>
      </c>
      <c r="DN28" s="55" t="n">
        <f aca="false">DK28+DM28</f>
        <v>3766</v>
      </c>
      <c r="DO28" s="56" t="n">
        <f aca="false">IF(DK28&gt;0,DM28/DK28,0)</f>
        <v>0</v>
      </c>
      <c r="DP28" s="57" t="n">
        <f aca="false">2_Market_Gross_USD!L26</f>
        <v>3766</v>
      </c>
      <c r="DQ28" s="53" t="n">
        <f aca="false">DP28*(1-0.34)</f>
        <v>2485.56</v>
      </c>
      <c r="DR28" s="54" t="n">
        <f aca="false">DP28*0.2375+500</f>
        <v>1394.425</v>
      </c>
      <c r="DS28" s="55" t="n">
        <f aca="false">DP28+DR28</f>
        <v>5160.425</v>
      </c>
      <c r="DT28" s="56" t="n">
        <f aca="false">IF(DP28&gt;0,DR28/DP28,0)</f>
        <v>0.370266861391397</v>
      </c>
      <c r="DU28" s="57" t="n">
        <f aca="false">2_Market_Gross_USD!M26</f>
        <v>2333</v>
      </c>
      <c r="DV28" s="53" t="n">
        <f aca="false">DU28*0.65</f>
        <v>1516.45</v>
      </c>
      <c r="DW28" s="54" t="n">
        <f aca="false">DU28*0.0225+0</f>
        <v>52.4925</v>
      </c>
      <c r="DX28" s="55" t="n">
        <f aca="false">DU28+DW28</f>
        <v>2385.4925</v>
      </c>
      <c r="DY28" s="56" t="n">
        <f aca="false">IF(DU28&gt;0,DW28/DU28,0)</f>
        <v>0.0225</v>
      </c>
      <c r="DZ28" s="57" t="n">
        <f aca="false">2_Market_Gross_USD!M26</f>
        <v>2333</v>
      </c>
      <c r="EA28" s="53" t="n">
        <f aca="false">DZ28*(1-0.01)</f>
        <v>2309.67</v>
      </c>
      <c r="EB28" s="54" t="n">
        <f aca="false">DZ28*0+0</f>
        <v>0</v>
      </c>
      <c r="EC28" s="55" t="n">
        <f aca="false">DZ28+EB28</f>
        <v>2333</v>
      </c>
      <c r="ED28" s="56" t="n">
        <f aca="false">IF(DZ28&gt;0,EB28/DZ28,0)</f>
        <v>0</v>
      </c>
      <c r="EE28" s="57" t="n">
        <f aca="false">2_Market_Gross_USD!M26</f>
        <v>2333</v>
      </c>
      <c r="EF28" s="53" t="n">
        <f aca="false">EE28*0.65</f>
        <v>1516.45</v>
      </c>
      <c r="EG28" s="54" t="n">
        <f aca="false">EE28*0.0225+500</f>
        <v>552.4925</v>
      </c>
      <c r="EH28" s="55" t="n">
        <f aca="false">EE28+EG28</f>
        <v>2885.4925</v>
      </c>
      <c r="EI28" s="56" t="n">
        <f aca="false">IF(EE28&gt;0,EG28/EE28,0)</f>
        <v>0.236816330904415</v>
      </c>
    </row>
    <row r="29" customFormat="false" ht="15" hidden="false" customHeight="false" outlineLevel="0" collapsed="false">
      <c r="A29" s="41" t="n">
        <v>24</v>
      </c>
      <c r="B29" s="28" t="s">
        <v>259</v>
      </c>
      <c r="C29" s="8" t="s">
        <v>262</v>
      </c>
      <c r="D29" s="42" t="s">
        <v>249</v>
      </c>
      <c r="E29" s="52" t="n">
        <f aca="false">2_Market_Gross_USD!E27</f>
        <v>4750</v>
      </c>
      <c r="F29" s="53" t="n">
        <f aca="false">E29*(1-0.065)</f>
        <v>4441.25</v>
      </c>
      <c r="G29" s="58" t="n">
        <f aca="false">E29*0+35</f>
        <v>35</v>
      </c>
      <c r="H29" s="55" t="n">
        <f aca="false">E29+G29</f>
        <v>4785</v>
      </c>
      <c r="I29" s="59" t="n">
        <f aca="false">IF(E29&gt;0,G29/E29,0)</f>
        <v>0.00736842105263158</v>
      </c>
      <c r="J29" s="52" t="n">
        <f aca="false">2_Market_Gross_USD!E27</f>
        <v>4750</v>
      </c>
      <c r="K29" s="53" t="n">
        <f aca="false">J29*(1-0.065)</f>
        <v>4441.25</v>
      </c>
      <c r="L29" s="58" t="n">
        <f aca="false">J29*0+40</f>
        <v>40</v>
      </c>
      <c r="M29" s="55" t="n">
        <f aca="false">J29+L29</f>
        <v>4790</v>
      </c>
      <c r="N29" s="59" t="n">
        <f aca="false">IF(J29&gt;0,L29/J29,0)</f>
        <v>0.00842105263157895</v>
      </c>
      <c r="O29" s="52" t="n">
        <f aca="false">2_Market_Gross_USD!E27</f>
        <v>4750</v>
      </c>
      <c r="P29" s="53" t="n">
        <f aca="false">O29*(1-0.195)</f>
        <v>3823.75</v>
      </c>
      <c r="Q29" s="58" t="n">
        <f aca="false">IF(O29&gt;=3886,3886*0.22,O29*0.22)</f>
        <v>854.92</v>
      </c>
      <c r="R29" s="55" t="n">
        <f aca="false">O29+Q29</f>
        <v>5604.92</v>
      </c>
      <c r="S29" s="59" t="n">
        <f aca="false">IF(O29&gt;0,Q29/O29,0)</f>
        <v>0.179983157894737</v>
      </c>
      <c r="T29" s="60" t="n">
        <f aca="false">2_Market_Gross_USD!F27</f>
        <v>5865</v>
      </c>
      <c r="U29" s="53" t="n">
        <f aca="false">T29*(1-0.2571)</f>
        <v>4357.1085</v>
      </c>
      <c r="V29" s="58" t="n">
        <f aca="false">T29*0.2038+0</f>
        <v>1195.287</v>
      </c>
      <c r="W29" s="55" t="n">
        <f aca="false">T29+V29</f>
        <v>7060.287</v>
      </c>
      <c r="X29" s="59" t="n">
        <f aca="false">IF(T29&gt;0,V29/T29,0)</f>
        <v>0.2038</v>
      </c>
      <c r="Y29" s="60" t="n">
        <f aca="false">2_Market_Gross_USD!F27</f>
        <v>5865</v>
      </c>
      <c r="Z29" s="53" t="n">
        <f aca="false">Y29*(1-0.12)</f>
        <v>5161.2</v>
      </c>
      <c r="AA29" s="58" t="n">
        <f aca="false">Y29*0+0</f>
        <v>0</v>
      </c>
      <c r="AB29" s="55" t="n">
        <f aca="false">Y29+AA29</f>
        <v>5865</v>
      </c>
      <c r="AC29" s="59" t="n">
        <f aca="false">IF(Y29&gt;0,AA29/Y29,0)</f>
        <v>0</v>
      </c>
      <c r="AD29" s="60" t="n">
        <f aca="false">2_Market_Gross_USD!F27</f>
        <v>5865</v>
      </c>
      <c r="AE29" s="53" t="n">
        <f aca="false">AD29*(1-0.2571)</f>
        <v>4357.1085</v>
      </c>
      <c r="AF29" s="58" t="n">
        <f aca="false">AD29*0.2038+500</f>
        <v>1695.287</v>
      </c>
      <c r="AG29" s="55" t="n">
        <f aca="false">AD29+AF29</f>
        <v>7560.287</v>
      </c>
      <c r="AH29" s="59" t="n">
        <f aca="false">IF(AD29&gt;0,AF29/AD29,0)</f>
        <v>0.289051491901108</v>
      </c>
      <c r="AI29" s="60" t="n">
        <f aca="false">2_Market_Gross_USD!G27</f>
        <v>7407</v>
      </c>
      <c r="AJ29" s="53" t="n">
        <f aca="false">AI29*(1-0.28)</f>
        <v>5333.04</v>
      </c>
      <c r="AK29" s="58" t="n">
        <f aca="false">AI29*0.15+0</f>
        <v>1111.05</v>
      </c>
      <c r="AL29" s="55" t="n">
        <f aca="false">AI29+AK29</f>
        <v>8518.05</v>
      </c>
      <c r="AM29" s="59" t="n">
        <f aca="false">IF(AI29&gt;0,AK29/AI29,0)</f>
        <v>0.15</v>
      </c>
      <c r="AN29" s="60" t="n">
        <f aca="false">2_Market_Gross_USD!G27</f>
        <v>7407</v>
      </c>
      <c r="AO29" s="53" t="n">
        <f aca="false">AN29*(1-0.19)</f>
        <v>5999.67</v>
      </c>
      <c r="AP29" s="58" t="n">
        <f aca="false">AN29*0+0</f>
        <v>0</v>
      </c>
      <c r="AQ29" s="55" t="n">
        <f aca="false">AN29+AP29</f>
        <v>7407</v>
      </c>
      <c r="AR29" s="59" t="n">
        <f aca="false">IF(AN29&gt;0,AP29/AN29,0)</f>
        <v>0</v>
      </c>
      <c r="AS29" s="60" t="n">
        <f aca="false">2_Market_Gross_USD!G27</f>
        <v>7407</v>
      </c>
      <c r="AT29" s="53" t="n">
        <f aca="false">AS29*(1-0.28)</f>
        <v>5333.04</v>
      </c>
      <c r="AU29" s="58" t="n">
        <f aca="false">AS29*0.15+500</f>
        <v>1611.05</v>
      </c>
      <c r="AV29" s="55" t="n">
        <f aca="false">AS29+AU29</f>
        <v>9018.05</v>
      </c>
      <c r="AW29" s="59" t="n">
        <f aca="false">IF(AS29&gt;0,AU29/AS29,0)</f>
        <v>0.217503712704199</v>
      </c>
      <c r="AX29" s="60" t="n">
        <f aca="false">2_Market_Gross_USD!H27</f>
        <v>13600</v>
      </c>
      <c r="AY29" s="53" t="n">
        <f aca="false">AX29*(1-0.2965)</f>
        <v>9567.6</v>
      </c>
      <c r="AZ29" s="58" t="n">
        <f aca="false">AX29*0.11+0</f>
        <v>1496</v>
      </c>
      <c r="BA29" s="55" t="n">
        <f aca="false">AX29+AZ29</f>
        <v>15096</v>
      </c>
      <c r="BB29" s="59" t="n">
        <f aca="false">IF(AX29&gt;0,AZ29/AX29,0)</f>
        <v>0.11</v>
      </c>
      <c r="BC29" s="60" t="n">
        <f aca="false">2_Market_Gross_USD!H27</f>
        <v>13600</v>
      </c>
      <c r="BD29" s="53" t="n">
        <f aca="false">BC29*(1-0.373)</f>
        <v>8527.2</v>
      </c>
      <c r="BE29" s="58" t="n">
        <f aca="false">BC29*0+0</f>
        <v>0</v>
      </c>
      <c r="BF29" s="55" t="n">
        <f aca="false">BC29+BE29</f>
        <v>13600</v>
      </c>
      <c r="BG29" s="59" t="n">
        <f aca="false">IF(BC29&gt;0,BE29/BC29,0)</f>
        <v>0</v>
      </c>
      <c r="BH29" s="60" t="n">
        <f aca="false">2_Market_Gross_USD!H27</f>
        <v>13600</v>
      </c>
      <c r="BI29" s="53" t="n">
        <f aca="false">BH29*(1-0.2965)</f>
        <v>9567.6</v>
      </c>
      <c r="BJ29" s="58" t="n">
        <f aca="false">BH29*0.11+500</f>
        <v>1996</v>
      </c>
      <c r="BK29" s="55" t="n">
        <f aca="false">BH29+BJ29</f>
        <v>15596</v>
      </c>
      <c r="BL29" s="59" t="n">
        <f aca="false">IF(BH29&gt;0,BJ29/BH29,0)</f>
        <v>0.146764705882353</v>
      </c>
      <c r="BM29" s="60" t="n">
        <f aca="false">2_Market_Gross_USD!I27</f>
        <v>7628</v>
      </c>
      <c r="BN29" s="53" t="n">
        <f aca="false">BM29*(1-0.4785)</f>
        <v>3978.002</v>
      </c>
      <c r="BO29" s="58" t="n">
        <f aca="false">BM29*0.21+0</f>
        <v>1601.88</v>
      </c>
      <c r="BP29" s="55" t="n">
        <f aca="false">BM29+BO29</f>
        <v>9229.88</v>
      </c>
      <c r="BQ29" s="59" t="n">
        <f aca="false">IF(BM29&gt;0,BO29/BM29,0)</f>
        <v>0.21</v>
      </c>
      <c r="BR29" s="60" t="n">
        <f aca="false">2_Market_Gross_USD!I27</f>
        <v>7628</v>
      </c>
      <c r="BS29" s="53" t="n">
        <f aca="false">BR29*(1-0.25)</f>
        <v>5721</v>
      </c>
      <c r="BT29" s="58" t="n">
        <f aca="false">BR29*0+0</f>
        <v>0</v>
      </c>
      <c r="BU29" s="55" t="n">
        <f aca="false">BR29+BT29</f>
        <v>7628</v>
      </c>
      <c r="BV29" s="59" t="n">
        <f aca="false">IF(BR29&gt;0,BT29/BR29,0)</f>
        <v>0</v>
      </c>
      <c r="BW29" s="60" t="n">
        <f aca="false">2_Market_Gross_USD!I27</f>
        <v>7628</v>
      </c>
      <c r="BX29" s="53" t="n">
        <f aca="false">BW29*(1-0.4785)</f>
        <v>3978.002</v>
      </c>
      <c r="BY29" s="58" t="n">
        <f aca="false">BW29*0.21+500</f>
        <v>2101.88</v>
      </c>
      <c r="BZ29" s="55" t="n">
        <f aca="false">BW29+BY29</f>
        <v>9729.88</v>
      </c>
      <c r="CA29" s="59" t="n">
        <f aca="false">IF(BW29&gt;0,BY29/BW29,0)</f>
        <v>0.275547981122181</v>
      </c>
      <c r="CB29" s="60" t="n">
        <f aca="false">2_Market_Gross_USD!J27</f>
        <v>8946</v>
      </c>
      <c r="CC29" s="53" t="n">
        <f aca="false">CB29*(1-0.3697)</f>
        <v>5638.6638</v>
      </c>
      <c r="CD29" s="58" t="n">
        <f aca="false">CB29*0.2+0</f>
        <v>1789.2</v>
      </c>
      <c r="CE29" s="55" t="n">
        <f aca="false">CB29+CD29</f>
        <v>10735.2</v>
      </c>
      <c r="CF29" s="59" t="n">
        <f aca="false">IF(CB29&gt;0,CD29/CB29,0)</f>
        <v>0.2</v>
      </c>
      <c r="CG29" s="60" t="n">
        <f aca="false">2_Market_Gross_USD!J27</f>
        <v>8946</v>
      </c>
      <c r="CH29" s="53" t="n">
        <f aca="false">CG29*(1-0.3697)</f>
        <v>5638.6638</v>
      </c>
      <c r="CI29" s="58" t="n">
        <f aca="false">CG29*0+0</f>
        <v>0</v>
      </c>
      <c r="CJ29" s="55" t="n">
        <f aca="false">CG29+CI29</f>
        <v>8946</v>
      </c>
      <c r="CK29" s="59" t="n">
        <f aca="false">IF(CG29&gt;0,CI29/CG29,0)</f>
        <v>0</v>
      </c>
      <c r="CL29" s="60" t="n">
        <f aca="false">2_Market_Gross_USD!J27</f>
        <v>8946</v>
      </c>
      <c r="CM29" s="53" t="n">
        <f aca="false">CL29*(1-0.3697)</f>
        <v>5638.6638</v>
      </c>
      <c r="CN29" s="58" t="n">
        <f aca="false">CL29*0.2+500</f>
        <v>2289.2</v>
      </c>
      <c r="CO29" s="55" t="n">
        <f aca="false">CL29+CN29</f>
        <v>11235.2</v>
      </c>
      <c r="CP29" s="59" t="n">
        <f aca="false">IF(CL29&gt;0,CN29/CL29,0)</f>
        <v>0.255890900961324</v>
      </c>
      <c r="CQ29" s="60" t="n">
        <f aca="false">2_Market_Gross_USD!K27</f>
        <v>4564</v>
      </c>
      <c r="CR29" s="53" t="n">
        <f aca="false">CQ29*(1-0.26)</f>
        <v>3377.36</v>
      </c>
      <c r="CS29" s="58" t="n">
        <f aca="false">CQ29*0.338+0</f>
        <v>1542.632</v>
      </c>
      <c r="CT29" s="55" t="n">
        <f aca="false">CQ29+CS29</f>
        <v>6106.632</v>
      </c>
      <c r="CU29" s="59" t="n">
        <f aca="false">IF(CQ29&gt;0,CS29/CQ29,0)</f>
        <v>0.338</v>
      </c>
      <c r="CV29" s="60" t="n">
        <f aca="false">2_Market_Gross_USD!K27</f>
        <v>4564</v>
      </c>
      <c r="CW29" s="53" t="n">
        <f aca="false">CV29*(1-0.15)</f>
        <v>3879.4</v>
      </c>
      <c r="CX29" s="58" t="n">
        <f aca="false">CV29*0+0</f>
        <v>0</v>
      </c>
      <c r="CY29" s="55" t="n">
        <f aca="false">CV29+CX29</f>
        <v>4564</v>
      </c>
      <c r="CZ29" s="59" t="n">
        <f aca="false">IF(CV29&gt;0,CX29/CV29,0)</f>
        <v>0</v>
      </c>
      <c r="DA29" s="60" t="n">
        <f aca="false">2_Market_Gross_USD!K27</f>
        <v>4564</v>
      </c>
      <c r="DB29" s="53" t="n">
        <f aca="false">DA29*(1-0.26)</f>
        <v>3377.36</v>
      </c>
      <c r="DC29" s="58" t="n">
        <f aca="false">DA29*0.338+500</f>
        <v>2042.632</v>
      </c>
      <c r="DD29" s="55" t="n">
        <f aca="false">DA29+DC29</f>
        <v>6606.632</v>
      </c>
      <c r="DE29" s="59" t="n">
        <f aca="false">IF(DA29&gt;0,DC29/DA29,0)</f>
        <v>0.447553023663453</v>
      </c>
      <c r="DF29" s="60" t="n">
        <f aca="false">2_Market_Gross_USD!L27</f>
        <v>5650</v>
      </c>
      <c r="DG29" s="53" t="n">
        <f aca="false">DF29*(1-0.34)</f>
        <v>3729</v>
      </c>
      <c r="DH29" s="58" t="n">
        <f aca="false">DF29*0.2375+0</f>
        <v>1341.875</v>
      </c>
      <c r="DI29" s="55" t="n">
        <f aca="false">DF29+DH29</f>
        <v>6991.875</v>
      </c>
      <c r="DJ29" s="59" t="n">
        <f aca="false">IF(DF29&gt;0,DH29/DF29,0)</f>
        <v>0.2375</v>
      </c>
      <c r="DK29" s="60" t="n">
        <f aca="false">2_Market_Gross_USD!L27</f>
        <v>5650</v>
      </c>
      <c r="DL29" s="53" t="n">
        <f aca="false">DK29*(1-0.2)</f>
        <v>4520</v>
      </c>
      <c r="DM29" s="58" t="n">
        <f aca="false">DK29*0+0</f>
        <v>0</v>
      </c>
      <c r="DN29" s="55" t="n">
        <f aca="false">DK29+DM29</f>
        <v>5650</v>
      </c>
      <c r="DO29" s="59" t="n">
        <f aca="false">IF(DK29&gt;0,DM29/DK29,0)</f>
        <v>0</v>
      </c>
      <c r="DP29" s="60" t="n">
        <f aca="false">2_Market_Gross_USD!L27</f>
        <v>5650</v>
      </c>
      <c r="DQ29" s="53" t="n">
        <f aca="false">DP29*(1-0.34)</f>
        <v>3729</v>
      </c>
      <c r="DR29" s="58" t="n">
        <f aca="false">DP29*0.2375+500</f>
        <v>1841.875</v>
      </c>
      <c r="DS29" s="55" t="n">
        <f aca="false">DP29+DR29</f>
        <v>7491.875</v>
      </c>
      <c r="DT29" s="59" t="n">
        <f aca="false">IF(DP29&gt;0,DR29/DP29,0)</f>
        <v>0.325995575221239</v>
      </c>
      <c r="DU29" s="60" t="n">
        <f aca="false">2_Market_Gross_USD!M27</f>
        <v>3733</v>
      </c>
      <c r="DV29" s="53" t="n">
        <f aca="false">DU29*0.65</f>
        <v>2426.45</v>
      </c>
      <c r="DW29" s="58" t="n">
        <f aca="false">DU29*0.0225+0</f>
        <v>83.9925</v>
      </c>
      <c r="DX29" s="55" t="n">
        <f aca="false">DU29+DW29</f>
        <v>3816.9925</v>
      </c>
      <c r="DY29" s="59" t="n">
        <f aca="false">IF(DU29&gt;0,DW29/DU29,0)</f>
        <v>0.0225</v>
      </c>
      <c r="DZ29" s="60" t="n">
        <f aca="false">2_Market_Gross_USD!M27</f>
        <v>3733</v>
      </c>
      <c r="EA29" s="53" t="n">
        <f aca="false">DZ29*(1-0.01)</f>
        <v>3695.67</v>
      </c>
      <c r="EB29" s="58" t="n">
        <f aca="false">DZ29*0+0</f>
        <v>0</v>
      </c>
      <c r="EC29" s="55" t="n">
        <f aca="false">DZ29+EB29</f>
        <v>3733</v>
      </c>
      <c r="ED29" s="59" t="n">
        <f aca="false">IF(DZ29&gt;0,EB29/DZ29,0)</f>
        <v>0</v>
      </c>
      <c r="EE29" s="60" t="n">
        <f aca="false">2_Market_Gross_USD!M27</f>
        <v>3733</v>
      </c>
      <c r="EF29" s="53" t="n">
        <f aca="false">EE29*0.65</f>
        <v>2426.45</v>
      </c>
      <c r="EG29" s="58" t="n">
        <f aca="false">EE29*0.0225+500</f>
        <v>583.9925</v>
      </c>
      <c r="EH29" s="55" t="n">
        <f aca="false">EE29+EG29</f>
        <v>4316.9925</v>
      </c>
      <c r="EI29" s="59" t="n">
        <f aca="false">IF(EE29&gt;0,EG29/EE29,0)</f>
        <v>0.1564405304045</v>
      </c>
    </row>
    <row r="30" customFormat="false" ht="15" hidden="false" customHeight="false" outlineLevel="0" collapsed="false">
      <c r="A30" s="37" t="n">
        <v>25</v>
      </c>
      <c r="B30" s="32" t="s">
        <v>259</v>
      </c>
      <c r="C30" s="32" t="s">
        <v>263</v>
      </c>
      <c r="D30" s="38" t="s">
        <v>248</v>
      </c>
      <c r="E30" s="52" t="n">
        <f aca="false">2_Market_Gross_USD!E28</f>
        <v>1231</v>
      </c>
      <c r="F30" s="53" t="n">
        <f aca="false">E30*(1-0.065)</f>
        <v>1150.985</v>
      </c>
      <c r="G30" s="54" t="n">
        <f aca="false">E30*0+35</f>
        <v>35</v>
      </c>
      <c r="H30" s="55" t="n">
        <f aca="false">E30+G30</f>
        <v>1266</v>
      </c>
      <c r="I30" s="56" t="n">
        <f aca="false">IF(E30&gt;0,G30/E30,0)</f>
        <v>0.0284321689683184</v>
      </c>
      <c r="J30" s="52" t="n">
        <f aca="false">2_Market_Gross_USD!E28</f>
        <v>1231</v>
      </c>
      <c r="K30" s="53" t="n">
        <f aca="false">J30*(1-0.065)</f>
        <v>1150.985</v>
      </c>
      <c r="L30" s="54" t="n">
        <f aca="false">J30*0+40</f>
        <v>40</v>
      </c>
      <c r="M30" s="55" t="n">
        <f aca="false">J30+L30</f>
        <v>1271</v>
      </c>
      <c r="N30" s="56" t="n">
        <f aca="false">IF(J30&gt;0,L30/J30,0)</f>
        <v>0.0324939073923639</v>
      </c>
      <c r="O30" s="52" t="n">
        <f aca="false">2_Market_Gross_USD!E28</f>
        <v>1231</v>
      </c>
      <c r="P30" s="53" t="n">
        <f aca="false">O30*(1-0.195)</f>
        <v>990.955</v>
      </c>
      <c r="Q30" s="54" t="n">
        <f aca="false">IF(O30&gt;=3886,3886*0.22,O30*0.22)</f>
        <v>270.82</v>
      </c>
      <c r="R30" s="55" t="n">
        <f aca="false">O30+Q30</f>
        <v>1501.82</v>
      </c>
      <c r="S30" s="56" t="n">
        <f aca="false">IF(O30&gt;0,Q30/O30,0)</f>
        <v>0.22</v>
      </c>
      <c r="T30" s="57" t="n">
        <f aca="false">2_Market_Gross_USD!F28</f>
        <v>3188</v>
      </c>
      <c r="U30" s="53" t="n">
        <f aca="false">T30*(1-0.2571)</f>
        <v>2368.3652</v>
      </c>
      <c r="V30" s="54" t="n">
        <f aca="false">T30*0.2038+0</f>
        <v>649.7144</v>
      </c>
      <c r="W30" s="55" t="n">
        <f aca="false">T30+V30</f>
        <v>3837.7144</v>
      </c>
      <c r="X30" s="56" t="n">
        <f aca="false">IF(T30&gt;0,V30/T30,0)</f>
        <v>0.2038</v>
      </c>
      <c r="Y30" s="57" t="n">
        <f aca="false">2_Market_Gross_USD!F28</f>
        <v>3188</v>
      </c>
      <c r="Z30" s="53" t="n">
        <f aca="false">Y30*(1-0.12)</f>
        <v>2805.44</v>
      </c>
      <c r="AA30" s="54" t="n">
        <f aca="false">Y30*0+0</f>
        <v>0</v>
      </c>
      <c r="AB30" s="55" t="n">
        <f aca="false">Y30+AA30</f>
        <v>3188</v>
      </c>
      <c r="AC30" s="56" t="n">
        <f aca="false">IF(Y30&gt;0,AA30/Y30,0)</f>
        <v>0</v>
      </c>
      <c r="AD30" s="57" t="n">
        <f aca="false">2_Market_Gross_USD!F28</f>
        <v>3188</v>
      </c>
      <c r="AE30" s="53" t="n">
        <f aca="false">AD30*(1-0.2571)</f>
        <v>2368.3652</v>
      </c>
      <c r="AF30" s="54" t="n">
        <f aca="false">AD30*0.2038+500</f>
        <v>1149.7144</v>
      </c>
      <c r="AG30" s="55" t="n">
        <f aca="false">AD30+AF30</f>
        <v>4337.7144</v>
      </c>
      <c r="AH30" s="56" t="n">
        <f aca="false">IF(AD30&gt;0,AF30/AD30,0)</f>
        <v>0.360638143036386</v>
      </c>
      <c r="AI30" s="57" t="n">
        <f aca="false">2_Market_Gross_USD!G28</f>
        <v>4233</v>
      </c>
      <c r="AJ30" s="53" t="n">
        <f aca="false">AI30*(1-0.28)</f>
        <v>3047.76</v>
      </c>
      <c r="AK30" s="54" t="n">
        <f aca="false">AI30*0.15+0</f>
        <v>634.95</v>
      </c>
      <c r="AL30" s="55" t="n">
        <f aca="false">AI30+AK30</f>
        <v>4867.95</v>
      </c>
      <c r="AM30" s="56" t="n">
        <f aca="false">IF(AI30&gt;0,AK30/AI30,0)</f>
        <v>0.15</v>
      </c>
      <c r="AN30" s="57" t="n">
        <f aca="false">2_Market_Gross_USD!G28</f>
        <v>4233</v>
      </c>
      <c r="AO30" s="53" t="n">
        <f aca="false">AN30*(1-0.19)</f>
        <v>3428.73</v>
      </c>
      <c r="AP30" s="54" t="n">
        <f aca="false">AN30*0+0</f>
        <v>0</v>
      </c>
      <c r="AQ30" s="55" t="n">
        <f aca="false">AN30+AP30</f>
        <v>4233</v>
      </c>
      <c r="AR30" s="56" t="n">
        <f aca="false">IF(AN30&gt;0,AP30/AN30,0)</f>
        <v>0</v>
      </c>
      <c r="AS30" s="57" t="n">
        <f aca="false">2_Market_Gross_USD!G28</f>
        <v>4233</v>
      </c>
      <c r="AT30" s="53" t="n">
        <f aca="false">AS30*(1-0.28)</f>
        <v>3047.76</v>
      </c>
      <c r="AU30" s="54" t="n">
        <f aca="false">AS30*0.15+500</f>
        <v>1134.95</v>
      </c>
      <c r="AV30" s="55" t="n">
        <f aca="false">AS30+AU30</f>
        <v>5367.95</v>
      </c>
      <c r="AW30" s="56" t="n">
        <f aca="false">IF(AS30&gt;0,AU30/AS30,0)</f>
        <v>0.268119536971415</v>
      </c>
      <c r="AX30" s="57" t="n">
        <f aca="false">2_Market_Gross_USD!H28</f>
        <v>9500</v>
      </c>
      <c r="AY30" s="53" t="n">
        <f aca="false">AX30*(1-0.2965)</f>
        <v>6683.25</v>
      </c>
      <c r="AZ30" s="54" t="n">
        <f aca="false">AX30*0.11+0</f>
        <v>1045</v>
      </c>
      <c r="BA30" s="55" t="n">
        <f aca="false">AX30+AZ30</f>
        <v>10545</v>
      </c>
      <c r="BB30" s="56" t="n">
        <f aca="false">IF(AX30&gt;0,AZ30/AX30,0)</f>
        <v>0.11</v>
      </c>
      <c r="BC30" s="57" t="n">
        <f aca="false">2_Market_Gross_USD!H28</f>
        <v>9500</v>
      </c>
      <c r="BD30" s="53" t="n">
        <f aca="false">BC30*(1-0.373)</f>
        <v>5956.5</v>
      </c>
      <c r="BE30" s="54" t="n">
        <f aca="false">BC30*0+0</f>
        <v>0</v>
      </c>
      <c r="BF30" s="55" t="n">
        <f aca="false">BC30+BE30</f>
        <v>9500</v>
      </c>
      <c r="BG30" s="56" t="n">
        <f aca="false">IF(BC30&gt;0,BE30/BC30,0)</f>
        <v>0</v>
      </c>
      <c r="BH30" s="57" t="n">
        <f aca="false">2_Market_Gross_USD!H28</f>
        <v>9500</v>
      </c>
      <c r="BI30" s="53" t="n">
        <f aca="false">BH30*(1-0.2965)</f>
        <v>6683.25</v>
      </c>
      <c r="BJ30" s="54" t="n">
        <f aca="false">BH30*0.11+500</f>
        <v>1545</v>
      </c>
      <c r="BK30" s="55" t="n">
        <f aca="false">BH30+BJ30</f>
        <v>11045</v>
      </c>
      <c r="BL30" s="56" t="n">
        <f aca="false">IF(BH30&gt;0,BJ30/BH30,0)</f>
        <v>0.162631578947368</v>
      </c>
      <c r="BM30" s="57" t="n">
        <f aca="false">2_Market_Gross_USD!I28</f>
        <v>4803</v>
      </c>
      <c r="BN30" s="53" t="n">
        <f aca="false">BM30*(1-0.4785)</f>
        <v>2504.7645</v>
      </c>
      <c r="BO30" s="54" t="n">
        <f aca="false">BM30*0.21+0</f>
        <v>1008.63</v>
      </c>
      <c r="BP30" s="55" t="n">
        <f aca="false">BM30+BO30</f>
        <v>5811.63</v>
      </c>
      <c r="BQ30" s="56" t="n">
        <f aca="false">IF(BM30&gt;0,BO30/BM30,0)</f>
        <v>0.21</v>
      </c>
      <c r="BR30" s="57" t="n">
        <f aca="false">2_Market_Gross_USD!I28</f>
        <v>4803</v>
      </c>
      <c r="BS30" s="53" t="n">
        <f aca="false">BR30*(1-0.25)</f>
        <v>3602.25</v>
      </c>
      <c r="BT30" s="54" t="n">
        <f aca="false">BR30*0+0</f>
        <v>0</v>
      </c>
      <c r="BU30" s="55" t="n">
        <f aca="false">BR30+BT30</f>
        <v>4803</v>
      </c>
      <c r="BV30" s="56" t="n">
        <f aca="false">IF(BR30&gt;0,BT30/BR30,0)</f>
        <v>0</v>
      </c>
      <c r="BW30" s="57" t="n">
        <f aca="false">2_Market_Gross_USD!I28</f>
        <v>4803</v>
      </c>
      <c r="BX30" s="53" t="n">
        <f aca="false">BW30*(1-0.4785)</f>
        <v>2504.7645</v>
      </c>
      <c r="BY30" s="54" t="n">
        <f aca="false">BW30*0.21+500</f>
        <v>1508.63</v>
      </c>
      <c r="BZ30" s="55" t="n">
        <f aca="false">BW30+BY30</f>
        <v>6311.63</v>
      </c>
      <c r="CA30" s="56" t="n">
        <f aca="false">IF(BW30&gt;0,BY30/BW30,0)</f>
        <v>0.314101603164689</v>
      </c>
      <c r="CB30" s="57" t="n">
        <f aca="false">2_Market_Gross_USD!J28</f>
        <v>5650</v>
      </c>
      <c r="CC30" s="53" t="n">
        <f aca="false">CB30*(1-0.3697)</f>
        <v>3561.195</v>
      </c>
      <c r="CD30" s="54" t="n">
        <f aca="false">CB30*0.2+0</f>
        <v>1130</v>
      </c>
      <c r="CE30" s="55" t="n">
        <f aca="false">CB30+CD30</f>
        <v>6780</v>
      </c>
      <c r="CF30" s="56" t="n">
        <f aca="false">IF(CB30&gt;0,CD30/CB30,0)</f>
        <v>0.2</v>
      </c>
      <c r="CG30" s="57" t="n">
        <f aca="false">2_Market_Gross_USD!J28</f>
        <v>5650</v>
      </c>
      <c r="CH30" s="53" t="n">
        <f aca="false">CG30*(1-0.3697)</f>
        <v>3561.195</v>
      </c>
      <c r="CI30" s="54" t="n">
        <f aca="false">CG30*0+0</f>
        <v>0</v>
      </c>
      <c r="CJ30" s="55" t="n">
        <f aca="false">CG30+CI30</f>
        <v>5650</v>
      </c>
      <c r="CK30" s="56" t="n">
        <f aca="false">IF(CG30&gt;0,CI30/CG30,0)</f>
        <v>0</v>
      </c>
      <c r="CL30" s="57" t="n">
        <f aca="false">2_Market_Gross_USD!J28</f>
        <v>5650</v>
      </c>
      <c r="CM30" s="53" t="n">
        <f aca="false">CL30*(1-0.3697)</f>
        <v>3561.195</v>
      </c>
      <c r="CN30" s="54" t="n">
        <f aca="false">CL30*0.2+500</f>
        <v>1630</v>
      </c>
      <c r="CO30" s="55" t="n">
        <f aca="false">CL30+CN30</f>
        <v>7280</v>
      </c>
      <c r="CP30" s="56" t="n">
        <f aca="false">IF(CL30&gt;0,CN30/CL30,0)</f>
        <v>0.288495575221239</v>
      </c>
      <c r="CQ30" s="57" t="n">
        <f aca="false">2_Market_Gross_USD!K28</f>
        <v>2561</v>
      </c>
      <c r="CR30" s="53" t="n">
        <f aca="false">CQ30*(1-0.26)</f>
        <v>1895.14</v>
      </c>
      <c r="CS30" s="54" t="n">
        <f aca="false">CQ30*0.338+0</f>
        <v>865.618</v>
      </c>
      <c r="CT30" s="55" t="n">
        <f aca="false">CQ30+CS30</f>
        <v>3426.618</v>
      </c>
      <c r="CU30" s="56" t="n">
        <f aca="false">IF(CQ30&gt;0,CS30/CQ30,0)</f>
        <v>0.338</v>
      </c>
      <c r="CV30" s="57" t="n">
        <f aca="false">2_Market_Gross_USD!K28</f>
        <v>2561</v>
      </c>
      <c r="CW30" s="53" t="n">
        <f aca="false">CV30*(1-0.15)</f>
        <v>2176.85</v>
      </c>
      <c r="CX30" s="54" t="n">
        <f aca="false">CV30*0+0</f>
        <v>0</v>
      </c>
      <c r="CY30" s="55" t="n">
        <f aca="false">CV30+CX30</f>
        <v>2561</v>
      </c>
      <c r="CZ30" s="56" t="n">
        <f aca="false">IF(CV30&gt;0,CX30/CV30,0)</f>
        <v>0</v>
      </c>
      <c r="DA30" s="57" t="n">
        <f aca="false">2_Market_Gross_USD!K28</f>
        <v>2561</v>
      </c>
      <c r="DB30" s="53" t="n">
        <f aca="false">DA30*(1-0.26)</f>
        <v>1895.14</v>
      </c>
      <c r="DC30" s="54" t="n">
        <f aca="false">DA30*0.338+500</f>
        <v>1365.618</v>
      </c>
      <c r="DD30" s="55" t="n">
        <f aca="false">DA30+DC30</f>
        <v>3926.618</v>
      </c>
      <c r="DE30" s="56" t="n">
        <f aca="false">IF(DA30&gt;0,DC30/DA30,0)</f>
        <v>0.533236235845373</v>
      </c>
      <c r="DF30" s="57" t="n">
        <f aca="false">2_Market_Gross_USD!L28</f>
        <v>3390</v>
      </c>
      <c r="DG30" s="53" t="n">
        <f aca="false">DF30*(1-0.34)</f>
        <v>2237.4</v>
      </c>
      <c r="DH30" s="54" t="n">
        <f aca="false">DF30*0.2375+0</f>
        <v>805.125</v>
      </c>
      <c r="DI30" s="55" t="n">
        <f aca="false">DF30+DH30</f>
        <v>4195.125</v>
      </c>
      <c r="DJ30" s="56" t="n">
        <f aca="false">IF(DF30&gt;0,DH30/DF30,0)</f>
        <v>0.2375</v>
      </c>
      <c r="DK30" s="57" t="n">
        <f aca="false">2_Market_Gross_USD!L28</f>
        <v>3390</v>
      </c>
      <c r="DL30" s="53" t="n">
        <f aca="false">DK30*(1-0.2)</f>
        <v>2712</v>
      </c>
      <c r="DM30" s="54" t="n">
        <f aca="false">DK30*0+0</f>
        <v>0</v>
      </c>
      <c r="DN30" s="55" t="n">
        <f aca="false">DK30+DM30</f>
        <v>3390</v>
      </c>
      <c r="DO30" s="56" t="n">
        <f aca="false">IF(DK30&gt;0,DM30/DK30,0)</f>
        <v>0</v>
      </c>
      <c r="DP30" s="57" t="n">
        <f aca="false">2_Market_Gross_USD!L28</f>
        <v>3390</v>
      </c>
      <c r="DQ30" s="53" t="n">
        <f aca="false">DP30*(1-0.34)</f>
        <v>2237.4</v>
      </c>
      <c r="DR30" s="54" t="n">
        <f aca="false">DP30*0.2375+500</f>
        <v>1305.125</v>
      </c>
      <c r="DS30" s="55" t="n">
        <f aca="false">DP30+DR30</f>
        <v>4695.125</v>
      </c>
      <c r="DT30" s="56" t="n">
        <f aca="false">IF(DP30&gt;0,DR30/DP30,0)</f>
        <v>0.384992625368732</v>
      </c>
      <c r="DU30" s="57" t="n">
        <f aca="false">2_Market_Gross_USD!M28</f>
        <v>2083</v>
      </c>
      <c r="DV30" s="53" t="n">
        <f aca="false">DU30*0.65</f>
        <v>1353.95</v>
      </c>
      <c r="DW30" s="54" t="n">
        <f aca="false">DU30*0.0225+0</f>
        <v>46.8675</v>
      </c>
      <c r="DX30" s="55" t="n">
        <f aca="false">DU30+DW30</f>
        <v>2129.8675</v>
      </c>
      <c r="DY30" s="56" t="n">
        <f aca="false">IF(DU30&gt;0,DW30/DU30,0)</f>
        <v>0.0225</v>
      </c>
      <c r="DZ30" s="57" t="n">
        <f aca="false">2_Market_Gross_USD!M28</f>
        <v>2083</v>
      </c>
      <c r="EA30" s="53" t="n">
        <f aca="false">DZ30*(1-0.01)</f>
        <v>2062.17</v>
      </c>
      <c r="EB30" s="54" t="n">
        <f aca="false">DZ30*0+0</f>
        <v>0</v>
      </c>
      <c r="EC30" s="55" t="n">
        <f aca="false">DZ30+EB30</f>
        <v>2083</v>
      </c>
      <c r="ED30" s="56" t="n">
        <f aca="false">IF(DZ30&gt;0,EB30/DZ30,0)</f>
        <v>0</v>
      </c>
      <c r="EE30" s="57" t="n">
        <f aca="false">2_Market_Gross_USD!M28</f>
        <v>2083</v>
      </c>
      <c r="EF30" s="53" t="n">
        <f aca="false">EE30*0.65</f>
        <v>1353.95</v>
      </c>
      <c r="EG30" s="54" t="n">
        <f aca="false">EE30*0.0225+500</f>
        <v>546.8675</v>
      </c>
      <c r="EH30" s="55" t="n">
        <f aca="false">EE30+EG30</f>
        <v>2629.8675</v>
      </c>
      <c r="EI30" s="56" t="n">
        <f aca="false">IF(EE30&gt;0,EG30/EE30,0)</f>
        <v>0.262538406144983</v>
      </c>
    </row>
    <row r="31" customFormat="false" ht="15" hidden="false" customHeight="false" outlineLevel="0" collapsed="false">
      <c r="A31" s="41" t="n">
        <v>26</v>
      </c>
      <c r="B31" s="28" t="s">
        <v>259</v>
      </c>
      <c r="C31" s="8" t="s">
        <v>263</v>
      </c>
      <c r="D31" s="42" t="s">
        <v>249</v>
      </c>
      <c r="E31" s="52" t="n">
        <f aca="false">2_Market_Gross_USD!E29</f>
        <v>4000</v>
      </c>
      <c r="F31" s="53" t="n">
        <f aca="false">E31*(1-0.065)</f>
        <v>3740</v>
      </c>
      <c r="G31" s="58" t="n">
        <f aca="false">E31*0+35</f>
        <v>35</v>
      </c>
      <c r="H31" s="55" t="n">
        <f aca="false">E31+G31</f>
        <v>4035</v>
      </c>
      <c r="I31" s="59" t="n">
        <f aca="false">IF(E31&gt;0,G31/E31,0)</f>
        <v>0.00875</v>
      </c>
      <c r="J31" s="52" t="n">
        <f aca="false">2_Market_Gross_USD!E29</f>
        <v>4000</v>
      </c>
      <c r="K31" s="53" t="n">
        <f aca="false">J31*(1-0.065)</f>
        <v>3740</v>
      </c>
      <c r="L31" s="58" t="n">
        <f aca="false">J31*0+40</f>
        <v>40</v>
      </c>
      <c r="M31" s="55" t="n">
        <f aca="false">J31+L31</f>
        <v>4040</v>
      </c>
      <c r="N31" s="59" t="n">
        <f aca="false">IF(J31&gt;0,L31/J31,0)</f>
        <v>0.01</v>
      </c>
      <c r="O31" s="52" t="n">
        <f aca="false">2_Market_Gross_USD!E29</f>
        <v>4000</v>
      </c>
      <c r="P31" s="53" t="n">
        <f aca="false">O31*(1-0.195)</f>
        <v>3220</v>
      </c>
      <c r="Q31" s="58" t="n">
        <f aca="false">IF(O31&gt;=3886,3886*0.22,O31*0.22)</f>
        <v>854.92</v>
      </c>
      <c r="R31" s="55" t="n">
        <f aca="false">O31+Q31</f>
        <v>4854.92</v>
      </c>
      <c r="S31" s="59" t="n">
        <f aca="false">IF(O31&gt;0,Q31/O31,0)</f>
        <v>0.21373</v>
      </c>
      <c r="T31" s="60" t="n">
        <f aca="false">2_Market_Gross_USD!F29</f>
        <v>5100</v>
      </c>
      <c r="U31" s="53" t="n">
        <f aca="false">T31*(1-0.2571)</f>
        <v>3788.79</v>
      </c>
      <c r="V31" s="58" t="n">
        <f aca="false">T31*0.2038+0</f>
        <v>1039.38</v>
      </c>
      <c r="W31" s="55" t="n">
        <f aca="false">T31+V31</f>
        <v>6139.38</v>
      </c>
      <c r="X31" s="59" t="n">
        <f aca="false">IF(T31&gt;0,V31/T31,0)</f>
        <v>0.2038</v>
      </c>
      <c r="Y31" s="60" t="n">
        <f aca="false">2_Market_Gross_USD!F29</f>
        <v>5100</v>
      </c>
      <c r="Z31" s="53" t="n">
        <f aca="false">Y31*(1-0.12)</f>
        <v>4488</v>
      </c>
      <c r="AA31" s="58" t="n">
        <f aca="false">Y31*0+0</f>
        <v>0</v>
      </c>
      <c r="AB31" s="55" t="n">
        <f aca="false">Y31+AA31</f>
        <v>5100</v>
      </c>
      <c r="AC31" s="59" t="n">
        <f aca="false">IF(Y31&gt;0,AA31/Y31,0)</f>
        <v>0</v>
      </c>
      <c r="AD31" s="60" t="n">
        <f aca="false">2_Market_Gross_USD!F29</f>
        <v>5100</v>
      </c>
      <c r="AE31" s="53" t="n">
        <f aca="false">AD31*(1-0.2571)</f>
        <v>3788.79</v>
      </c>
      <c r="AF31" s="58" t="n">
        <f aca="false">AD31*0.2038+500</f>
        <v>1539.38</v>
      </c>
      <c r="AG31" s="55" t="n">
        <f aca="false">AD31+AF31</f>
        <v>6639.38</v>
      </c>
      <c r="AH31" s="59" t="n">
        <f aca="false">IF(AD31&gt;0,AF31/AD31,0)</f>
        <v>0.301839215686275</v>
      </c>
      <c r="AI31" s="60" t="n">
        <f aca="false">2_Market_Gross_USD!G29</f>
        <v>6350</v>
      </c>
      <c r="AJ31" s="53" t="n">
        <f aca="false">AI31*(1-0.28)</f>
        <v>4572</v>
      </c>
      <c r="AK31" s="58" t="n">
        <f aca="false">AI31*0.15+0</f>
        <v>952.5</v>
      </c>
      <c r="AL31" s="55" t="n">
        <f aca="false">AI31+AK31</f>
        <v>7302.5</v>
      </c>
      <c r="AM31" s="59" t="n">
        <f aca="false">IF(AI31&gt;0,AK31/AI31,0)</f>
        <v>0.15</v>
      </c>
      <c r="AN31" s="60" t="n">
        <f aca="false">2_Market_Gross_USD!G29</f>
        <v>6350</v>
      </c>
      <c r="AO31" s="53" t="n">
        <f aca="false">AN31*(1-0.19)</f>
        <v>5143.5</v>
      </c>
      <c r="AP31" s="58" t="n">
        <f aca="false">AN31*0+0</f>
        <v>0</v>
      </c>
      <c r="AQ31" s="55" t="n">
        <f aca="false">AN31+AP31</f>
        <v>6350</v>
      </c>
      <c r="AR31" s="59" t="n">
        <f aca="false">IF(AN31&gt;0,AP31/AN31,0)</f>
        <v>0</v>
      </c>
      <c r="AS31" s="60" t="n">
        <f aca="false">2_Market_Gross_USD!G29</f>
        <v>6350</v>
      </c>
      <c r="AT31" s="53" t="n">
        <f aca="false">AS31*(1-0.28)</f>
        <v>4572</v>
      </c>
      <c r="AU31" s="58" t="n">
        <f aca="false">AS31*0.15+500</f>
        <v>1452.5</v>
      </c>
      <c r="AV31" s="55" t="n">
        <f aca="false">AS31+AU31</f>
        <v>7802.5</v>
      </c>
      <c r="AW31" s="59" t="n">
        <f aca="false">IF(AS31&gt;0,AU31/AS31,0)</f>
        <v>0.228740157480315</v>
      </c>
      <c r="AX31" s="60" t="n">
        <f aca="false">2_Market_Gross_USD!H29</f>
        <v>11900</v>
      </c>
      <c r="AY31" s="53" t="n">
        <f aca="false">AX31*(1-0.2965)</f>
        <v>8371.65</v>
      </c>
      <c r="AZ31" s="58" t="n">
        <f aca="false">AX31*0.11+0</f>
        <v>1309</v>
      </c>
      <c r="BA31" s="55" t="n">
        <f aca="false">AX31+AZ31</f>
        <v>13209</v>
      </c>
      <c r="BB31" s="59" t="n">
        <f aca="false">IF(AX31&gt;0,AZ31/AX31,0)</f>
        <v>0.11</v>
      </c>
      <c r="BC31" s="60" t="n">
        <f aca="false">2_Market_Gross_USD!H29</f>
        <v>11900</v>
      </c>
      <c r="BD31" s="53" t="n">
        <f aca="false">BC31*(1-0.373)</f>
        <v>7461.3</v>
      </c>
      <c r="BE31" s="58" t="n">
        <f aca="false">BC31*0+0</f>
        <v>0</v>
      </c>
      <c r="BF31" s="55" t="n">
        <f aca="false">BC31+BE31</f>
        <v>11900</v>
      </c>
      <c r="BG31" s="59" t="n">
        <f aca="false">IF(BC31&gt;0,BE31/BC31,0)</f>
        <v>0</v>
      </c>
      <c r="BH31" s="60" t="n">
        <f aca="false">2_Market_Gross_USD!H29</f>
        <v>11900</v>
      </c>
      <c r="BI31" s="53" t="n">
        <f aca="false">BH31*(1-0.2965)</f>
        <v>8371.65</v>
      </c>
      <c r="BJ31" s="58" t="n">
        <f aca="false">BH31*0.11+500</f>
        <v>1809</v>
      </c>
      <c r="BK31" s="55" t="n">
        <f aca="false">BH31+BJ31</f>
        <v>13709</v>
      </c>
      <c r="BL31" s="59" t="n">
        <f aca="false">IF(BH31&gt;0,BJ31/BH31,0)</f>
        <v>0.152016806722689</v>
      </c>
      <c r="BM31" s="60" t="n">
        <f aca="false">2_Market_Gross_USD!I29</f>
        <v>6780</v>
      </c>
      <c r="BN31" s="53" t="n">
        <f aca="false">BM31*(1-0.4785)</f>
        <v>3535.77</v>
      </c>
      <c r="BO31" s="58" t="n">
        <f aca="false">BM31*0.21+0</f>
        <v>1423.8</v>
      </c>
      <c r="BP31" s="55" t="n">
        <f aca="false">BM31+BO31</f>
        <v>8203.8</v>
      </c>
      <c r="BQ31" s="59" t="n">
        <f aca="false">IF(BM31&gt;0,BO31/BM31,0)</f>
        <v>0.21</v>
      </c>
      <c r="BR31" s="60" t="n">
        <f aca="false">2_Market_Gross_USD!I29</f>
        <v>6780</v>
      </c>
      <c r="BS31" s="53" t="n">
        <f aca="false">BR31*(1-0.25)</f>
        <v>5085</v>
      </c>
      <c r="BT31" s="58" t="n">
        <f aca="false">BR31*0+0</f>
        <v>0</v>
      </c>
      <c r="BU31" s="55" t="n">
        <f aca="false">BR31+BT31</f>
        <v>6780</v>
      </c>
      <c r="BV31" s="59" t="n">
        <f aca="false">IF(BR31&gt;0,BT31/BR31,0)</f>
        <v>0</v>
      </c>
      <c r="BW31" s="60" t="n">
        <f aca="false">2_Market_Gross_USD!I29</f>
        <v>6780</v>
      </c>
      <c r="BX31" s="53" t="n">
        <f aca="false">BW31*(1-0.4785)</f>
        <v>3535.77</v>
      </c>
      <c r="BY31" s="58" t="n">
        <f aca="false">BW31*0.21+500</f>
        <v>1923.8</v>
      </c>
      <c r="BZ31" s="55" t="n">
        <f aca="false">BW31+BY31</f>
        <v>8703.8</v>
      </c>
      <c r="CA31" s="59" t="n">
        <f aca="false">IF(BW31&gt;0,BY31/BW31,0)</f>
        <v>0.283746312684366</v>
      </c>
      <c r="CB31" s="60" t="n">
        <f aca="false">2_Market_Gross_USD!J29</f>
        <v>8475</v>
      </c>
      <c r="CC31" s="53" t="n">
        <f aca="false">CB31*(1-0.3697)</f>
        <v>5341.7925</v>
      </c>
      <c r="CD31" s="58" t="n">
        <f aca="false">CB31*0.2+0</f>
        <v>1695</v>
      </c>
      <c r="CE31" s="55" t="n">
        <f aca="false">CB31+CD31</f>
        <v>10170</v>
      </c>
      <c r="CF31" s="59" t="n">
        <f aca="false">IF(CB31&gt;0,CD31/CB31,0)</f>
        <v>0.2</v>
      </c>
      <c r="CG31" s="60" t="n">
        <f aca="false">2_Market_Gross_USD!J29</f>
        <v>8475</v>
      </c>
      <c r="CH31" s="53" t="n">
        <f aca="false">CG31*(1-0.3697)</f>
        <v>5341.7925</v>
      </c>
      <c r="CI31" s="58" t="n">
        <f aca="false">CG31*0+0</f>
        <v>0</v>
      </c>
      <c r="CJ31" s="55" t="n">
        <f aca="false">CG31+CI31</f>
        <v>8475</v>
      </c>
      <c r="CK31" s="59" t="n">
        <f aca="false">IF(CG31&gt;0,CI31/CG31,0)</f>
        <v>0</v>
      </c>
      <c r="CL31" s="60" t="n">
        <f aca="false">2_Market_Gross_USD!J29</f>
        <v>8475</v>
      </c>
      <c r="CM31" s="53" t="n">
        <f aca="false">CL31*(1-0.3697)</f>
        <v>5341.7925</v>
      </c>
      <c r="CN31" s="58" t="n">
        <f aca="false">CL31*0.2+500</f>
        <v>2195</v>
      </c>
      <c r="CO31" s="55" t="n">
        <f aca="false">CL31+CN31</f>
        <v>10670</v>
      </c>
      <c r="CP31" s="59" t="n">
        <f aca="false">IF(CL31&gt;0,CN31/CL31,0)</f>
        <v>0.258997050147493</v>
      </c>
      <c r="CQ31" s="60" t="n">
        <f aca="false">2_Market_Gross_USD!K29</f>
        <v>3896</v>
      </c>
      <c r="CR31" s="53" t="n">
        <f aca="false">CQ31*(1-0.26)</f>
        <v>2883.04</v>
      </c>
      <c r="CS31" s="58" t="n">
        <f aca="false">CQ31*0.338+0</f>
        <v>1316.848</v>
      </c>
      <c r="CT31" s="55" t="n">
        <f aca="false">CQ31+CS31</f>
        <v>5212.848</v>
      </c>
      <c r="CU31" s="59" t="n">
        <f aca="false">IF(CQ31&gt;0,CS31/CQ31,0)</f>
        <v>0.338</v>
      </c>
      <c r="CV31" s="60" t="n">
        <f aca="false">2_Market_Gross_USD!K29</f>
        <v>3896</v>
      </c>
      <c r="CW31" s="53" t="n">
        <f aca="false">CV31*(1-0.15)</f>
        <v>3311.6</v>
      </c>
      <c r="CX31" s="58" t="n">
        <f aca="false">CV31*0+0</f>
        <v>0</v>
      </c>
      <c r="CY31" s="55" t="n">
        <f aca="false">CV31+CX31</f>
        <v>3896</v>
      </c>
      <c r="CZ31" s="59" t="n">
        <f aca="false">IF(CV31&gt;0,CX31/CV31,0)</f>
        <v>0</v>
      </c>
      <c r="DA31" s="60" t="n">
        <f aca="false">2_Market_Gross_USD!K29</f>
        <v>3896</v>
      </c>
      <c r="DB31" s="53" t="n">
        <f aca="false">DA31*(1-0.26)</f>
        <v>2883.04</v>
      </c>
      <c r="DC31" s="58" t="n">
        <f aca="false">DA31*0.338+500</f>
        <v>1816.848</v>
      </c>
      <c r="DD31" s="55" t="n">
        <f aca="false">DA31+DC31</f>
        <v>5712.848</v>
      </c>
      <c r="DE31" s="59" t="n">
        <f aca="false">IF(DA31&gt;0,DC31/DA31,0)</f>
        <v>0.466336755646817</v>
      </c>
      <c r="DF31" s="60" t="n">
        <f aca="false">2_Market_Gross_USD!L29</f>
        <v>5179</v>
      </c>
      <c r="DG31" s="53" t="n">
        <f aca="false">DF31*(1-0.34)</f>
        <v>3418.14</v>
      </c>
      <c r="DH31" s="58" t="n">
        <f aca="false">DF31*0.2375+0</f>
        <v>1230.0125</v>
      </c>
      <c r="DI31" s="55" t="n">
        <f aca="false">DF31+DH31</f>
        <v>6409.0125</v>
      </c>
      <c r="DJ31" s="59" t="n">
        <f aca="false">IF(DF31&gt;0,DH31/DF31,0)</f>
        <v>0.2375</v>
      </c>
      <c r="DK31" s="60" t="n">
        <f aca="false">2_Market_Gross_USD!L29</f>
        <v>5179</v>
      </c>
      <c r="DL31" s="53" t="n">
        <f aca="false">DK31*(1-0.2)</f>
        <v>4143.2</v>
      </c>
      <c r="DM31" s="58" t="n">
        <f aca="false">DK31*0+0</f>
        <v>0</v>
      </c>
      <c r="DN31" s="55" t="n">
        <f aca="false">DK31+DM31</f>
        <v>5179</v>
      </c>
      <c r="DO31" s="59" t="n">
        <f aca="false">IF(DK31&gt;0,DM31/DK31,0)</f>
        <v>0</v>
      </c>
      <c r="DP31" s="60" t="n">
        <f aca="false">2_Market_Gross_USD!L29</f>
        <v>5179</v>
      </c>
      <c r="DQ31" s="53" t="n">
        <f aca="false">DP31*(1-0.34)</f>
        <v>3418.14</v>
      </c>
      <c r="DR31" s="58" t="n">
        <f aca="false">DP31*0.2375+500</f>
        <v>1730.0125</v>
      </c>
      <c r="DS31" s="55" t="n">
        <f aca="false">DP31+DR31</f>
        <v>6909.0125</v>
      </c>
      <c r="DT31" s="59" t="n">
        <f aca="false">IF(DP31&gt;0,DR31/DP31,0)</f>
        <v>0.334043734311643</v>
      </c>
      <c r="DU31" s="60" t="n">
        <f aca="false">2_Market_Gross_USD!M29</f>
        <v>3360</v>
      </c>
      <c r="DV31" s="53" t="n">
        <f aca="false">DU31*0.65</f>
        <v>2184</v>
      </c>
      <c r="DW31" s="58" t="n">
        <f aca="false">DU31*0.0225+0</f>
        <v>75.6</v>
      </c>
      <c r="DX31" s="55" t="n">
        <f aca="false">DU31+DW31</f>
        <v>3435.6</v>
      </c>
      <c r="DY31" s="59" t="n">
        <f aca="false">IF(DU31&gt;0,DW31/DU31,0)</f>
        <v>0.0225</v>
      </c>
      <c r="DZ31" s="60" t="n">
        <f aca="false">2_Market_Gross_USD!M29</f>
        <v>3360</v>
      </c>
      <c r="EA31" s="53" t="n">
        <f aca="false">DZ31*(1-0.01)</f>
        <v>3326.4</v>
      </c>
      <c r="EB31" s="58" t="n">
        <f aca="false">DZ31*0+0</f>
        <v>0</v>
      </c>
      <c r="EC31" s="55" t="n">
        <f aca="false">DZ31+EB31</f>
        <v>3360</v>
      </c>
      <c r="ED31" s="59" t="n">
        <f aca="false">IF(DZ31&gt;0,EB31/DZ31,0)</f>
        <v>0</v>
      </c>
      <c r="EE31" s="60" t="n">
        <f aca="false">2_Market_Gross_USD!M29</f>
        <v>3360</v>
      </c>
      <c r="EF31" s="53" t="n">
        <f aca="false">EE31*0.65</f>
        <v>2184</v>
      </c>
      <c r="EG31" s="58" t="n">
        <f aca="false">EE31*0.0225+500</f>
        <v>575.6</v>
      </c>
      <c r="EH31" s="55" t="n">
        <f aca="false">EE31+EG31</f>
        <v>3935.6</v>
      </c>
      <c r="EI31" s="59" t="n">
        <f aca="false">IF(EE31&gt;0,EG31/EE31,0)</f>
        <v>0.171309523809524</v>
      </c>
    </row>
    <row r="32" customFormat="false" ht="15" hidden="false" customHeight="false" outlineLevel="0" collapsed="false">
      <c r="A32" s="37" t="n">
        <v>27</v>
      </c>
      <c r="B32" s="32" t="s">
        <v>264</v>
      </c>
      <c r="C32" s="32" t="s">
        <v>265</v>
      </c>
      <c r="D32" s="38" t="s">
        <v>248</v>
      </c>
      <c r="E32" s="52" t="n">
        <f aca="false">2_Market_Gross_USD!E30</f>
        <v>1350</v>
      </c>
      <c r="F32" s="53" t="n">
        <f aca="false">E32*(1-0.065)</f>
        <v>1262.25</v>
      </c>
      <c r="G32" s="54" t="n">
        <f aca="false">E32*0+35</f>
        <v>35</v>
      </c>
      <c r="H32" s="55" t="n">
        <f aca="false">E32+G32</f>
        <v>1385</v>
      </c>
      <c r="I32" s="56" t="n">
        <f aca="false">IF(E32&gt;0,G32/E32,0)</f>
        <v>0.0259259259259259</v>
      </c>
      <c r="J32" s="52" t="n">
        <f aca="false">2_Market_Gross_USD!E30</f>
        <v>1350</v>
      </c>
      <c r="K32" s="53" t="n">
        <f aca="false">J32*(1-0.065)</f>
        <v>1262.25</v>
      </c>
      <c r="L32" s="54" t="n">
        <f aca="false">J32*0+40</f>
        <v>40</v>
      </c>
      <c r="M32" s="55" t="n">
        <f aca="false">J32+L32</f>
        <v>1390</v>
      </c>
      <c r="N32" s="56" t="n">
        <f aca="false">IF(J32&gt;0,L32/J32,0)</f>
        <v>0.0296296296296296</v>
      </c>
      <c r="O32" s="52" t="n">
        <f aca="false">2_Market_Gross_USD!E30</f>
        <v>1350</v>
      </c>
      <c r="P32" s="53" t="n">
        <f aca="false">O32*(1-0.195)</f>
        <v>1086.75</v>
      </c>
      <c r="Q32" s="54" t="n">
        <f aca="false">IF(O32&gt;=3886,3886*0.22,O32*0.22)</f>
        <v>297</v>
      </c>
      <c r="R32" s="55" t="n">
        <f aca="false">O32+Q32</f>
        <v>1647</v>
      </c>
      <c r="S32" s="56" t="n">
        <f aca="false">IF(O32&gt;0,Q32/O32,0)</f>
        <v>0.22</v>
      </c>
      <c r="T32" s="57" t="n">
        <f aca="false">2_Market_Gross_USD!F30</f>
        <v>2933</v>
      </c>
      <c r="U32" s="53" t="n">
        <f aca="false">T32*(1-0.2571)</f>
        <v>2178.9257</v>
      </c>
      <c r="V32" s="54" t="n">
        <f aca="false">T32*0.2038+0</f>
        <v>597.7454</v>
      </c>
      <c r="W32" s="55" t="n">
        <f aca="false">T32+V32</f>
        <v>3530.7454</v>
      </c>
      <c r="X32" s="56" t="n">
        <f aca="false">IF(T32&gt;0,V32/T32,0)</f>
        <v>0.2038</v>
      </c>
      <c r="Y32" s="57" t="n">
        <f aca="false">2_Market_Gross_USD!F30</f>
        <v>2933</v>
      </c>
      <c r="Z32" s="53" t="n">
        <f aca="false">Y32*(1-0.12)</f>
        <v>2581.04</v>
      </c>
      <c r="AA32" s="54" t="n">
        <f aca="false">Y32*0+0</f>
        <v>0</v>
      </c>
      <c r="AB32" s="55" t="n">
        <f aca="false">Y32+AA32</f>
        <v>2933</v>
      </c>
      <c r="AC32" s="56" t="n">
        <f aca="false">IF(Y32&gt;0,AA32/Y32,0)</f>
        <v>0</v>
      </c>
      <c r="AD32" s="57" t="n">
        <f aca="false">2_Market_Gross_USD!F30</f>
        <v>2933</v>
      </c>
      <c r="AE32" s="53" t="n">
        <f aca="false">AD32*(1-0.2571)</f>
        <v>2178.9257</v>
      </c>
      <c r="AF32" s="54" t="n">
        <f aca="false">AD32*0.2038+500</f>
        <v>1097.7454</v>
      </c>
      <c r="AG32" s="55" t="n">
        <f aca="false">AD32+AF32</f>
        <v>4030.7454</v>
      </c>
      <c r="AH32" s="56" t="n">
        <f aca="false">IF(AD32&gt;0,AF32/AD32,0)</f>
        <v>0.374273917490624</v>
      </c>
      <c r="AI32" s="57" t="n">
        <f aca="false">2_Market_Gross_USD!G30</f>
        <v>4233</v>
      </c>
      <c r="AJ32" s="53" t="n">
        <f aca="false">AI32*(1-0.28)</f>
        <v>3047.76</v>
      </c>
      <c r="AK32" s="54" t="n">
        <f aca="false">AI32*0.15+0</f>
        <v>634.95</v>
      </c>
      <c r="AL32" s="55" t="n">
        <f aca="false">AI32+AK32</f>
        <v>4867.95</v>
      </c>
      <c r="AM32" s="56" t="n">
        <f aca="false">IF(AI32&gt;0,AK32/AI32,0)</f>
        <v>0.15</v>
      </c>
      <c r="AN32" s="57" t="n">
        <f aca="false">2_Market_Gross_USD!G30</f>
        <v>4233</v>
      </c>
      <c r="AO32" s="53" t="n">
        <f aca="false">AN32*(1-0.19)</f>
        <v>3428.73</v>
      </c>
      <c r="AP32" s="54" t="n">
        <f aca="false">AN32*0+0</f>
        <v>0</v>
      </c>
      <c r="AQ32" s="55" t="n">
        <f aca="false">AN32+AP32</f>
        <v>4233</v>
      </c>
      <c r="AR32" s="56" t="n">
        <f aca="false">IF(AN32&gt;0,AP32/AN32,0)</f>
        <v>0</v>
      </c>
      <c r="AS32" s="57" t="n">
        <f aca="false">2_Market_Gross_USD!G30</f>
        <v>4233</v>
      </c>
      <c r="AT32" s="53" t="n">
        <f aca="false">AS32*(1-0.28)</f>
        <v>3047.76</v>
      </c>
      <c r="AU32" s="54" t="n">
        <f aca="false">AS32*0.15+500</f>
        <v>1134.95</v>
      </c>
      <c r="AV32" s="55" t="n">
        <f aca="false">AS32+AU32</f>
        <v>5367.95</v>
      </c>
      <c r="AW32" s="56" t="n">
        <f aca="false">IF(AS32&gt;0,AU32/AS32,0)</f>
        <v>0.268119536971415</v>
      </c>
      <c r="AX32" s="57" t="n">
        <f aca="false">2_Market_Gross_USD!H30</f>
        <v>9000</v>
      </c>
      <c r="AY32" s="53" t="n">
        <f aca="false">AX32*(1-0.2965)</f>
        <v>6331.5</v>
      </c>
      <c r="AZ32" s="54" t="n">
        <f aca="false">AX32*0.11+0</f>
        <v>990</v>
      </c>
      <c r="BA32" s="55" t="n">
        <f aca="false">AX32+AZ32</f>
        <v>9990</v>
      </c>
      <c r="BB32" s="56" t="n">
        <f aca="false">IF(AX32&gt;0,AZ32/AX32,0)</f>
        <v>0.11</v>
      </c>
      <c r="BC32" s="57" t="n">
        <f aca="false">2_Market_Gross_USD!H30</f>
        <v>9000</v>
      </c>
      <c r="BD32" s="53" t="n">
        <f aca="false">BC32*(1-0.373)</f>
        <v>5643</v>
      </c>
      <c r="BE32" s="54" t="n">
        <f aca="false">BC32*0+0</f>
        <v>0</v>
      </c>
      <c r="BF32" s="55" t="n">
        <f aca="false">BC32+BE32</f>
        <v>9000</v>
      </c>
      <c r="BG32" s="56" t="n">
        <f aca="false">IF(BC32&gt;0,BE32/BC32,0)</f>
        <v>0</v>
      </c>
      <c r="BH32" s="57" t="n">
        <f aca="false">2_Market_Gross_USD!H30</f>
        <v>9000</v>
      </c>
      <c r="BI32" s="53" t="n">
        <f aca="false">BH32*(1-0.2965)</f>
        <v>6331.5</v>
      </c>
      <c r="BJ32" s="54" t="n">
        <f aca="false">BH32*0.11+500</f>
        <v>1490</v>
      </c>
      <c r="BK32" s="55" t="n">
        <f aca="false">BH32+BJ32</f>
        <v>10490</v>
      </c>
      <c r="BL32" s="56" t="n">
        <f aca="false">IF(BH32&gt;0,BJ32/BH32,0)</f>
        <v>0.165555555555556</v>
      </c>
      <c r="BM32" s="57" t="n">
        <f aca="false">2_Market_Gross_USD!I30</f>
        <v>4520</v>
      </c>
      <c r="BN32" s="53" t="n">
        <f aca="false">BM32*(1-0.4785)</f>
        <v>2357.18</v>
      </c>
      <c r="BO32" s="54" t="n">
        <f aca="false">BM32*0.21+0</f>
        <v>949.2</v>
      </c>
      <c r="BP32" s="55" t="n">
        <f aca="false">BM32+BO32</f>
        <v>5469.2</v>
      </c>
      <c r="BQ32" s="56" t="n">
        <f aca="false">IF(BM32&gt;0,BO32/BM32,0)</f>
        <v>0.21</v>
      </c>
      <c r="BR32" s="57" t="n">
        <f aca="false">2_Market_Gross_USD!I30</f>
        <v>4520</v>
      </c>
      <c r="BS32" s="53" t="n">
        <f aca="false">BR32*(1-0.25)</f>
        <v>3390</v>
      </c>
      <c r="BT32" s="54" t="n">
        <f aca="false">BR32*0+0</f>
        <v>0</v>
      </c>
      <c r="BU32" s="55" t="n">
        <f aca="false">BR32+BT32</f>
        <v>4520</v>
      </c>
      <c r="BV32" s="56" t="n">
        <f aca="false">IF(BR32&gt;0,BT32/BR32,0)</f>
        <v>0</v>
      </c>
      <c r="BW32" s="57" t="n">
        <f aca="false">2_Market_Gross_USD!I30</f>
        <v>4520</v>
      </c>
      <c r="BX32" s="53" t="n">
        <f aca="false">BW32*(1-0.4785)</f>
        <v>2357.18</v>
      </c>
      <c r="BY32" s="54" t="n">
        <f aca="false">BW32*0.21+500</f>
        <v>1449.2</v>
      </c>
      <c r="BZ32" s="55" t="n">
        <f aca="false">BW32+BY32</f>
        <v>5969.2</v>
      </c>
      <c r="CA32" s="56" t="n">
        <f aca="false">IF(BW32&gt;0,BY32/BW32,0)</f>
        <v>0.320619469026549</v>
      </c>
      <c r="CB32" s="57" t="n">
        <f aca="false">2_Market_Gross_USD!J30</f>
        <v>5179</v>
      </c>
      <c r="CC32" s="53" t="n">
        <f aca="false">CB32*(1-0.3697)</f>
        <v>3264.3237</v>
      </c>
      <c r="CD32" s="54" t="n">
        <f aca="false">CB32*0.2+0</f>
        <v>1035.8</v>
      </c>
      <c r="CE32" s="55" t="n">
        <f aca="false">CB32+CD32</f>
        <v>6214.8</v>
      </c>
      <c r="CF32" s="56" t="n">
        <f aca="false">IF(CB32&gt;0,CD32/CB32,0)</f>
        <v>0.2</v>
      </c>
      <c r="CG32" s="57" t="n">
        <f aca="false">2_Market_Gross_USD!J30</f>
        <v>5179</v>
      </c>
      <c r="CH32" s="53" t="n">
        <f aca="false">CG32*(1-0.3697)</f>
        <v>3264.3237</v>
      </c>
      <c r="CI32" s="54" t="n">
        <f aca="false">CG32*0+0</f>
        <v>0</v>
      </c>
      <c r="CJ32" s="55" t="n">
        <f aca="false">CG32+CI32</f>
        <v>5179</v>
      </c>
      <c r="CK32" s="56" t="n">
        <f aca="false">IF(CG32&gt;0,CI32/CG32,0)</f>
        <v>0</v>
      </c>
      <c r="CL32" s="57" t="n">
        <f aca="false">2_Market_Gross_USD!J30</f>
        <v>5179</v>
      </c>
      <c r="CM32" s="53" t="n">
        <f aca="false">CL32*(1-0.3697)</f>
        <v>3264.3237</v>
      </c>
      <c r="CN32" s="54" t="n">
        <f aca="false">CL32*0.2+500</f>
        <v>1535.8</v>
      </c>
      <c r="CO32" s="55" t="n">
        <f aca="false">CL32+CN32</f>
        <v>6714.8</v>
      </c>
      <c r="CP32" s="56" t="n">
        <f aca="false">IF(CL32&gt;0,CN32/CL32,0)</f>
        <v>0.296543734311643</v>
      </c>
      <c r="CQ32" s="57" t="n">
        <f aca="false">2_Market_Gross_USD!K30</f>
        <v>2348</v>
      </c>
      <c r="CR32" s="53" t="n">
        <f aca="false">CQ32*(1-0.26)</f>
        <v>1737.52</v>
      </c>
      <c r="CS32" s="54" t="n">
        <f aca="false">CQ32*0.338+0</f>
        <v>793.624</v>
      </c>
      <c r="CT32" s="55" t="n">
        <f aca="false">CQ32+CS32</f>
        <v>3141.624</v>
      </c>
      <c r="CU32" s="56" t="n">
        <f aca="false">IF(CQ32&gt;0,CS32/CQ32,0)</f>
        <v>0.338</v>
      </c>
      <c r="CV32" s="57" t="n">
        <f aca="false">2_Market_Gross_USD!K30</f>
        <v>2348</v>
      </c>
      <c r="CW32" s="53" t="n">
        <f aca="false">CV32*(1-0.15)</f>
        <v>1995.8</v>
      </c>
      <c r="CX32" s="54" t="n">
        <f aca="false">CV32*0+0</f>
        <v>0</v>
      </c>
      <c r="CY32" s="55" t="n">
        <f aca="false">CV32+CX32</f>
        <v>2348</v>
      </c>
      <c r="CZ32" s="56" t="n">
        <f aca="false">IF(CV32&gt;0,CX32/CV32,0)</f>
        <v>0</v>
      </c>
      <c r="DA32" s="57" t="n">
        <f aca="false">2_Market_Gross_USD!K30</f>
        <v>2348</v>
      </c>
      <c r="DB32" s="53" t="n">
        <f aca="false">DA32*(1-0.26)</f>
        <v>1737.52</v>
      </c>
      <c r="DC32" s="54" t="n">
        <f aca="false">DA32*0.338+500</f>
        <v>1293.624</v>
      </c>
      <c r="DD32" s="55" t="n">
        <f aca="false">DA32+DC32</f>
        <v>3641.624</v>
      </c>
      <c r="DE32" s="56" t="n">
        <f aca="false">IF(DA32&gt;0,DC32/DA32,0)</f>
        <v>0.550947189097104</v>
      </c>
      <c r="DF32" s="57" t="n">
        <f aca="false">2_Market_Gross_USD!L30</f>
        <v>3296</v>
      </c>
      <c r="DG32" s="53" t="n">
        <f aca="false">DF32*(1-0.34)</f>
        <v>2175.36</v>
      </c>
      <c r="DH32" s="54" t="n">
        <f aca="false">DF32*0.2375+0</f>
        <v>782.8</v>
      </c>
      <c r="DI32" s="55" t="n">
        <f aca="false">DF32+DH32</f>
        <v>4078.8</v>
      </c>
      <c r="DJ32" s="56" t="n">
        <f aca="false">IF(DF32&gt;0,DH32/DF32,0)</f>
        <v>0.2375</v>
      </c>
      <c r="DK32" s="57" t="n">
        <f aca="false">2_Market_Gross_USD!L30</f>
        <v>3296</v>
      </c>
      <c r="DL32" s="53" t="n">
        <f aca="false">DK32*(1-0.2)</f>
        <v>2636.8</v>
      </c>
      <c r="DM32" s="54" t="n">
        <f aca="false">DK32*0+0</f>
        <v>0</v>
      </c>
      <c r="DN32" s="55" t="n">
        <f aca="false">DK32+DM32</f>
        <v>3296</v>
      </c>
      <c r="DO32" s="56" t="n">
        <f aca="false">IF(DK32&gt;0,DM32/DK32,0)</f>
        <v>0</v>
      </c>
      <c r="DP32" s="57" t="n">
        <f aca="false">2_Market_Gross_USD!L30</f>
        <v>3296</v>
      </c>
      <c r="DQ32" s="53" t="n">
        <f aca="false">DP32*(1-0.34)</f>
        <v>2175.36</v>
      </c>
      <c r="DR32" s="54" t="n">
        <f aca="false">DP32*0.2375+500</f>
        <v>1282.8</v>
      </c>
      <c r="DS32" s="55" t="n">
        <f aca="false">DP32+DR32</f>
        <v>4578.8</v>
      </c>
      <c r="DT32" s="56" t="n">
        <f aca="false">IF(DP32&gt;0,DR32/DP32,0)</f>
        <v>0.389199029126214</v>
      </c>
      <c r="DU32" s="57" t="n">
        <f aca="false">2_Market_Gross_USD!M30</f>
        <v>1917</v>
      </c>
      <c r="DV32" s="53" t="n">
        <f aca="false">DU32*0.65</f>
        <v>1246.05</v>
      </c>
      <c r="DW32" s="54" t="n">
        <f aca="false">DU32*0.0225+0</f>
        <v>43.1325</v>
      </c>
      <c r="DX32" s="55" t="n">
        <f aca="false">DU32+DW32</f>
        <v>1960.1325</v>
      </c>
      <c r="DY32" s="56" t="n">
        <f aca="false">IF(DU32&gt;0,DW32/DU32,0)</f>
        <v>0.0225</v>
      </c>
      <c r="DZ32" s="57" t="n">
        <f aca="false">2_Market_Gross_USD!M30</f>
        <v>1917</v>
      </c>
      <c r="EA32" s="53" t="n">
        <f aca="false">DZ32*(1-0.01)</f>
        <v>1897.83</v>
      </c>
      <c r="EB32" s="54" t="n">
        <f aca="false">DZ32*0+0</f>
        <v>0</v>
      </c>
      <c r="EC32" s="55" t="n">
        <f aca="false">DZ32+EB32</f>
        <v>1917</v>
      </c>
      <c r="ED32" s="56" t="n">
        <f aca="false">IF(DZ32&gt;0,EB32/DZ32,0)</f>
        <v>0</v>
      </c>
      <c r="EE32" s="57" t="n">
        <f aca="false">2_Market_Gross_USD!M30</f>
        <v>1917</v>
      </c>
      <c r="EF32" s="53" t="n">
        <f aca="false">EE32*0.65</f>
        <v>1246.05</v>
      </c>
      <c r="EG32" s="54" t="n">
        <f aca="false">EE32*0.0225+500</f>
        <v>543.1325</v>
      </c>
      <c r="EH32" s="55" t="n">
        <f aca="false">EE32+EG32</f>
        <v>2460.1325</v>
      </c>
      <c r="EI32" s="56" t="n">
        <f aca="false">IF(EE32&gt;0,EG32/EE32,0)</f>
        <v>0.283324204486176</v>
      </c>
    </row>
    <row r="33" customFormat="false" ht="15" hidden="false" customHeight="false" outlineLevel="0" collapsed="false">
      <c r="A33" s="41" t="n">
        <v>28</v>
      </c>
      <c r="B33" s="28" t="s">
        <v>264</v>
      </c>
      <c r="C33" s="8" t="s">
        <v>265</v>
      </c>
      <c r="D33" s="42" t="s">
        <v>249</v>
      </c>
      <c r="E33" s="52" t="n">
        <f aca="false">2_Market_Gross_USD!E31</f>
        <v>3250</v>
      </c>
      <c r="F33" s="53" t="n">
        <f aca="false">E33*(1-0.065)</f>
        <v>3038.75</v>
      </c>
      <c r="G33" s="58" t="n">
        <f aca="false">E33*0+35</f>
        <v>35</v>
      </c>
      <c r="H33" s="55" t="n">
        <f aca="false">E33+G33</f>
        <v>3285</v>
      </c>
      <c r="I33" s="59" t="n">
        <f aca="false">IF(E33&gt;0,G33/E33,0)</f>
        <v>0.0107692307692308</v>
      </c>
      <c r="J33" s="52" t="n">
        <f aca="false">2_Market_Gross_USD!E31</f>
        <v>3250</v>
      </c>
      <c r="K33" s="53" t="n">
        <f aca="false">J33*(1-0.065)</f>
        <v>3038.75</v>
      </c>
      <c r="L33" s="58" t="n">
        <f aca="false">J33*0+40</f>
        <v>40</v>
      </c>
      <c r="M33" s="55" t="n">
        <f aca="false">J33+L33</f>
        <v>3290</v>
      </c>
      <c r="N33" s="59" t="n">
        <f aca="false">IF(J33&gt;0,L33/J33,0)</f>
        <v>0.0123076923076923</v>
      </c>
      <c r="O33" s="52" t="n">
        <f aca="false">2_Market_Gross_USD!E31</f>
        <v>3250</v>
      </c>
      <c r="P33" s="53" t="n">
        <f aca="false">O33*(1-0.195)</f>
        <v>2616.25</v>
      </c>
      <c r="Q33" s="58" t="n">
        <f aca="false">IF(O33&gt;=3886,3886*0.22,O33*0.22)</f>
        <v>715</v>
      </c>
      <c r="R33" s="55" t="n">
        <f aca="false">O33+Q33</f>
        <v>3965</v>
      </c>
      <c r="S33" s="59" t="n">
        <f aca="false">IF(O33&gt;0,Q33/O33,0)</f>
        <v>0.22</v>
      </c>
      <c r="T33" s="60" t="n">
        <f aca="false">2_Market_Gross_USD!F31</f>
        <v>4590</v>
      </c>
      <c r="U33" s="53" t="n">
        <f aca="false">T33*(1-0.2571)</f>
        <v>3409.911</v>
      </c>
      <c r="V33" s="58" t="n">
        <f aca="false">T33*0.2038+0</f>
        <v>935.442</v>
      </c>
      <c r="W33" s="55" t="n">
        <f aca="false">T33+V33</f>
        <v>5525.442</v>
      </c>
      <c r="X33" s="59" t="n">
        <f aca="false">IF(T33&gt;0,V33/T33,0)</f>
        <v>0.2038</v>
      </c>
      <c r="Y33" s="60" t="n">
        <f aca="false">2_Market_Gross_USD!F31</f>
        <v>4590</v>
      </c>
      <c r="Z33" s="53" t="n">
        <f aca="false">Y33*(1-0.12)</f>
        <v>4039.2</v>
      </c>
      <c r="AA33" s="58" t="n">
        <f aca="false">Y33*0+0</f>
        <v>0</v>
      </c>
      <c r="AB33" s="55" t="n">
        <f aca="false">Y33+AA33</f>
        <v>4590</v>
      </c>
      <c r="AC33" s="59" t="n">
        <f aca="false">IF(Y33&gt;0,AA33/Y33,0)</f>
        <v>0</v>
      </c>
      <c r="AD33" s="60" t="n">
        <f aca="false">2_Market_Gross_USD!F31</f>
        <v>4590</v>
      </c>
      <c r="AE33" s="53" t="n">
        <f aca="false">AD33*(1-0.2571)</f>
        <v>3409.911</v>
      </c>
      <c r="AF33" s="58" t="n">
        <f aca="false">AD33*0.2038+500</f>
        <v>1435.442</v>
      </c>
      <c r="AG33" s="55" t="n">
        <f aca="false">AD33+AF33</f>
        <v>6025.442</v>
      </c>
      <c r="AH33" s="59" t="n">
        <f aca="false">IF(AD33&gt;0,AF33/AD33,0)</f>
        <v>0.312732461873638</v>
      </c>
      <c r="AI33" s="60" t="n">
        <f aca="false">2_Market_Gross_USD!G31</f>
        <v>6614</v>
      </c>
      <c r="AJ33" s="53" t="n">
        <f aca="false">AI33*(1-0.28)</f>
        <v>4762.08</v>
      </c>
      <c r="AK33" s="58" t="n">
        <f aca="false">AI33*0.15+0</f>
        <v>992.1</v>
      </c>
      <c r="AL33" s="55" t="n">
        <f aca="false">AI33+AK33</f>
        <v>7606.1</v>
      </c>
      <c r="AM33" s="59" t="n">
        <f aca="false">IF(AI33&gt;0,AK33/AI33,0)</f>
        <v>0.15</v>
      </c>
      <c r="AN33" s="60" t="n">
        <f aca="false">2_Market_Gross_USD!G31</f>
        <v>6614</v>
      </c>
      <c r="AO33" s="53" t="n">
        <f aca="false">AN33*(1-0.19)</f>
        <v>5357.34</v>
      </c>
      <c r="AP33" s="58" t="n">
        <f aca="false">AN33*0+0</f>
        <v>0</v>
      </c>
      <c r="AQ33" s="55" t="n">
        <f aca="false">AN33+AP33</f>
        <v>6614</v>
      </c>
      <c r="AR33" s="59" t="n">
        <f aca="false">IF(AN33&gt;0,AP33/AN33,0)</f>
        <v>0</v>
      </c>
      <c r="AS33" s="60" t="n">
        <f aca="false">2_Market_Gross_USD!G31</f>
        <v>6614</v>
      </c>
      <c r="AT33" s="53" t="n">
        <f aca="false">AS33*(1-0.28)</f>
        <v>4762.08</v>
      </c>
      <c r="AU33" s="58" t="n">
        <f aca="false">AS33*0.15+500</f>
        <v>1492.1</v>
      </c>
      <c r="AV33" s="55" t="n">
        <f aca="false">AS33+AU33</f>
        <v>8106.1</v>
      </c>
      <c r="AW33" s="59" t="n">
        <f aca="false">IF(AS33&gt;0,AU33/AS33,0)</f>
        <v>0.225597218022377</v>
      </c>
      <c r="AX33" s="60" t="n">
        <f aca="false">2_Market_Gross_USD!H31</f>
        <v>11050</v>
      </c>
      <c r="AY33" s="53" t="n">
        <f aca="false">AX33*(1-0.2965)</f>
        <v>7773.675</v>
      </c>
      <c r="AZ33" s="58" t="n">
        <f aca="false">AX33*0.11+0</f>
        <v>1215.5</v>
      </c>
      <c r="BA33" s="55" t="n">
        <f aca="false">AX33+AZ33</f>
        <v>12265.5</v>
      </c>
      <c r="BB33" s="59" t="n">
        <f aca="false">IF(AX33&gt;0,AZ33/AX33,0)</f>
        <v>0.11</v>
      </c>
      <c r="BC33" s="60" t="n">
        <f aca="false">2_Market_Gross_USD!H31</f>
        <v>11050</v>
      </c>
      <c r="BD33" s="53" t="n">
        <f aca="false">BC33*(1-0.373)</f>
        <v>6928.35</v>
      </c>
      <c r="BE33" s="58" t="n">
        <f aca="false">BC33*0+0</f>
        <v>0</v>
      </c>
      <c r="BF33" s="55" t="n">
        <f aca="false">BC33+BE33</f>
        <v>11050</v>
      </c>
      <c r="BG33" s="59" t="n">
        <f aca="false">IF(BC33&gt;0,BE33/BC33,0)</f>
        <v>0</v>
      </c>
      <c r="BH33" s="60" t="n">
        <f aca="false">2_Market_Gross_USD!H31</f>
        <v>11050</v>
      </c>
      <c r="BI33" s="53" t="n">
        <f aca="false">BH33*(1-0.2965)</f>
        <v>7773.675</v>
      </c>
      <c r="BJ33" s="58" t="n">
        <f aca="false">BH33*0.11+500</f>
        <v>1715.5</v>
      </c>
      <c r="BK33" s="55" t="n">
        <f aca="false">BH33+BJ33</f>
        <v>12765.5</v>
      </c>
      <c r="BL33" s="59" t="n">
        <f aca="false">IF(BH33&gt;0,BJ33/BH33,0)</f>
        <v>0.155248868778281</v>
      </c>
      <c r="BM33" s="60" t="n">
        <f aca="false">2_Market_Gross_USD!I31</f>
        <v>6498</v>
      </c>
      <c r="BN33" s="53" t="n">
        <f aca="false">BM33*(1-0.4785)</f>
        <v>3388.707</v>
      </c>
      <c r="BO33" s="58" t="n">
        <f aca="false">BM33*0.21+0</f>
        <v>1364.58</v>
      </c>
      <c r="BP33" s="55" t="n">
        <f aca="false">BM33+BO33</f>
        <v>7862.58</v>
      </c>
      <c r="BQ33" s="59" t="n">
        <f aca="false">IF(BM33&gt;0,BO33/BM33,0)</f>
        <v>0.21</v>
      </c>
      <c r="BR33" s="60" t="n">
        <f aca="false">2_Market_Gross_USD!I31</f>
        <v>6498</v>
      </c>
      <c r="BS33" s="53" t="n">
        <f aca="false">BR33*(1-0.25)</f>
        <v>4873.5</v>
      </c>
      <c r="BT33" s="58" t="n">
        <f aca="false">BR33*0+0</f>
        <v>0</v>
      </c>
      <c r="BU33" s="55" t="n">
        <f aca="false">BR33+BT33</f>
        <v>6498</v>
      </c>
      <c r="BV33" s="59" t="n">
        <f aca="false">IF(BR33&gt;0,BT33/BR33,0)</f>
        <v>0</v>
      </c>
      <c r="BW33" s="60" t="n">
        <f aca="false">2_Market_Gross_USD!I31</f>
        <v>6498</v>
      </c>
      <c r="BX33" s="53" t="n">
        <f aca="false">BW33*(1-0.4785)</f>
        <v>3388.707</v>
      </c>
      <c r="BY33" s="58" t="n">
        <f aca="false">BW33*0.21+500</f>
        <v>1864.58</v>
      </c>
      <c r="BZ33" s="55" t="n">
        <f aca="false">BW33+BY33</f>
        <v>8362.58</v>
      </c>
      <c r="CA33" s="59" t="n">
        <f aca="false">IF(BW33&gt;0,BY33/BW33,0)</f>
        <v>0.28694675284703</v>
      </c>
      <c r="CB33" s="60" t="n">
        <f aca="false">2_Market_Gross_USD!J31</f>
        <v>7345</v>
      </c>
      <c r="CC33" s="53" t="n">
        <f aca="false">CB33*(1-0.3697)</f>
        <v>4629.5535</v>
      </c>
      <c r="CD33" s="58" t="n">
        <f aca="false">CB33*0.2+0</f>
        <v>1469</v>
      </c>
      <c r="CE33" s="55" t="n">
        <f aca="false">CB33+CD33</f>
        <v>8814</v>
      </c>
      <c r="CF33" s="59" t="n">
        <f aca="false">IF(CB33&gt;0,CD33/CB33,0)</f>
        <v>0.2</v>
      </c>
      <c r="CG33" s="60" t="n">
        <f aca="false">2_Market_Gross_USD!J31</f>
        <v>7345</v>
      </c>
      <c r="CH33" s="53" t="n">
        <f aca="false">CG33*(1-0.3697)</f>
        <v>4629.5535</v>
      </c>
      <c r="CI33" s="58" t="n">
        <f aca="false">CG33*0+0</f>
        <v>0</v>
      </c>
      <c r="CJ33" s="55" t="n">
        <f aca="false">CG33+CI33</f>
        <v>7345</v>
      </c>
      <c r="CK33" s="59" t="n">
        <f aca="false">IF(CG33&gt;0,CI33/CG33,0)</f>
        <v>0</v>
      </c>
      <c r="CL33" s="60" t="n">
        <f aca="false">2_Market_Gross_USD!J31</f>
        <v>7345</v>
      </c>
      <c r="CM33" s="53" t="n">
        <f aca="false">CL33*(1-0.3697)</f>
        <v>4629.5535</v>
      </c>
      <c r="CN33" s="58" t="n">
        <f aca="false">CL33*0.2+500</f>
        <v>1969</v>
      </c>
      <c r="CO33" s="55" t="n">
        <f aca="false">CL33+CN33</f>
        <v>9314</v>
      </c>
      <c r="CP33" s="59" t="n">
        <f aca="false">IF(CL33&gt;0,CN33/CL33,0)</f>
        <v>0.268073519400953</v>
      </c>
      <c r="CQ33" s="60" t="n">
        <f aca="false">2_Market_Gross_USD!K31</f>
        <v>3618</v>
      </c>
      <c r="CR33" s="53" t="n">
        <f aca="false">CQ33*(1-0.26)</f>
        <v>2677.32</v>
      </c>
      <c r="CS33" s="58" t="n">
        <f aca="false">CQ33*0.338+0</f>
        <v>1222.884</v>
      </c>
      <c r="CT33" s="55" t="n">
        <f aca="false">CQ33+CS33</f>
        <v>4840.884</v>
      </c>
      <c r="CU33" s="59" t="n">
        <f aca="false">IF(CQ33&gt;0,CS33/CQ33,0)</f>
        <v>0.338</v>
      </c>
      <c r="CV33" s="60" t="n">
        <f aca="false">2_Market_Gross_USD!K31</f>
        <v>3618</v>
      </c>
      <c r="CW33" s="53" t="n">
        <f aca="false">CV33*(1-0.15)</f>
        <v>3075.3</v>
      </c>
      <c r="CX33" s="58" t="n">
        <f aca="false">CV33*0+0</f>
        <v>0</v>
      </c>
      <c r="CY33" s="55" t="n">
        <f aca="false">CV33+CX33</f>
        <v>3618</v>
      </c>
      <c r="CZ33" s="59" t="n">
        <f aca="false">IF(CV33&gt;0,CX33/CV33,0)</f>
        <v>0</v>
      </c>
      <c r="DA33" s="60" t="n">
        <f aca="false">2_Market_Gross_USD!K31</f>
        <v>3618</v>
      </c>
      <c r="DB33" s="53" t="n">
        <f aca="false">DA33*(1-0.26)</f>
        <v>2677.32</v>
      </c>
      <c r="DC33" s="58" t="n">
        <f aca="false">DA33*0.338+500</f>
        <v>1722.884</v>
      </c>
      <c r="DD33" s="55" t="n">
        <f aca="false">DA33+DC33</f>
        <v>5340.884</v>
      </c>
      <c r="DE33" s="59" t="n">
        <f aca="false">IF(DA33&gt;0,DC33/DA33,0)</f>
        <v>0.476197899391929</v>
      </c>
      <c r="DF33" s="60" t="n">
        <f aca="false">2_Market_Gross_USD!L31</f>
        <v>4896</v>
      </c>
      <c r="DG33" s="53" t="n">
        <f aca="false">DF33*(1-0.34)</f>
        <v>3231.36</v>
      </c>
      <c r="DH33" s="58" t="n">
        <f aca="false">DF33*0.2375+0</f>
        <v>1162.8</v>
      </c>
      <c r="DI33" s="55" t="n">
        <f aca="false">DF33+DH33</f>
        <v>6058.8</v>
      </c>
      <c r="DJ33" s="59" t="n">
        <f aca="false">IF(DF33&gt;0,DH33/DF33,0)</f>
        <v>0.2375</v>
      </c>
      <c r="DK33" s="60" t="n">
        <f aca="false">2_Market_Gross_USD!L31</f>
        <v>4896</v>
      </c>
      <c r="DL33" s="53" t="n">
        <f aca="false">DK33*(1-0.2)</f>
        <v>3916.8</v>
      </c>
      <c r="DM33" s="58" t="n">
        <f aca="false">DK33*0+0</f>
        <v>0</v>
      </c>
      <c r="DN33" s="55" t="n">
        <f aca="false">DK33+DM33</f>
        <v>4896</v>
      </c>
      <c r="DO33" s="59" t="n">
        <f aca="false">IF(DK33&gt;0,DM33/DK33,0)</f>
        <v>0</v>
      </c>
      <c r="DP33" s="60" t="n">
        <f aca="false">2_Market_Gross_USD!L31</f>
        <v>4896</v>
      </c>
      <c r="DQ33" s="53" t="n">
        <f aca="false">DP33*(1-0.34)</f>
        <v>3231.36</v>
      </c>
      <c r="DR33" s="58" t="n">
        <f aca="false">DP33*0.2375+500</f>
        <v>1662.8</v>
      </c>
      <c r="DS33" s="55" t="n">
        <f aca="false">DP33+DR33</f>
        <v>6558.8</v>
      </c>
      <c r="DT33" s="59" t="n">
        <f aca="false">IF(DP33&gt;0,DR33/DP33,0)</f>
        <v>0.339624183006536</v>
      </c>
      <c r="DU33" s="60" t="n">
        <f aca="false">2_Market_Gross_USD!M31</f>
        <v>3267</v>
      </c>
      <c r="DV33" s="53" t="n">
        <f aca="false">DU33*0.65</f>
        <v>2123.55</v>
      </c>
      <c r="DW33" s="58" t="n">
        <f aca="false">DU33*0.0225+0</f>
        <v>73.5075</v>
      </c>
      <c r="DX33" s="55" t="n">
        <f aca="false">DU33+DW33</f>
        <v>3340.5075</v>
      </c>
      <c r="DY33" s="59" t="n">
        <f aca="false">IF(DU33&gt;0,DW33/DU33,0)</f>
        <v>0.0225</v>
      </c>
      <c r="DZ33" s="60" t="n">
        <f aca="false">2_Market_Gross_USD!M31</f>
        <v>3267</v>
      </c>
      <c r="EA33" s="53" t="n">
        <f aca="false">DZ33*(1-0.01)</f>
        <v>3234.33</v>
      </c>
      <c r="EB33" s="58" t="n">
        <f aca="false">DZ33*0+0</f>
        <v>0</v>
      </c>
      <c r="EC33" s="55" t="n">
        <f aca="false">DZ33+EB33</f>
        <v>3267</v>
      </c>
      <c r="ED33" s="59" t="n">
        <f aca="false">IF(DZ33&gt;0,EB33/DZ33,0)</f>
        <v>0</v>
      </c>
      <c r="EE33" s="60" t="n">
        <f aca="false">2_Market_Gross_USD!M31</f>
        <v>3267</v>
      </c>
      <c r="EF33" s="53" t="n">
        <f aca="false">EE33*0.65</f>
        <v>2123.55</v>
      </c>
      <c r="EG33" s="58" t="n">
        <f aca="false">EE33*0.0225+500</f>
        <v>573.5075</v>
      </c>
      <c r="EH33" s="55" t="n">
        <f aca="false">EE33+EG33</f>
        <v>3840.5075</v>
      </c>
      <c r="EI33" s="59" t="n">
        <f aca="false">IF(EE33&gt;0,EG33/EE33,0)</f>
        <v>0.175545607591062</v>
      </c>
    </row>
    <row r="34" customFormat="false" ht="15" hidden="false" customHeight="false" outlineLevel="0" collapsed="false">
      <c r="A34" s="37" t="n">
        <v>29</v>
      </c>
      <c r="B34" s="32" t="s">
        <v>266</v>
      </c>
      <c r="C34" s="32" t="s">
        <v>267</v>
      </c>
      <c r="D34" s="38" t="s">
        <v>248</v>
      </c>
      <c r="E34" s="52" t="n">
        <f aca="false">2_Market_Gross_USD!E32</f>
        <v>1850</v>
      </c>
      <c r="F34" s="53" t="n">
        <f aca="false">E34*(1-0.065)</f>
        <v>1729.75</v>
      </c>
      <c r="G34" s="54" t="n">
        <f aca="false">E34*0+35</f>
        <v>35</v>
      </c>
      <c r="H34" s="55" t="n">
        <f aca="false">E34+G34</f>
        <v>1885</v>
      </c>
      <c r="I34" s="56" t="n">
        <f aca="false">IF(E34&gt;0,G34/E34,0)</f>
        <v>0.0189189189189189</v>
      </c>
      <c r="J34" s="52" t="n">
        <f aca="false">2_Market_Gross_USD!E32</f>
        <v>1850</v>
      </c>
      <c r="K34" s="53" t="n">
        <f aca="false">J34*(1-0.065)</f>
        <v>1729.75</v>
      </c>
      <c r="L34" s="54" t="n">
        <f aca="false">J34*0+40</f>
        <v>40</v>
      </c>
      <c r="M34" s="55" t="n">
        <f aca="false">J34+L34</f>
        <v>1890</v>
      </c>
      <c r="N34" s="56" t="n">
        <f aca="false">IF(J34&gt;0,L34/J34,0)</f>
        <v>0.0216216216216216</v>
      </c>
      <c r="O34" s="52" t="n">
        <f aca="false">2_Market_Gross_USD!E32</f>
        <v>1850</v>
      </c>
      <c r="P34" s="53" t="n">
        <f aca="false">O34*(1-0.195)</f>
        <v>1489.25</v>
      </c>
      <c r="Q34" s="54" t="n">
        <f aca="false">IF(O34&gt;=3886,3886*0.22,O34*0.22)</f>
        <v>407</v>
      </c>
      <c r="R34" s="55" t="n">
        <f aca="false">O34+Q34</f>
        <v>2257</v>
      </c>
      <c r="S34" s="56" t="n">
        <f aca="false">IF(O34&gt;0,Q34/O34,0)</f>
        <v>0.22</v>
      </c>
      <c r="T34" s="57" t="n">
        <f aca="false">2_Market_Gross_USD!F32</f>
        <v>4335</v>
      </c>
      <c r="U34" s="53" t="n">
        <f aca="false">T34*(1-0.2571)</f>
        <v>3220.4715</v>
      </c>
      <c r="V34" s="54" t="n">
        <f aca="false">T34*0.2038+0</f>
        <v>883.473</v>
      </c>
      <c r="W34" s="55" t="n">
        <f aca="false">T34+V34</f>
        <v>5218.473</v>
      </c>
      <c r="X34" s="56" t="n">
        <f aca="false">IF(T34&gt;0,V34/T34,0)</f>
        <v>0.2038</v>
      </c>
      <c r="Y34" s="57" t="n">
        <f aca="false">2_Market_Gross_USD!F32</f>
        <v>4335</v>
      </c>
      <c r="Z34" s="53" t="n">
        <f aca="false">Y34*(1-0.12)</f>
        <v>3814.8</v>
      </c>
      <c r="AA34" s="54" t="n">
        <f aca="false">Y34*0+0</f>
        <v>0</v>
      </c>
      <c r="AB34" s="55" t="n">
        <f aca="false">Y34+AA34</f>
        <v>4335</v>
      </c>
      <c r="AC34" s="56" t="n">
        <f aca="false">IF(Y34&gt;0,AA34/Y34,0)</f>
        <v>0</v>
      </c>
      <c r="AD34" s="57" t="n">
        <f aca="false">2_Market_Gross_USD!F32</f>
        <v>4335</v>
      </c>
      <c r="AE34" s="53" t="n">
        <f aca="false">AD34*(1-0.2571)</f>
        <v>3220.4715</v>
      </c>
      <c r="AF34" s="54" t="n">
        <f aca="false">AD34*0.2038+500</f>
        <v>1383.473</v>
      </c>
      <c r="AG34" s="55" t="n">
        <f aca="false">AD34+AF34</f>
        <v>5718.473</v>
      </c>
      <c r="AH34" s="56" t="n">
        <f aca="false">IF(AD34&gt;0,AF34/AD34,0)</f>
        <v>0.319140253748558</v>
      </c>
      <c r="AI34" s="57" t="n">
        <f aca="false">2_Market_Gross_USD!G32</f>
        <v>6350</v>
      </c>
      <c r="AJ34" s="53" t="n">
        <f aca="false">AI34*(1-0.28)</f>
        <v>4572</v>
      </c>
      <c r="AK34" s="54" t="n">
        <f aca="false">AI34*0.15+0</f>
        <v>952.5</v>
      </c>
      <c r="AL34" s="55" t="n">
        <f aca="false">AI34+AK34</f>
        <v>7302.5</v>
      </c>
      <c r="AM34" s="56" t="n">
        <f aca="false">IF(AI34&gt;0,AK34/AI34,0)</f>
        <v>0.15</v>
      </c>
      <c r="AN34" s="57" t="n">
        <f aca="false">2_Market_Gross_USD!G32</f>
        <v>6350</v>
      </c>
      <c r="AO34" s="53" t="n">
        <f aca="false">AN34*(1-0.19)</f>
        <v>5143.5</v>
      </c>
      <c r="AP34" s="54" t="n">
        <f aca="false">AN34*0+0</f>
        <v>0</v>
      </c>
      <c r="AQ34" s="55" t="n">
        <f aca="false">AN34+AP34</f>
        <v>6350</v>
      </c>
      <c r="AR34" s="56" t="n">
        <f aca="false">IF(AN34&gt;0,AP34/AN34,0)</f>
        <v>0</v>
      </c>
      <c r="AS34" s="57" t="n">
        <f aca="false">2_Market_Gross_USD!G32</f>
        <v>6350</v>
      </c>
      <c r="AT34" s="53" t="n">
        <f aca="false">AS34*(1-0.28)</f>
        <v>4572</v>
      </c>
      <c r="AU34" s="54" t="n">
        <f aca="false">AS34*0.15+500</f>
        <v>1452.5</v>
      </c>
      <c r="AV34" s="55" t="n">
        <f aca="false">AS34+AU34</f>
        <v>7802.5</v>
      </c>
      <c r="AW34" s="56" t="n">
        <f aca="false">IF(AS34&gt;0,AU34/AS34,0)</f>
        <v>0.228740157480315</v>
      </c>
      <c r="AX34" s="57" t="n">
        <f aca="false">2_Market_Gross_USD!H32</f>
        <v>14080</v>
      </c>
      <c r="AY34" s="53" t="n">
        <f aca="false">AX34*(1-0.2965)</f>
        <v>9905.28</v>
      </c>
      <c r="AZ34" s="54" t="n">
        <f aca="false">AX34*0.11+0</f>
        <v>1548.8</v>
      </c>
      <c r="BA34" s="55" t="n">
        <f aca="false">AX34+AZ34</f>
        <v>15628.8</v>
      </c>
      <c r="BB34" s="56" t="n">
        <f aca="false">IF(AX34&gt;0,AZ34/AX34,0)</f>
        <v>0.11</v>
      </c>
      <c r="BC34" s="57" t="n">
        <f aca="false">2_Market_Gross_USD!H32</f>
        <v>14080</v>
      </c>
      <c r="BD34" s="53" t="n">
        <f aca="false">BC34*(1-0.373)</f>
        <v>8828.16</v>
      </c>
      <c r="BE34" s="54" t="n">
        <f aca="false">BC34*0+0</f>
        <v>0</v>
      </c>
      <c r="BF34" s="55" t="n">
        <f aca="false">BC34+BE34</f>
        <v>14080</v>
      </c>
      <c r="BG34" s="56" t="n">
        <f aca="false">IF(BC34&gt;0,BE34/BC34,0)</f>
        <v>0</v>
      </c>
      <c r="BH34" s="57" t="n">
        <f aca="false">2_Market_Gross_USD!H32</f>
        <v>14080</v>
      </c>
      <c r="BI34" s="53" t="n">
        <f aca="false">BH34*(1-0.2965)</f>
        <v>9905.28</v>
      </c>
      <c r="BJ34" s="54" t="n">
        <f aca="false">BH34*0.11+500</f>
        <v>2048.8</v>
      </c>
      <c r="BK34" s="55" t="n">
        <f aca="false">BH34+BJ34</f>
        <v>16128.8</v>
      </c>
      <c r="BL34" s="56" t="n">
        <f aca="false">IF(BH34&gt;0,BJ34/BH34,0)</f>
        <v>0.145511363636364</v>
      </c>
      <c r="BM34" s="57" t="n">
        <f aca="false">2_Market_Gross_USD!I32</f>
        <v>6686</v>
      </c>
      <c r="BN34" s="53" t="n">
        <f aca="false">BM34*(1-0.4785)</f>
        <v>3486.749</v>
      </c>
      <c r="BO34" s="54" t="n">
        <f aca="false">BM34*0.21+0</f>
        <v>1404.06</v>
      </c>
      <c r="BP34" s="55" t="n">
        <f aca="false">BM34+BO34</f>
        <v>8090.06</v>
      </c>
      <c r="BQ34" s="56" t="n">
        <f aca="false">IF(BM34&gt;0,BO34/BM34,0)</f>
        <v>0.21</v>
      </c>
      <c r="BR34" s="57" t="n">
        <f aca="false">2_Market_Gross_USD!I32</f>
        <v>6686</v>
      </c>
      <c r="BS34" s="53" t="n">
        <f aca="false">BR34*(1-0.25)</f>
        <v>5014.5</v>
      </c>
      <c r="BT34" s="54" t="n">
        <f aca="false">BR34*0+0</f>
        <v>0</v>
      </c>
      <c r="BU34" s="55" t="n">
        <f aca="false">BR34+BT34</f>
        <v>6686</v>
      </c>
      <c r="BV34" s="56" t="n">
        <f aca="false">IF(BR34&gt;0,BT34/BR34,0)</f>
        <v>0</v>
      </c>
      <c r="BW34" s="57" t="n">
        <f aca="false">2_Market_Gross_USD!I32</f>
        <v>6686</v>
      </c>
      <c r="BX34" s="53" t="n">
        <f aca="false">BW34*(1-0.4785)</f>
        <v>3486.749</v>
      </c>
      <c r="BY34" s="54" t="n">
        <f aca="false">BW34*0.21+500</f>
        <v>1904.06</v>
      </c>
      <c r="BZ34" s="55" t="n">
        <f aca="false">BW34+BY34</f>
        <v>8590.06</v>
      </c>
      <c r="CA34" s="56" t="n">
        <f aca="false">IF(BW34&gt;0,BY34/BW34,0)</f>
        <v>0.284783128926114</v>
      </c>
      <c r="CB34" s="57" t="n">
        <f aca="false">2_Market_Gross_USD!J32</f>
        <v>7156</v>
      </c>
      <c r="CC34" s="53" t="n">
        <f aca="false">CB34*(1-0.3697)</f>
        <v>4510.4268</v>
      </c>
      <c r="CD34" s="54" t="n">
        <f aca="false">CB34*0.2+0</f>
        <v>1431.2</v>
      </c>
      <c r="CE34" s="55" t="n">
        <f aca="false">CB34+CD34</f>
        <v>8587.2</v>
      </c>
      <c r="CF34" s="56" t="n">
        <f aca="false">IF(CB34&gt;0,CD34/CB34,0)</f>
        <v>0.2</v>
      </c>
      <c r="CG34" s="57" t="n">
        <f aca="false">2_Market_Gross_USD!J32</f>
        <v>7156</v>
      </c>
      <c r="CH34" s="53" t="n">
        <f aca="false">CG34*(1-0.3697)</f>
        <v>4510.4268</v>
      </c>
      <c r="CI34" s="54" t="n">
        <f aca="false">CG34*0+0</f>
        <v>0</v>
      </c>
      <c r="CJ34" s="55" t="n">
        <f aca="false">CG34+CI34</f>
        <v>7156</v>
      </c>
      <c r="CK34" s="56" t="n">
        <f aca="false">IF(CG34&gt;0,CI34/CG34,0)</f>
        <v>0</v>
      </c>
      <c r="CL34" s="57" t="n">
        <f aca="false">2_Market_Gross_USD!J32</f>
        <v>7156</v>
      </c>
      <c r="CM34" s="53" t="n">
        <f aca="false">CL34*(1-0.3697)</f>
        <v>4510.4268</v>
      </c>
      <c r="CN34" s="54" t="n">
        <f aca="false">CL34*0.2+500</f>
        <v>1931.2</v>
      </c>
      <c r="CO34" s="55" t="n">
        <f aca="false">CL34+CN34</f>
        <v>9087.2</v>
      </c>
      <c r="CP34" s="56" t="n">
        <f aca="false">IF(CL34&gt;0,CN34/CL34,0)</f>
        <v>0.269871436556736</v>
      </c>
      <c r="CQ34" s="57" t="n">
        <f aca="false">2_Market_Gross_USD!K32</f>
        <v>3202</v>
      </c>
      <c r="CR34" s="53" t="n">
        <f aca="false">CQ34*(1-0.26)</f>
        <v>2369.48</v>
      </c>
      <c r="CS34" s="54" t="n">
        <f aca="false">CQ34*0.338+0</f>
        <v>1082.276</v>
      </c>
      <c r="CT34" s="55" t="n">
        <f aca="false">CQ34+CS34</f>
        <v>4284.276</v>
      </c>
      <c r="CU34" s="56" t="n">
        <f aca="false">IF(CQ34&gt;0,CS34/CQ34,0)</f>
        <v>0.338</v>
      </c>
      <c r="CV34" s="57" t="n">
        <f aca="false">2_Market_Gross_USD!K32</f>
        <v>3202</v>
      </c>
      <c r="CW34" s="53" t="n">
        <f aca="false">CV34*(1-0.15)</f>
        <v>2721.7</v>
      </c>
      <c r="CX34" s="54" t="n">
        <f aca="false">CV34*0+0</f>
        <v>0</v>
      </c>
      <c r="CY34" s="55" t="n">
        <f aca="false">CV34+CX34</f>
        <v>3202</v>
      </c>
      <c r="CZ34" s="56" t="n">
        <f aca="false">IF(CV34&gt;0,CX34/CV34,0)</f>
        <v>0</v>
      </c>
      <c r="DA34" s="57" t="n">
        <f aca="false">2_Market_Gross_USD!K32</f>
        <v>3202</v>
      </c>
      <c r="DB34" s="53" t="n">
        <f aca="false">DA34*(1-0.26)</f>
        <v>2369.48</v>
      </c>
      <c r="DC34" s="54" t="n">
        <f aca="false">DA34*0.338+500</f>
        <v>1582.276</v>
      </c>
      <c r="DD34" s="55" t="n">
        <f aca="false">DA34+DC34</f>
        <v>4784.276</v>
      </c>
      <c r="DE34" s="56" t="n">
        <f aca="false">IF(DA34&gt;0,DC34/DA34,0)</f>
        <v>0.494152404747033</v>
      </c>
      <c r="DF34" s="57" t="n">
        <f aca="false">2_Market_Gross_USD!L32</f>
        <v>4520</v>
      </c>
      <c r="DG34" s="53" t="n">
        <f aca="false">DF34*(1-0.34)</f>
        <v>2983.2</v>
      </c>
      <c r="DH34" s="54" t="n">
        <f aca="false">DF34*0.2375+0</f>
        <v>1073.5</v>
      </c>
      <c r="DI34" s="55" t="n">
        <f aca="false">DF34+DH34</f>
        <v>5593.5</v>
      </c>
      <c r="DJ34" s="56" t="n">
        <f aca="false">IF(DF34&gt;0,DH34/DF34,0)</f>
        <v>0.2375</v>
      </c>
      <c r="DK34" s="57" t="n">
        <f aca="false">2_Market_Gross_USD!L32</f>
        <v>4520</v>
      </c>
      <c r="DL34" s="53" t="n">
        <f aca="false">DK34*(1-0.2)</f>
        <v>3616</v>
      </c>
      <c r="DM34" s="54" t="n">
        <f aca="false">DK34*0+0</f>
        <v>0</v>
      </c>
      <c r="DN34" s="55" t="n">
        <f aca="false">DK34+DM34</f>
        <v>4520</v>
      </c>
      <c r="DO34" s="56" t="n">
        <f aca="false">IF(DK34&gt;0,DM34/DK34,0)</f>
        <v>0</v>
      </c>
      <c r="DP34" s="57" t="n">
        <f aca="false">2_Market_Gross_USD!L32</f>
        <v>4520</v>
      </c>
      <c r="DQ34" s="53" t="n">
        <f aca="false">DP34*(1-0.34)</f>
        <v>2983.2</v>
      </c>
      <c r="DR34" s="54" t="n">
        <f aca="false">DP34*0.2375+500</f>
        <v>1573.5</v>
      </c>
      <c r="DS34" s="55" t="n">
        <f aca="false">DP34+DR34</f>
        <v>6093.5</v>
      </c>
      <c r="DT34" s="56" t="n">
        <f aca="false">IF(DP34&gt;0,DR34/DP34,0)</f>
        <v>0.348119469026549</v>
      </c>
      <c r="DU34" s="57" t="n">
        <f aca="false">2_Market_Gross_USD!M32</f>
        <v>2750</v>
      </c>
      <c r="DV34" s="53" t="n">
        <f aca="false">DU34*0.65</f>
        <v>1787.5</v>
      </c>
      <c r="DW34" s="54" t="n">
        <f aca="false">DU34*0.0225+0</f>
        <v>61.875</v>
      </c>
      <c r="DX34" s="55" t="n">
        <f aca="false">DU34+DW34</f>
        <v>2811.875</v>
      </c>
      <c r="DY34" s="56" t="n">
        <f aca="false">IF(DU34&gt;0,DW34/DU34,0)</f>
        <v>0.0225</v>
      </c>
      <c r="DZ34" s="57" t="n">
        <f aca="false">2_Market_Gross_USD!M32</f>
        <v>2750</v>
      </c>
      <c r="EA34" s="53" t="n">
        <f aca="false">DZ34*(1-0.01)</f>
        <v>2722.5</v>
      </c>
      <c r="EB34" s="54" t="n">
        <f aca="false">DZ34*0+0</f>
        <v>0</v>
      </c>
      <c r="EC34" s="55" t="n">
        <f aca="false">DZ34+EB34</f>
        <v>2750</v>
      </c>
      <c r="ED34" s="56" t="n">
        <f aca="false">IF(DZ34&gt;0,EB34/DZ34,0)</f>
        <v>0</v>
      </c>
      <c r="EE34" s="57" t="n">
        <f aca="false">2_Market_Gross_USD!M32</f>
        <v>2750</v>
      </c>
      <c r="EF34" s="53" t="n">
        <f aca="false">EE34*0.65</f>
        <v>1787.5</v>
      </c>
      <c r="EG34" s="54" t="n">
        <f aca="false">EE34*0.0225+500</f>
        <v>561.875</v>
      </c>
      <c r="EH34" s="55" t="n">
        <f aca="false">EE34+EG34</f>
        <v>3311.875</v>
      </c>
      <c r="EI34" s="56" t="n">
        <f aca="false">IF(EE34&gt;0,EG34/EE34,0)</f>
        <v>0.204318181818182</v>
      </c>
    </row>
    <row r="35" customFormat="false" ht="15" hidden="false" customHeight="false" outlineLevel="0" collapsed="false">
      <c r="A35" s="41" t="n">
        <v>30</v>
      </c>
      <c r="B35" s="28" t="s">
        <v>266</v>
      </c>
      <c r="C35" s="8" t="s">
        <v>267</v>
      </c>
      <c r="D35" s="42" t="s">
        <v>249</v>
      </c>
      <c r="E35" s="52" t="n">
        <f aca="false">2_Market_Gross_USD!E33</f>
        <v>4775</v>
      </c>
      <c r="F35" s="53" t="n">
        <f aca="false">E35*(1-0.065)</f>
        <v>4464.625</v>
      </c>
      <c r="G35" s="58" t="n">
        <f aca="false">E35*0+35</f>
        <v>35</v>
      </c>
      <c r="H35" s="55" t="n">
        <f aca="false">E35+G35</f>
        <v>4810</v>
      </c>
      <c r="I35" s="59" t="n">
        <f aca="false">IF(E35&gt;0,G35/E35,0)</f>
        <v>0.00732984293193717</v>
      </c>
      <c r="J35" s="52" t="n">
        <f aca="false">2_Market_Gross_USD!E33</f>
        <v>4775</v>
      </c>
      <c r="K35" s="53" t="n">
        <f aca="false">J35*(1-0.065)</f>
        <v>4464.625</v>
      </c>
      <c r="L35" s="58" t="n">
        <f aca="false">J35*0+40</f>
        <v>40</v>
      </c>
      <c r="M35" s="55" t="n">
        <f aca="false">J35+L35</f>
        <v>4815</v>
      </c>
      <c r="N35" s="59" t="n">
        <f aca="false">IF(J35&gt;0,L35/J35,0)</f>
        <v>0.00837696335078534</v>
      </c>
      <c r="O35" s="52" t="n">
        <f aca="false">2_Market_Gross_USD!E33</f>
        <v>4775</v>
      </c>
      <c r="P35" s="53" t="n">
        <f aca="false">O35*(1-0.195)</f>
        <v>3843.875</v>
      </c>
      <c r="Q35" s="58" t="n">
        <f aca="false">IF(O35&gt;=3886,3886*0.22,O35*0.22)</f>
        <v>854.92</v>
      </c>
      <c r="R35" s="55" t="n">
        <f aca="false">O35+Q35</f>
        <v>5629.92</v>
      </c>
      <c r="S35" s="59" t="n">
        <f aca="false">IF(O35&gt;0,Q35/O35,0)</f>
        <v>0.179040837696335</v>
      </c>
      <c r="T35" s="60" t="n">
        <f aca="false">2_Market_Gross_USD!F33</f>
        <v>6885</v>
      </c>
      <c r="U35" s="53" t="n">
        <f aca="false">T35*(1-0.2571)</f>
        <v>5114.8665</v>
      </c>
      <c r="V35" s="58" t="n">
        <f aca="false">T35*0.2038+0</f>
        <v>1403.163</v>
      </c>
      <c r="W35" s="55" t="n">
        <f aca="false">T35+V35</f>
        <v>8288.163</v>
      </c>
      <c r="X35" s="59" t="n">
        <f aca="false">IF(T35&gt;0,V35/T35,0)</f>
        <v>0.2038</v>
      </c>
      <c r="Y35" s="60" t="n">
        <f aca="false">2_Market_Gross_USD!F33</f>
        <v>6885</v>
      </c>
      <c r="Z35" s="53" t="n">
        <f aca="false">Y35*(1-0.12)</f>
        <v>6058.8</v>
      </c>
      <c r="AA35" s="58" t="n">
        <f aca="false">Y35*0+0</f>
        <v>0</v>
      </c>
      <c r="AB35" s="55" t="n">
        <f aca="false">Y35+AA35</f>
        <v>6885</v>
      </c>
      <c r="AC35" s="59" t="n">
        <f aca="false">IF(Y35&gt;0,AA35/Y35,0)</f>
        <v>0</v>
      </c>
      <c r="AD35" s="60" t="n">
        <f aca="false">2_Market_Gross_USD!F33</f>
        <v>6885</v>
      </c>
      <c r="AE35" s="53" t="n">
        <f aca="false">AD35*(1-0.2571)</f>
        <v>5114.8665</v>
      </c>
      <c r="AF35" s="58" t="n">
        <f aca="false">AD35*0.2038+500</f>
        <v>1903.163</v>
      </c>
      <c r="AG35" s="55" t="n">
        <f aca="false">AD35+AF35</f>
        <v>8788.163</v>
      </c>
      <c r="AH35" s="59" t="n">
        <f aca="false">IF(AD35&gt;0,AF35/AD35,0)</f>
        <v>0.276421641249092</v>
      </c>
      <c r="AI35" s="60" t="n">
        <f aca="false">2_Market_Gross_USD!G33</f>
        <v>9525</v>
      </c>
      <c r="AJ35" s="53" t="n">
        <f aca="false">AI35*(1-0.28)</f>
        <v>6858</v>
      </c>
      <c r="AK35" s="58" t="n">
        <f aca="false">AI35*0.15+0</f>
        <v>1428.75</v>
      </c>
      <c r="AL35" s="55" t="n">
        <f aca="false">AI35+AK35</f>
        <v>10953.75</v>
      </c>
      <c r="AM35" s="59" t="n">
        <f aca="false">IF(AI35&gt;0,AK35/AI35,0)</f>
        <v>0.15</v>
      </c>
      <c r="AN35" s="60" t="n">
        <f aca="false">2_Market_Gross_USD!G33</f>
        <v>9525</v>
      </c>
      <c r="AO35" s="53" t="n">
        <f aca="false">AN35*(1-0.19)</f>
        <v>7715.25</v>
      </c>
      <c r="AP35" s="58" t="n">
        <f aca="false">AN35*0+0</f>
        <v>0</v>
      </c>
      <c r="AQ35" s="55" t="n">
        <f aca="false">AN35+AP35</f>
        <v>9525</v>
      </c>
      <c r="AR35" s="59" t="n">
        <f aca="false">IF(AN35&gt;0,AP35/AN35,0)</f>
        <v>0</v>
      </c>
      <c r="AS35" s="60" t="n">
        <f aca="false">2_Market_Gross_USD!G33</f>
        <v>9525</v>
      </c>
      <c r="AT35" s="53" t="n">
        <f aca="false">AS35*(1-0.28)</f>
        <v>6858</v>
      </c>
      <c r="AU35" s="58" t="n">
        <f aca="false">AS35*0.15+500</f>
        <v>1928.75</v>
      </c>
      <c r="AV35" s="55" t="n">
        <f aca="false">AS35+AU35</f>
        <v>11453.75</v>
      </c>
      <c r="AW35" s="59" t="n">
        <f aca="false">IF(AS35&gt;0,AU35/AS35,0)</f>
        <v>0.20249343832021</v>
      </c>
      <c r="AX35" s="60" t="n">
        <f aca="false">2_Market_Gross_USD!H33</f>
        <v>15725</v>
      </c>
      <c r="AY35" s="53" t="n">
        <f aca="false">AX35*(1-0.2965)</f>
        <v>11062.5375</v>
      </c>
      <c r="AZ35" s="58" t="n">
        <f aca="false">AX35*0.11+0</f>
        <v>1729.75</v>
      </c>
      <c r="BA35" s="55" t="n">
        <f aca="false">AX35+AZ35</f>
        <v>17454.75</v>
      </c>
      <c r="BB35" s="59" t="n">
        <f aca="false">IF(AX35&gt;0,AZ35/AX35,0)</f>
        <v>0.11</v>
      </c>
      <c r="BC35" s="60" t="n">
        <f aca="false">2_Market_Gross_USD!H33</f>
        <v>15725</v>
      </c>
      <c r="BD35" s="53" t="n">
        <f aca="false">BC35*(1-0.373)</f>
        <v>9859.575</v>
      </c>
      <c r="BE35" s="58" t="n">
        <f aca="false">BC35*0+0</f>
        <v>0</v>
      </c>
      <c r="BF35" s="55" t="n">
        <f aca="false">BC35+BE35</f>
        <v>15725</v>
      </c>
      <c r="BG35" s="59" t="n">
        <f aca="false">IF(BC35&gt;0,BE35/BC35,0)</f>
        <v>0</v>
      </c>
      <c r="BH35" s="60" t="n">
        <f aca="false">2_Market_Gross_USD!H33</f>
        <v>15725</v>
      </c>
      <c r="BI35" s="53" t="n">
        <f aca="false">BH35*(1-0.2965)</f>
        <v>11062.5375</v>
      </c>
      <c r="BJ35" s="58" t="n">
        <f aca="false">BH35*0.11+500</f>
        <v>2229.75</v>
      </c>
      <c r="BK35" s="55" t="n">
        <f aca="false">BH35+BJ35</f>
        <v>17954.75</v>
      </c>
      <c r="BL35" s="59" t="n">
        <f aca="false">IF(BH35&gt;0,BJ35/BH35,0)</f>
        <v>0.141796502384738</v>
      </c>
      <c r="BM35" s="60" t="n">
        <f aca="false">2_Market_Gross_USD!I33</f>
        <v>9605</v>
      </c>
      <c r="BN35" s="53" t="n">
        <f aca="false">BM35*(1-0.4785)</f>
        <v>5009.0075</v>
      </c>
      <c r="BO35" s="58" t="n">
        <f aca="false">BM35*0.21+0</f>
        <v>2017.05</v>
      </c>
      <c r="BP35" s="55" t="n">
        <f aca="false">BM35+BO35</f>
        <v>11622.05</v>
      </c>
      <c r="BQ35" s="59" t="n">
        <f aca="false">IF(BM35&gt;0,BO35/BM35,0)</f>
        <v>0.21</v>
      </c>
      <c r="BR35" s="60" t="n">
        <f aca="false">2_Market_Gross_USD!I33</f>
        <v>9605</v>
      </c>
      <c r="BS35" s="53" t="n">
        <f aca="false">BR35*(1-0.25)</f>
        <v>7203.75</v>
      </c>
      <c r="BT35" s="58" t="n">
        <f aca="false">BR35*0+0</f>
        <v>0</v>
      </c>
      <c r="BU35" s="55" t="n">
        <f aca="false">BR35+BT35</f>
        <v>9605</v>
      </c>
      <c r="BV35" s="59" t="n">
        <f aca="false">IF(BR35&gt;0,BT35/BR35,0)</f>
        <v>0</v>
      </c>
      <c r="BW35" s="60" t="n">
        <f aca="false">2_Market_Gross_USD!I33</f>
        <v>9605</v>
      </c>
      <c r="BX35" s="53" t="n">
        <f aca="false">BW35*(1-0.4785)</f>
        <v>5009.0075</v>
      </c>
      <c r="BY35" s="58" t="n">
        <f aca="false">BW35*0.21+500</f>
        <v>2517.05</v>
      </c>
      <c r="BZ35" s="55" t="n">
        <f aca="false">BW35+BY35</f>
        <v>12122.05</v>
      </c>
      <c r="CA35" s="59" t="n">
        <f aca="false">IF(BW35&gt;0,BY35/BW35,0)</f>
        <v>0.262056220718376</v>
      </c>
      <c r="CB35" s="60" t="n">
        <f aca="false">2_Market_Gross_USD!J33</f>
        <v>10359</v>
      </c>
      <c r="CC35" s="53" t="n">
        <f aca="false">CB35*(1-0.3697)</f>
        <v>6529.2777</v>
      </c>
      <c r="CD35" s="58" t="n">
        <f aca="false">CB35*0.2+0</f>
        <v>2071.8</v>
      </c>
      <c r="CE35" s="55" t="n">
        <f aca="false">CB35+CD35</f>
        <v>12430.8</v>
      </c>
      <c r="CF35" s="59" t="n">
        <f aca="false">IF(CB35&gt;0,CD35/CB35,0)</f>
        <v>0.2</v>
      </c>
      <c r="CG35" s="60" t="n">
        <f aca="false">2_Market_Gross_USD!J33</f>
        <v>10359</v>
      </c>
      <c r="CH35" s="53" t="n">
        <f aca="false">CG35*(1-0.3697)</f>
        <v>6529.2777</v>
      </c>
      <c r="CI35" s="58" t="n">
        <f aca="false">CG35*0+0</f>
        <v>0</v>
      </c>
      <c r="CJ35" s="55" t="n">
        <f aca="false">CG35+CI35</f>
        <v>10359</v>
      </c>
      <c r="CK35" s="59" t="n">
        <f aca="false">IF(CG35&gt;0,CI35/CG35,0)</f>
        <v>0</v>
      </c>
      <c r="CL35" s="60" t="n">
        <f aca="false">2_Market_Gross_USD!J33</f>
        <v>10359</v>
      </c>
      <c r="CM35" s="53" t="n">
        <f aca="false">CL35*(1-0.3697)</f>
        <v>6529.2777</v>
      </c>
      <c r="CN35" s="58" t="n">
        <f aca="false">CL35*0.2+500</f>
        <v>2571.8</v>
      </c>
      <c r="CO35" s="55" t="n">
        <f aca="false">CL35+CN35</f>
        <v>12930.8</v>
      </c>
      <c r="CP35" s="59" t="n">
        <f aca="false">IF(CL35&gt;0,CN35/CL35,0)</f>
        <v>0.248267207259388</v>
      </c>
      <c r="CQ35" s="60" t="n">
        <f aca="false">2_Market_Gross_USD!K33</f>
        <v>5121</v>
      </c>
      <c r="CR35" s="53" t="n">
        <f aca="false">CQ35*(1-0.26)</f>
        <v>3789.54</v>
      </c>
      <c r="CS35" s="58" t="n">
        <f aca="false">CQ35*0.338+0</f>
        <v>1730.898</v>
      </c>
      <c r="CT35" s="55" t="n">
        <f aca="false">CQ35+CS35</f>
        <v>6851.898</v>
      </c>
      <c r="CU35" s="59" t="n">
        <f aca="false">IF(CQ35&gt;0,CS35/CQ35,0)</f>
        <v>0.338</v>
      </c>
      <c r="CV35" s="60" t="n">
        <f aca="false">2_Market_Gross_USD!K33</f>
        <v>5121</v>
      </c>
      <c r="CW35" s="53" t="n">
        <f aca="false">CV35*(1-0.15)</f>
        <v>4352.85</v>
      </c>
      <c r="CX35" s="58" t="n">
        <f aca="false">CV35*0+0</f>
        <v>0</v>
      </c>
      <c r="CY35" s="55" t="n">
        <f aca="false">CV35+CX35</f>
        <v>5121</v>
      </c>
      <c r="CZ35" s="59" t="n">
        <f aca="false">IF(CV35&gt;0,CX35/CV35,0)</f>
        <v>0</v>
      </c>
      <c r="DA35" s="60" t="n">
        <f aca="false">2_Market_Gross_USD!K33</f>
        <v>5121</v>
      </c>
      <c r="DB35" s="53" t="n">
        <f aca="false">DA35*(1-0.26)</f>
        <v>3789.54</v>
      </c>
      <c r="DC35" s="58" t="n">
        <f aca="false">DA35*0.338+500</f>
        <v>2230.898</v>
      </c>
      <c r="DD35" s="55" t="n">
        <f aca="false">DA35+DC35</f>
        <v>7351.898</v>
      </c>
      <c r="DE35" s="59" t="n">
        <f aca="false">IF(DA35&gt;0,DC35/DA35,0)</f>
        <v>0.435637180238235</v>
      </c>
      <c r="DF35" s="60" t="n">
        <f aca="false">2_Market_Gross_USD!L33</f>
        <v>6780</v>
      </c>
      <c r="DG35" s="53" t="n">
        <f aca="false">DF35*(1-0.34)</f>
        <v>4474.8</v>
      </c>
      <c r="DH35" s="58" t="n">
        <f aca="false">DF35*0.2375+0</f>
        <v>1610.25</v>
      </c>
      <c r="DI35" s="55" t="n">
        <f aca="false">DF35+DH35</f>
        <v>8390.25</v>
      </c>
      <c r="DJ35" s="59" t="n">
        <f aca="false">IF(DF35&gt;0,DH35/DF35,0)</f>
        <v>0.2375</v>
      </c>
      <c r="DK35" s="60" t="n">
        <f aca="false">2_Market_Gross_USD!L33</f>
        <v>6780</v>
      </c>
      <c r="DL35" s="53" t="n">
        <f aca="false">DK35*(1-0.2)</f>
        <v>5424</v>
      </c>
      <c r="DM35" s="58" t="n">
        <f aca="false">DK35*0+0</f>
        <v>0</v>
      </c>
      <c r="DN35" s="55" t="n">
        <f aca="false">DK35+DM35</f>
        <v>6780</v>
      </c>
      <c r="DO35" s="59" t="n">
        <f aca="false">IF(DK35&gt;0,DM35/DK35,0)</f>
        <v>0</v>
      </c>
      <c r="DP35" s="60" t="n">
        <f aca="false">2_Market_Gross_USD!L33</f>
        <v>6780</v>
      </c>
      <c r="DQ35" s="53" t="n">
        <f aca="false">DP35*(1-0.34)</f>
        <v>4474.8</v>
      </c>
      <c r="DR35" s="58" t="n">
        <f aca="false">DP35*0.2375+500</f>
        <v>2110.25</v>
      </c>
      <c r="DS35" s="55" t="n">
        <f aca="false">DP35+DR35</f>
        <v>8890.25</v>
      </c>
      <c r="DT35" s="59" t="n">
        <f aca="false">IF(DP35&gt;0,DR35/DP35,0)</f>
        <v>0.311246312684366</v>
      </c>
      <c r="DU35" s="60" t="n">
        <f aca="false">2_Market_Gross_USD!M33</f>
        <v>4480</v>
      </c>
      <c r="DV35" s="53" t="n">
        <f aca="false">DU35*0.65</f>
        <v>2912</v>
      </c>
      <c r="DW35" s="58" t="n">
        <f aca="false">DU35*0.0225+0</f>
        <v>100.8</v>
      </c>
      <c r="DX35" s="55" t="n">
        <f aca="false">DU35+DW35</f>
        <v>4580.8</v>
      </c>
      <c r="DY35" s="59" t="n">
        <f aca="false">IF(DU35&gt;0,DW35/DU35,0)</f>
        <v>0.0225</v>
      </c>
      <c r="DZ35" s="60" t="n">
        <f aca="false">2_Market_Gross_USD!M33</f>
        <v>4480</v>
      </c>
      <c r="EA35" s="53" t="n">
        <f aca="false">DZ35*(1-0.01)</f>
        <v>4435.2</v>
      </c>
      <c r="EB35" s="58" t="n">
        <f aca="false">DZ35*0+0</f>
        <v>0</v>
      </c>
      <c r="EC35" s="55" t="n">
        <f aca="false">DZ35+EB35</f>
        <v>4480</v>
      </c>
      <c r="ED35" s="59" t="n">
        <f aca="false">IF(DZ35&gt;0,EB35/DZ35,0)</f>
        <v>0</v>
      </c>
      <c r="EE35" s="60" t="n">
        <f aca="false">2_Market_Gross_USD!M33</f>
        <v>4480</v>
      </c>
      <c r="EF35" s="53" t="n">
        <f aca="false">EE35*0.65</f>
        <v>2912</v>
      </c>
      <c r="EG35" s="58" t="n">
        <f aca="false">EE35*0.0225+500</f>
        <v>600.8</v>
      </c>
      <c r="EH35" s="55" t="n">
        <f aca="false">EE35+EG35</f>
        <v>5080.8</v>
      </c>
      <c r="EI35" s="59" t="n">
        <f aca="false">IF(EE35&gt;0,EG35/EE35,0)</f>
        <v>0.134107142857143</v>
      </c>
    </row>
    <row r="36" customFormat="false" ht="15" hidden="false" customHeight="false" outlineLevel="0" collapsed="false">
      <c r="A36" s="37" t="n">
        <v>31</v>
      </c>
      <c r="B36" s="32" t="s">
        <v>268</v>
      </c>
      <c r="C36" s="32" t="s">
        <v>269</v>
      </c>
      <c r="D36" s="38" t="s">
        <v>248</v>
      </c>
      <c r="E36" s="52" t="n">
        <f aca="false">2_Market_Gross_USD!E34</f>
        <v>1400</v>
      </c>
      <c r="F36" s="53" t="n">
        <f aca="false">E36*(1-0.065)</f>
        <v>1309</v>
      </c>
      <c r="G36" s="54" t="n">
        <f aca="false">E36*0+35</f>
        <v>35</v>
      </c>
      <c r="H36" s="55" t="n">
        <f aca="false">E36+G36</f>
        <v>1435</v>
      </c>
      <c r="I36" s="56" t="n">
        <f aca="false">IF(E36&gt;0,G36/E36,0)</f>
        <v>0.025</v>
      </c>
      <c r="J36" s="52" t="n">
        <f aca="false">2_Market_Gross_USD!E34</f>
        <v>1400</v>
      </c>
      <c r="K36" s="53" t="n">
        <f aca="false">J36*(1-0.065)</f>
        <v>1309</v>
      </c>
      <c r="L36" s="54" t="n">
        <f aca="false">J36*0+40</f>
        <v>40</v>
      </c>
      <c r="M36" s="55" t="n">
        <f aca="false">J36+L36</f>
        <v>1440</v>
      </c>
      <c r="N36" s="56" t="n">
        <f aca="false">IF(J36&gt;0,L36/J36,0)</f>
        <v>0.0285714285714286</v>
      </c>
      <c r="O36" s="52" t="n">
        <f aca="false">2_Market_Gross_USD!E34</f>
        <v>1400</v>
      </c>
      <c r="P36" s="53" t="n">
        <f aca="false">O36*(1-0.195)</f>
        <v>1127</v>
      </c>
      <c r="Q36" s="54" t="n">
        <f aca="false">IF(O36&gt;=3886,3886*0.22,O36*0.22)</f>
        <v>308</v>
      </c>
      <c r="R36" s="55" t="n">
        <f aca="false">O36+Q36</f>
        <v>1708</v>
      </c>
      <c r="S36" s="56" t="n">
        <f aca="false">IF(O36&gt;0,Q36/O36,0)</f>
        <v>0.22</v>
      </c>
      <c r="T36" s="57" t="n">
        <f aca="false">2_Market_Gross_USD!F34</f>
        <v>3570</v>
      </c>
      <c r="U36" s="53" t="n">
        <f aca="false">T36*(1-0.2571)</f>
        <v>2652.153</v>
      </c>
      <c r="V36" s="54" t="n">
        <f aca="false">T36*0.2038+0</f>
        <v>727.566</v>
      </c>
      <c r="W36" s="55" t="n">
        <f aca="false">T36+V36</f>
        <v>4297.566</v>
      </c>
      <c r="X36" s="56" t="n">
        <f aca="false">IF(T36&gt;0,V36/T36,0)</f>
        <v>0.2038</v>
      </c>
      <c r="Y36" s="57" t="n">
        <f aca="false">2_Market_Gross_USD!F34</f>
        <v>3570</v>
      </c>
      <c r="Z36" s="53" t="n">
        <f aca="false">Y36*(1-0.12)</f>
        <v>3141.6</v>
      </c>
      <c r="AA36" s="54" t="n">
        <f aca="false">Y36*0+0</f>
        <v>0</v>
      </c>
      <c r="AB36" s="55" t="n">
        <f aca="false">Y36+AA36</f>
        <v>3570</v>
      </c>
      <c r="AC36" s="56" t="n">
        <f aca="false">IF(Y36&gt;0,AA36/Y36,0)</f>
        <v>0</v>
      </c>
      <c r="AD36" s="57" t="n">
        <f aca="false">2_Market_Gross_USD!F34</f>
        <v>3570</v>
      </c>
      <c r="AE36" s="53" t="n">
        <f aca="false">AD36*(1-0.2571)</f>
        <v>2652.153</v>
      </c>
      <c r="AF36" s="54" t="n">
        <f aca="false">AD36*0.2038+500</f>
        <v>1227.566</v>
      </c>
      <c r="AG36" s="55" t="n">
        <f aca="false">AD36+AF36</f>
        <v>4797.566</v>
      </c>
      <c r="AH36" s="56" t="n">
        <f aca="false">IF(AD36&gt;0,AF36/AD36,0)</f>
        <v>0.343856022408964</v>
      </c>
      <c r="AI36" s="57" t="n">
        <f aca="false">2_Market_Gross_USD!G34</f>
        <v>4763</v>
      </c>
      <c r="AJ36" s="53" t="n">
        <f aca="false">AI36*(1-0.28)</f>
        <v>3429.36</v>
      </c>
      <c r="AK36" s="54" t="n">
        <f aca="false">AI36*0.15+0</f>
        <v>714.45</v>
      </c>
      <c r="AL36" s="55" t="n">
        <f aca="false">AI36+AK36</f>
        <v>5477.45</v>
      </c>
      <c r="AM36" s="56" t="n">
        <f aca="false">IF(AI36&gt;0,AK36/AI36,0)</f>
        <v>0.15</v>
      </c>
      <c r="AN36" s="57" t="n">
        <f aca="false">2_Market_Gross_USD!G34</f>
        <v>4763</v>
      </c>
      <c r="AO36" s="53" t="n">
        <f aca="false">AN36*(1-0.19)</f>
        <v>3858.03</v>
      </c>
      <c r="AP36" s="54" t="n">
        <f aca="false">AN36*0+0</f>
        <v>0</v>
      </c>
      <c r="AQ36" s="55" t="n">
        <f aca="false">AN36+AP36</f>
        <v>4763</v>
      </c>
      <c r="AR36" s="56" t="n">
        <f aca="false">IF(AN36&gt;0,AP36/AN36,0)</f>
        <v>0</v>
      </c>
      <c r="AS36" s="57" t="n">
        <f aca="false">2_Market_Gross_USD!G34</f>
        <v>4763</v>
      </c>
      <c r="AT36" s="53" t="n">
        <f aca="false">AS36*(1-0.28)</f>
        <v>3429.36</v>
      </c>
      <c r="AU36" s="54" t="n">
        <f aca="false">AS36*0.15+500</f>
        <v>1214.45</v>
      </c>
      <c r="AV36" s="55" t="n">
        <f aca="false">AS36+AU36</f>
        <v>5977.45</v>
      </c>
      <c r="AW36" s="56" t="n">
        <f aca="false">IF(AS36&gt;0,AU36/AS36,0)</f>
        <v>0.254975855553223</v>
      </c>
      <c r="AX36" s="57" t="n">
        <f aca="false">2_Market_Gross_USD!H34</f>
        <v>11000</v>
      </c>
      <c r="AY36" s="53" t="n">
        <f aca="false">AX36*(1-0.2965)</f>
        <v>7738.5</v>
      </c>
      <c r="AZ36" s="54" t="n">
        <f aca="false">AX36*0.11+0</f>
        <v>1210</v>
      </c>
      <c r="BA36" s="55" t="n">
        <f aca="false">AX36+AZ36</f>
        <v>12210</v>
      </c>
      <c r="BB36" s="56" t="n">
        <f aca="false">IF(AX36&gt;0,AZ36/AX36,0)</f>
        <v>0.11</v>
      </c>
      <c r="BC36" s="57" t="n">
        <f aca="false">2_Market_Gross_USD!H34</f>
        <v>11000</v>
      </c>
      <c r="BD36" s="53" t="n">
        <f aca="false">BC36*(1-0.373)</f>
        <v>6897</v>
      </c>
      <c r="BE36" s="54" t="n">
        <f aca="false">BC36*0+0</f>
        <v>0</v>
      </c>
      <c r="BF36" s="55" t="n">
        <f aca="false">BC36+BE36</f>
        <v>11000</v>
      </c>
      <c r="BG36" s="56" t="n">
        <f aca="false">IF(BC36&gt;0,BE36/BC36,0)</f>
        <v>0</v>
      </c>
      <c r="BH36" s="57" t="n">
        <f aca="false">2_Market_Gross_USD!H34</f>
        <v>11000</v>
      </c>
      <c r="BI36" s="53" t="n">
        <f aca="false">BH36*(1-0.2965)</f>
        <v>7738.5</v>
      </c>
      <c r="BJ36" s="54" t="n">
        <f aca="false">BH36*0.11+500</f>
        <v>1710</v>
      </c>
      <c r="BK36" s="55" t="n">
        <f aca="false">BH36+BJ36</f>
        <v>12710</v>
      </c>
      <c r="BL36" s="56" t="n">
        <f aca="false">IF(BH36&gt;0,BJ36/BH36,0)</f>
        <v>0.155454545454545</v>
      </c>
      <c r="BM36" s="57" t="n">
        <f aca="false">2_Market_Gross_USD!I34</f>
        <v>5274</v>
      </c>
      <c r="BN36" s="53" t="n">
        <f aca="false">BM36*(1-0.4785)</f>
        <v>2750.391</v>
      </c>
      <c r="BO36" s="54" t="n">
        <f aca="false">BM36*0.21+0</f>
        <v>1107.54</v>
      </c>
      <c r="BP36" s="55" t="n">
        <f aca="false">BM36+BO36</f>
        <v>6381.54</v>
      </c>
      <c r="BQ36" s="56" t="n">
        <f aca="false">IF(BM36&gt;0,BO36/BM36,0)</f>
        <v>0.21</v>
      </c>
      <c r="BR36" s="57" t="n">
        <f aca="false">2_Market_Gross_USD!I34</f>
        <v>5274</v>
      </c>
      <c r="BS36" s="53" t="n">
        <f aca="false">BR36*(1-0.25)</f>
        <v>3955.5</v>
      </c>
      <c r="BT36" s="54" t="n">
        <f aca="false">BR36*0+0</f>
        <v>0</v>
      </c>
      <c r="BU36" s="55" t="n">
        <f aca="false">BR36+BT36</f>
        <v>5274</v>
      </c>
      <c r="BV36" s="56" t="n">
        <f aca="false">IF(BR36&gt;0,BT36/BR36,0)</f>
        <v>0</v>
      </c>
      <c r="BW36" s="57" t="n">
        <f aca="false">2_Market_Gross_USD!I34</f>
        <v>5274</v>
      </c>
      <c r="BX36" s="53" t="n">
        <f aca="false">BW36*(1-0.4785)</f>
        <v>2750.391</v>
      </c>
      <c r="BY36" s="54" t="n">
        <f aca="false">BW36*0.21+500</f>
        <v>1607.54</v>
      </c>
      <c r="BZ36" s="55" t="n">
        <f aca="false">BW36+BY36</f>
        <v>6881.54</v>
      </c>
      <c r="CA36" s="56" t="n">
        <f aca="false">IF(BW36&gt;0,BY36/BW36,0)</f>
        <v>0.304804702313235</v>
      </c>
      <c r="CB36" s="57" t="n">
        <f aca="false">2_Market_Gross_USD!J34</f>
        <v>6121</v>
      </c>
      <c r="CC36" s="53" t="n">
        <f aca="false">CB36*(1-0.3697)</f>
        <v>3858.0663</v>
      </c>
      <c r="CD36" s="54" t="n">
        <f aca="false">CB36*0.2+0</f>
        <v>1224.2</v>
      </c>
      <c r="CE36" s="55" t="n">
        <f aca="false">CB36+CD36</f>
        <v>7345.2</v>
      </c>
      <c r="CF36" s="56" t="n">
        <f aca="false">IF(CB36&gt;0,CD36/CB36,0)</f>
        <v>0.2</v>
      </c>
      <c r="CG36" s="57" t="n">
        <f aca="false">2_Market_Gross_USD!J34</f>
        <v>6121</v>
      </c>
      <c r="CH36" s="53" t="n">
        <f aca="false">CG36*(1-0.3697)</f>
        <v>3858.0663</v>
      </c>
      <c r="CI36" s="54" t="n">
        <f aca="false">CG36*0+0</f>
        <v>0</v>
      </c>
      <c r="CJ36" s="55" t="n">
        <f aca="false">CG36+CI36</f>
        <v>6121</v>
      </c>
      <c r="CK36" s="56" t="n">
        <f aca="false">IF(CG36&gt;0,CI36/CG36,0)</f>
        <v>0</v>
      </c>
      <c r="CL36" s="57" t="n">
        <f aca="false">2_Market_Gross_USD!J34</f>
        <v>6121</v>
      </c>
      <c r="CM36" s="53" t="n">
        <f aca="false">CL36*(1-0.3697)</f>
        <v>3858.0663</v>
      </c>
      <c r="CN36" s="54" t="n">
        <f aca="false">CL36*0.2+500</f>
        <v>1724.2</v>
      </c>
      <c r="CO36" s="55" t="n">
        <f aca="false">CL36+CN36</f>
        <v>7845.2</v>
      </c>
      <c r="CP36" s="56" t="n">
        <f aca="false">IF(CL36&gt;0,CN36/CL36,0)</f>
        <v>0.281685999019768</v>
      </c>
      <c r="CQ36" s="57" t="n">
        <f aca="false">2_Market_Gross_USD!K34</f>
        <v>2668</v>
      </c>
      <c r="CR36" s="53" t="n">
        <f aca="false">CQ36*(1-0.26)</f>
        <v>1974.32</v>
      </c>
      <c r="CS36" s="54" t="n">
        <f aca="false">CQ36*0.338+0</f>
        <v>901.784</v>
      </c>
      <c r="CT36" s="55" t="n">
        <f aca="false">CQ36+CS36</f>
        <v>3569.784</v>
      </c>
      <c r="CU36" s="56" t="n">
        <f aca="false">IF(CQ36&gt;0,CS36/CQ36,0)</f>
        <v>0.338</v>
      </c>
      <c r="CV36" s="57" t="n">
        <f aca="false">2_Market_Gross_USD!K34</f>
        <v>2668</v>
      </c>
      <c r="CW36" s="53" t="n">
        <f aca="false">CV36*(1-0.15)</f>
        <v>2267.8</v>
      </c>
      <c r="CX36" s="54" t="n">
        <f aca="false">CV36*0+0</f>
        <v>0</v>
      </c>
      <c r="CY36" s="55" t="n">
        <f aca="false">CV36+CX36</f>
        <v>2668</v>
      </c>
      <c r="CZ36" s="56" t="n">
        <f aca="false">IF(CV36&gt;0,CX36/CV36,0)</f>
        <v>0</v>
      </c>
      <c r="DA36" s="57" t="n">
        <f aca="false">2_Market_Gross_USD!K34</f>
        <v>2668</v>
      </c>
      <c r="DB36" s="53" t="n">
        <f aca="false">DA36*(1-0.26)</f>
        <v>1974.32</v>
      </c>
      <c r="DC36" s="54" t="n">
        <f aca="false">DA36*0.338+500</f>
        <v>1401.784</v>
      </c>
      <c r="DD36" s="55" t="n">
        <f aca="false">DA36+DC36</f>
        <v>4069.784</v>
      </c>
      <c r="DE36" s="56" t="n">
        <f aca="false">IF(DA36&gt;0,DC36/DA36,0)</f>
        <v>0.525406296851574</v>
      </c>
      <c r="DF36" s="57" t="n">
        <f aca="false">2_Market_Gross_USD!L34</f>
        <v>3579</v>
      </c>
      <c r="DG36" s="53" t="n">
        <f aca="false">DF36*(1-0.34)</f>
        <v>2362.14</v>
      </c>
      <c r="DH36" s="54" t="n">
        <f aca="false">DF36*0.2375+0</f>
        <v>850.0125</v>
      </c>
      <c r="DI36" s="55" t="n">
        <f aca="false">DF36+DH36</f>
        <v>4429.0125</v>
      </c>
      <c r="DJ36" s="56" t="n">
        <f aca="false">IF(DF36&gt;0,DH36/DF36,0)</f>
        <v>0.2375</v>
      </c>
      <c r="DK36" s="57" t="n">
        <f aca="false">2_Market_Gross_USD!L34</f>
        <v>3579</v>
      </c>
      <c r="DL36" s="53" t="n">
        <f aca="false">DK36*(1-0.2)</f>
        <v>2863.2</v>
      </c>
      <c r="DM36" s="54" t="n">
        <f aca="false">DK36*0+0</f>
        <v>0</v>
      </c>
      <c r="DN36" s="55" t="n">
        <f aca="false">DK36+DM36</f>
        <v>3579</v>
      </c>
      <c r="DO36" s="56" t="n">
        <f aca="false">IF(DK36&gt;0,DM36/DK36,0)</f>
        <v>0</v>
      </c>
      <c r="DP36" s="57" t="n">
        <f aca="false">2_Market_Gross_USD!L34</f>
        <v>3579</v>
      </c>
      <c r="DQ36" s="53" t="n">
        <f aca="false">DP36*(1-0.34)</f>
        <v>2362.14</v>
      </c>
      <c r="DR36" s="54" t="n">
        <f aca="false">DP36*0.2375+500</f>
        <v>1350.0125</v>
      </c>
      <c r="DS36" s="55" t="n">
        <f aca="false">DP36+DR36</f>
        <v>4929.0125</v>
      </c>
      <c r="DT36" s="56" t="n">
        <f aca="false">IF(DP36&gt;0,DR36/DP36,0)</f>
        <v>0.377203827884884</v>
      </c>
      <c r="DU36" s="57" t="n">
        <f aca="false">2_Market_Gross_USD!M34</f>
        <v>2167</v>
      </c>
      <c r="DV36" s="53" t="n">
        <f aca="false">DU36*0.65</f>
        <v>1408.55</v>
      </c>
      <c r="DW36" s="54" t="n">
        <f aca="false">DU36*0.0225+0</f>
        <v>48.7575</v>
      </c>
      <c r="DX36" s="55" t="n">
        <f aca="false">DU36+DW36</f>
        <v>2215.7575</v>
      </c>
      <c r="DY36" s="56" t="n">
        <f aca="false">IF(DU36&gt;0,DW36/DU36,0)</f>
        <v>0.0225</v>
      </c>
      <c r="DZ36" s="57" t="n">
        <f aca="false">2_Market_Gross_USD!M34</f>
        <v>2167</v>
      </c>
      <c r="EA36" s="53" t="n">
        <f aca="false">DZ36*(1-0.01)</f>
        <v>2145.33</v>
      </c>
      <c r="EB36" s="54" t="n">
        <f aca="false">DZ36*0+0</f>
        <v>0</v>
      </c>
      <c r="EC36" s="55" t="n">
        <f aca="false">DZ36+EB36</f>
        <v>2167</v>
      </c>
      <c r="ED36" s="56" t="n">
        <f aca="false">IF(DZ36&gt;0,EB36/DZ36,0)</f>
        <v>0</v>
      </c>
      <c r="EE36" s="57" t="n">
        <f aca="false">2_Market_Gross_USD!M34</f>
        <v>2167</v>
      </c>
      <c r="EF36" s="53" t="n">
        <f aca="false">EE36*0.65</f>
        <v>1408.55</v>
      </c>
      <c r="EG36" s="54" t="n">
        <f aca="false">EE36*0.0225+500</f>
        <v>548.7575</v>
      </c>
      <c r="EH36" s="55" t="n">
        <f aca="false">EE36+EG36</f>
        <v>2715.7575</v>
      </c>
      <c r="EI36" s="56" t="n">
        <f aca="false">IF(EE36&gt;0,EG36/EE36,0)</f>
        <v>0.253233733271804</v>
      </c>
    </row>
    <row r="37" customFormat="false" ht="15" hidden="false" customHeight="false" outlineLevel="0" collapsed="false">
      <c r="A37" s="41" t="n">
        <v>32</v>
      </c>
      <c r="B37" s="28" t="s">
        <v>268</v>
      </c>
      <c r="C37" s="8" t="s">
        <v>269</v>
      </c>
      <c r="D37" s="42" t="s">
        <v>249</v>
      </c>
      <c r="E37" s="52" t="n">
        <f aca="false">2_Market_Gross_USD!E35</f>
        <v>3200</v>
      </c>
      <c r="F37" s="53" t="n">
        <f aca="false">E37*(1-0.065)</f>
        <v>2992</v>
      </c>
      <c r="G37" s="58" t="n">
        <f aca="false">E37*0+35</f>
        <v>35</v>
      </c>
      <c r="H37" s="55" t="n">
        <f aca="false">E37+G37</f>
        <v>3235</v>
      </c>
      <c r="I37" s="59" t="n">
        <f aca="false">IF(E37&gt;0,G37/E37,0)</f>
        <v>0.0109375</v>
      </c>
      <c r="J37" s="52" t="n">
        <f aca="false">2_Market_Gross_USD!E35</f>
        <v>3200</v>
      </c>
      <c r="K37" s="53" t="n">
        <f aca="false">J37*(1-0.065)</f>
        <v>2992</v>
      </c>
      <c r="L37" s="58" t="n">
        <f aca="false">J37*0+40</f>
        <v>40</v>
      </c>
      <c r="M37" s="55" t="n">
        <f aca="false">J37+L37</f>
        <v>3240</v>
      </c>
      <c r="N37" s="59" t="n">
        <f aca="false">IF(J37&gt;0,L37/J37,0)</f>
        <v>0.0125</v>
      </c>
      <c r="O37" s="52" t="n">
        <f aca="false">2_Market_Gross_USD!E35</f>
        <v>3200</v>
      </c>
      <c r="P37" s="53" t="n">
        <f aca="false">O37*(1-0.195)</f>
        <v>2576</v>
      </c>
      <c r="Q37" s="58" t="n">
        <f aca="false">IF(O37&gt;=3886,3886*0.22,O37*0.22)</f>
        <v>704</v>
      </c>
      <c r="R37" s="55" t="n">
        <f aca="false">O37+Q37</f>
        <v>3904</v>
      </c>
      <c r="S37" s="59" t="n">
        <f aca="false">IF(O37&gt;0,Q37/O37,0)</f>
        <v>0.22</v>
      </c>
      <c r="T37" s="60" t="n">
        <f aca="false">2_Market_Gross_USD!F35</f>
        <v>5100</v>
      </c>
      <c r="U37" s="53" t="n">
        <f aca="false">T37*(1-0.2571)</f>
        <v>3788.79</v>
      </c>
      <c r="V37" s="58" t="n">
        <f aca="false">T37*0.2038+0</f>
        <v>1039.38</v>
      </c>
      <c r="W37" s="55" t="n">
        <f aca="false">T37+V37</f>
        <v>6139.38</v>
      </c>
      <c r="X37" s="59" t="n">
        <f aca="false">IF(T37&gt;0,V37/T37,0)</f>
        <v>0.2038</v>
      </c>
      <c r="Y37" s="60" t="n">
        <f aca="false">2_Market_Gross_USD!F35</f>
        <v>5100</v>
      </c>
      <c r="Z37" s="53" t="n">
        <f aca="false">Y37*(1-0.12)</f>
        <v>4488</v>
      </c>
      <c r="AA37" s="58" t="n">
        <f aca="false">Y37*0+0</f>
        <v>0</v>
      </c>
      <c r="AB37" s="55" t="n">
        <f aca="false">Y37+AA37</f>
        <v>5100</v>
      </c>
      <c r="AC37" s="59" t="n">
        <f aca="false">IF(Y37&gt;0,AA37/Y37,0)</f>
        <v>0</v>
      </c>
      <c r="AD37" s="60" t="n">
        <f aca="false">2_Market_Gross_USD!F35</f>
        <v>5100</v>
      </c>
      <c r="AE37" s="53" t="n">
        <f aca="false">AD37*(1-0.2571)</f>
        <v>3788.79</v>
      </c>
      <c r="AF37" s="58" t="n">
        <f aca="false">AD37*0.2038+500</f>
        <v>1539.38</v>
      </c>
      <c r="AG37" s="55" t="n">
        <f aca="false">AD37+AF37</f>
        <v>6639.38</v>
      </c>
      <c r="AH37" s="59" t="n">
        <f aca="false">IF(AD37&gt;0,AF37/AD37,0)</f>
        <v>0.301839215686275</v>
      </c>
      <c r="AI37" s="60" t="n">
        <f aca="false">2_Market_Gross_USD!G35</f>
        <v>6879</v>
      </c>
      <c r="AJ37" s="53" t="n">
        <f aca="false">AI37*(1-0.28)</f>
        <v>4952.88</v>
      </c>
      <c r="AK37" s="58" t="n">
        <f aca="false">AI37*0.15+0</f>
        <v>1031.85</v>
      </c>
      <c r="AL37" s="55" t="n">
        <f aca="false">AI37+AK37</f>
        <v>7910.85</v>
      </c>
      <c r="AM37" s="59" t="n">
        <f aca="false">IF(AI37&gt;0,AK37/AI37,0)</f>
        <v>0.15</v>
      </c>
      <c r="AN37" s="60" t="n">
        <f aca="false">2_Market_Gross_USD!G35</f>
        <v>6879</v>
      </c>
      <c r="AO37" s="53" t="n">
        <f aca="false">AN37*(1-0.19)</f>
        <v>5571.99</v>
      </c>
      <c r="AP37" s="58" t="n">
        <f aca="false">AN37*0+0</f>
        <v>0</v>
      </c>
      <c r="AQ37" s="55" t="n">
        <f aca="false">AN37+AP37</f>
        <v>6879</v>
      </c>
      <c r="AR37" s="59" t="n">
        <f aca="false">IF(AN37&gt;0,AP37/AN37,0)</f>
        <v>0</v>
      </c>
      <c r="AS37" s="60" t="n">
        <f aca="false">2_Market_Gross_USD!G35</f>
        <v>6879</v>
      </c>
      <c r="AT37" s="53" t="n">
        <f aca="false">AS37*(1-0.28)</f>
        <v>4952.88</v>
      </c>
      <c r="AU37" s="58" t="n">
        <f aca="false">AS37*0.15+500</f>
        <v>1531.85</v>
      </c>
      <c r="AV37" s="55" t="n">
        <f aca="false">AS37+AU37</f>
        <v>8410.85</v>
      </c>
      <c r="AW37" s="59" t="n">
        <f aca="false">IF(AS37&gt;0,AU37/AS37,0)</f>
        <v>0.222684983282454</v>
      </c>
      <c r="AX37" s="60" t="n">
        <f aca="false">2_Market_Gross_USD!H35</f>
        <v>12750</v>
      </c>
      <c r="AY37" s="53" t="n">
        <f aca="false">AX37*(1-0.2965)</f>
        <v>8969.625</v>
      </c>
      <c r="AZ37" s="58" t="n">
        <f aca="false">AX37*0.11+0</f>
        <v>1402.5</v>
      </c>
      <c r="BA37" s="55" t="n">
        <f aca="false">AX37+AZ37</f>
        <v>14152.5</v>
      </c>
      <c r="BB37" s="59" t="n">
        <f aca="false">IF(AX37&gt;0,AZ37/AX37,0)</f>
        <v>0.11</v>
      </c>
      <c r="BC37" s="60" t="n">
        <f aca="false">2_Market_Gross_USD!H35</f>
        <v>12750</v>
      </c>
      <c r="BD37" s="53" t="n">
        <f aca="false">BC37*(1-0.373)</f>
        <v>7994.25</v>
      </c>
      <c r="BE37" s="58" t="n">
        <f aca="false">BC37*0+0</f>
        <v>0</v>
      </c>
      <c r="BF37" s="55" t="n">
        <f aca="false">BC37+BE37</f>
        <v>12750</v>
      </c>
      <c r="BG37" s="59" t="n">
        <f aca="false">IF(BC37&gt;0,BE37/BC37,0)</f>
        <v>0</v>
      </c>
      <c r="BH37" s="60" t="n">
        <f aca="false">2_Market_Gross_USD!H35</f>
        <v>12750</v>
      </c>
      <c r="BI37" s="53" t="n">
        <f aca="false">BH37*(1-0.2965)</f>
        <v>8969.625</v>
      </c>
      <c r="BJ37" s="58" t="n">
        <f aca="false">BH37*0.11+500</f>
        <v>1902.5</v>
      </c>
      <c r="BK37" s="55" t="n">
        <f aca="false">BH37+BJ37</f>
        <v>14652.5</v>
      </c>
      <c r="BL37" s="59" t="n">
        <f aca="false">IF(BH37&gt;0,BJ37/BH37,0)</f>
        <v>0.14921568627451</v>
      </c>
      <c r="BM37" s="60" t="n">
        <f aca="false">2_Market_Gross_USD!I35</f>
        <v>7345</v>
      </c>
      <c r="BN37" s="53" t="n">
        <f aca="false">BM37*(1-0.4785)</f>
        <v>3830.4175</v>
      </c>
      <c r="BO37" s="58" t="n">
        <f aca="false">BM37*0.21+0</f>
        <v>1542.45</v>
      </c>
      <c r="BP37" s="55" t="n">
        <f aca="false">BM37+BO37</f>
        <v>8887.45</v>
      </c>
      <c r="BQ37" s="59" t="n">
        <f aca="false">IF(BM37&gt;0,BO37/BM37,0)</f>
        <v>0.21</v>
      </c>
      <c r="BR37" s="60" t="n">
        <f aca="false">2_Market_Gross_USD!I35</f>
        <v>7345</v>
      </c>
      <c r="BS37" s="53" t="n">
        <f aca="false">BR37*(1-0.25)</f>
        <v>5508.75</v>
      </c>
      <c r="BT37" s="58" t="n">
        <f aca="false">BR37*0+0</f>
        <v>0</v>
      </c>
      <c r="BU37" s="55" t="n">
        <f aca="false">BR37+BT37</f>
        <v>7345</v>
      </c>
      <c r="BV37" s="59" t="n">
        <f aca="false">IF(BR37&gt;0,BT37/BR37,0)</f>
        <v>0</v>
      </c>
      <c r="BW37" s="60" t="n">
        <f aca="false">2_Market_Gross_USD!I35</f>
        <v>7345</v>
      </c>
      <c r="BX37" s="53" t="n">
        <f aca="false">BW37*(1-0.4785)</f>
        <v>3830.4175</v>
      </c>
      <c r="BY37" s="58" t="n">
        <f aca="false">BW37*0.21+500</f>
        <v>2042.45</v>
      </c>
      <c r="BZ37" s="55" t="n">
        <f aca="false">BW37+BY37</f>
        <v>9387.45</v>
      </c>
      <c r="CA37" s="59" t="n">
        <f aca="false">IF(BW37&gt;0,BY37/BW37,0)</f>
        <v>0.278073519400953</v>
      </c>
      <c r="CB37" s="60" t="n">
        <f aca="false">2_Market_Gross_USD!J35</f>
        <v>8475</v>
      </c>
      <c r="CC37" s="53" t="n">
        <f aca="false">CB37*(1-0.3697)</f>
        <v>5341.7925</v>
      </c>
      <c r="CD37" s="58" t="n">
        <f aca="false">CB37*0.2+0</f>
        <v>1695</v>
      </c>
      <c r="CE37" s="55" t="n">
        <f aca="false">CB37+CD37</f>
        <v>10170</v>
      </c>
      <c r="CF37" s="59" t="n">
        <f aca="false">IF(CB37&gt;0,CD37/CB37,0)</f>
        <v>0.2</v>
      </c>
      <c r="CG37" s="60" t="n">
        <f aca="false">2_Market_Gross_USD!J35</f>
        <v>8475</v>
      </c>
      <c r="CH37" s="53" t="n">
        <f aca="false">CG37*(1-0.3697)</f>
        <v>5341.7925</v>
      </c>
      <c r="CI37" s="58" t="n">
        <f aca="false">CG37*0+0</f>
        <v>0</v>
      </c>
      <c r="CJ37" s="55" t="n">
        <f aca="false">CG37+CI37</f>
        <v>8475</v>
      </c>
      <c r="CK37" s="59" t="n">
        <f aca="false">IF(CG37&gt;0,CI37/CG37,0)</f>
        <v>0</v>
      </c>
      <c r="CL37" s="60" t="n">
        <f aca="false">2_Market_Gross_USD!J35</f>
        <v>8475</v>
      </c>
      <c r="CM37" s="53" t="n">
        <f aca="false">CL37*(1-0.3697)</f>
        <v>5341.7925</v>
      </c>
      <c r="CN37" s="58" t="n">
        <f aca="false">CL37*0.2+500</f>
        <v>2195</v>
      </c>
      <c r="CO37" s="55" t="n">
        <f aca="false">CL37+CN37</f>
        <v>10670</v>
      </c>
      <c r="CP37" s="59" t="n">
        <f aca="false">IF(CL37&gt;0,CN37/CL37,0)</f>
        <v>0.258997050147493</v>
      </c>
      <c r="CQ37" s="60" t="n">
        <f aca="false">2_Market_Gross_USD!K35</f>
        <v>4119</v>
      </c>
      <c r="CR37" s="53" t="n">
        <f aca="false">CQ37*(1-0.26)</f>
        <v>3048.06</v>
      </c>
      <c r="CS37" s="58" t="n">
        <f aca="false">CQ37*0.338+0</f>
        <v>1392.222</v>
      </c>
      <c r="CT37" s="55" t="n">
        <f aca="false">CQ37+CS37</f>
        <v>5511.222</v>
      </c>
      <c r="CU37" s="59" t="n">
        <f aca="false">IF(CQ37&gt;0,CS37/CQ37,0)</f>
        <v>0.338</v>
      </c>
      <c r="CV37" s="60" t="n">
        <f aca="false">2_Market_Gross_USD!K35</f>
        <v>4119</v>
      </c>
      <c r="CW37" s="53" t="n">
        <f aca="false">CV37*(1-0.15)</f>
        <v>3501.15</v>
      </c>
      <c r="CX37" s="58" t="n">
        <f aca="false">CV37*0+0</f>
        <v>0</v>
      </c>
      <c r="CY37" s="55" t="n">
        <f aca="false">CV37+CX37</f>
        <v>4119</v>
      </c>
      <c r="CZ37" s="59" t="n">
        <f aca="false">IF(CV37&gt;0,CX37/CV37,0)</f>
        <v>0</v>
      </c>
      <c r="DA37" s="60" t="n">
        <f aca="false">2_Market_Gross_USD!K35</f>
        <v>4119</v>
      </c>
      <c r="DB37" s="53" t="n">
        <f aca="false">DA37*(1-0.26)</f>
        <v>3048.06</v>
      </c>
      <c r="DC37" s="58" t="n">
        <f aca="false">DA37*0.338+500</f>
        <v>1892.222</v>
      </c>
      <c r="DD37" s="55" t="n">
        <f aca="false">DA37+DC37</f>
        <v>6011.222</v>
      </c>
      <c r="DE37" s="59" t="n">
        <f aca="false">IF(DA37&gt;0,DC37/DA37,0)</f>
        <v>0.459388686574411</v>
      </c>
      <c r="DF37" s="60" t="n">
        <f aca="false">2_Market_Gross_USD!L35</f>
        <v>5461</v>
      </c>
      <c r="DG37" s="53" t="n">
        <f aca="false">DF37*(1-0.34)</f>
        <v>3604.26</v>
      </c>
      <c r="DH37" s="58" t="n">
        <f aca="false">DF37*0.2375+0</f>
        <v>1296.9875</v>
      </c>
      <c r="DI37" s="55" t="n">
        <f aca="false">DF37+DH37</f>
        <v>6757.9875</v>
      </c>
      <c r="DJ37" s="59" t="n">
        <f aca="false">IF(DF37&gt;0,DH37/DF37,0)</f>
        <v>0.2375</v>
      </c>
      <c r="DK37" s="60" t="n">
        <f aca="false">2_Market_Gross_USD!L35</f>
        <v>5461</v>
      </c>
      <c r="DL37" s="53" t="n">
        <f aca="false">DK37*(1-0.2)</f>
        <v>4368.8</v>
      </c>
      <c r="DM37" s="58" t="n">
        <f aca="false">DK37*0+0</f>
        <v>0</v>
      </c>
      <c r="DN37" s="55" t="n">
        <f aca="false">DK37+DM37</f>
        <v>5461</v>
      </c>
      <c r="DO37" s="59" t="n">
        <f aca="false">IF(DK37&gt;0,DM37/DK37,0)</f>
        <v>0</v>
      </c>
      <c r="DP37" s="60" t="n">
        <f aca="false">2_Market_Gross_USD!L35</f>
        <v>5461</v>
      </c>
      <c r="DQ37" s="53" t="n">
        <f aca="false">DP37*(1-0.34)</f>
        <v>3604.26</v>
      </c>
      <c r="DR37" s="58" t="n">
        <f aca="false">DP37*0.2375+500</f>
        <v>1796.9875</v>
      </c>
      <c r="DS37" s="55" t="n">
        <f aca="false">DP37+DR37</f>
        <v>7257.9875</v>
      </c>
      <c r="DT37" s="59" t="n">
        <f aca="false">IF(DP37&gt;0,DR37/DP37,0)</f>
        <v>0.329058322651529</v>
      </c>
      <c r="DU37" s="60" t="n">
        <f aca="false">2_Market_Gross_USD!M35</f>
        <v>3547</v>
      </c>
      <c r="DV37" s="53" t="n">
        <f aca="false">DU37*0.65</f>
        <v>2305.55</v>
      </c>
      <c r="DW37" s="58" t="n">
        <f aca="false">DU37*0.0225+0</f>
        <v>79.8075</v>
      </c>
      <c r="DX37" s="55" t="n">
        <f aca="false">DU37+DW37</f>
        <v>3626.8075</v>
      </c>
      <c r="DY37" s="59" t="n">
        <f aca="false">IF(DU37&gt;0,DW37/DU37,0)</f>
        <v>0.0225</v>
      </c>
      <c r="DZ37" s="60" t="n">
        <f aca="false">2_Market_Gross_USD!M35</f>
        <v>3547</v>
      </c>
      <c r="EA37" s="53" t="n">
        <f aca="false">DZ37*(1-0.01)</f>
        <v>3511.53</v>
      </c>
      <c r="EB37" s="58" t="n">
        <f aca="false">DZ37*0+0</f>
        <v>0</v>
      </c>
      <c r="EC37" s="55" t="n">
        <f aca="false">DZ37+EB37</f>
        <v>3547</v>
      </c>
      <c r="ED37" s="59" t="n">
        <f aca="false">IF(DZ37&gt;0,EB37/DZ37,0)</f>
        <v>0</v>
      </c>
      <c r="EE37" s="60" t="n">
        <f aca="false">2_Market_Gross_USD!M35</f>
        <v>3547</v>
      </c>
      <c r="EF37" s="53" t="n">
        <f aca="false">EE37*0.65</f>
        <v>2305.55</v>
      </c>
      <c r="EG37" s="58" t="n">
        <f aca="false">EE37*0.0225+500</f>
        <v>579.8075</v>
      </c>
      <c r="EH37" s="55" t="n">
        <f aca="false">EE37+EG37</f>
        <v>4126.8075</v>
      </c>
      <c r="EI37" s="59" t="n">
        <f aca="false">IF(EE37&gt;0,EG37/EE37,0)</f>
        <v>0.163464195094446</v>
      </c>
    </row>
    <row r="38" customFormat="false" ht="15" hidden="false" customHeight="false" outlineLevel="0" collapsed="false">
      <c r="A38" s="37" t="n">
        <v>33</v>
      </c>
      <c r="B38" s="32" t="s">
        <v>270</v>
      </c>
      <c r="C38" s="32" t="s">
        <v>271</v>
      </c>
      <c r="D38" s="38" t="s">
        <v>248</v>
      </c>
      <c r="E38" s="52" t="n">
        <f aca="false">2_Market_Gross_USD!E36</f>
        <v>1150</v>
      </c>
      <c r="F38" s="53" t="n">
        <f aca="false">E38*(1-0.065)</f>
        <v>1075.25</v>
      </c>
      <c r="G38" s="54" t="n">
        <f aca="false">E38*0+35</f>
        <v>35</v>
      </c>
      <c r="H38" s="55" t="n">
        <f aca="false">E38+G38</f>
        <v>1185</v>
      </c>
      <c r="I38" s="56" t="n">
        <f aca="false">IF(E38&gt;0,G38/E38,0)</f>
        <v>0.0304347826086957</v>
      </c>
      <c r="J38" s="52" t="n">
        <f aca="false">2_Market_Gross_USD!E36</f>
        <v>1150</v>
      </c>
      <c r="K38" s="53" t="n">
        <f aca="false">J38*(1-0.065)</f>
        <v>1075.25</v>
      </c>
      <c r="L38" s="54" t="n">
        <f aca="false">J38*0+40</f>
        <v>40</v>
      </c>
      <c r="M38" s="55" t="n">
        <f aca="false">J38+L38</f>
        <v>1190</v>
      </c>
      <c r="N38" s="56" t="n">
        <f aca="false">IF(J38&gt;0,L38/J38,0)</f>
        <v>0.0347826086956522</v>
      </c>
      <c r="O38" s="52" t="n">
        <f aca="false">2_Market_Gross_USD!E36</f>
        <v>1150</v>
      </c>
      <c r="P38" s="53" t="n">
        <f aca="false">O38*(1-0.195)</f>
        <v>925.75</v>
      </c>
      <c r="Q38" s="54" t="n">
        <f aca="false">IF(O38&gt;=3886,3886*0.22,O38*0.22)</f>
        <v>253</v>
      </c>
      <c r="R38" s="55" t="n">
        <f aca="false">O38+Q38</f>
        <v>1403</v>
      </c>
      <c r="S38" s="56" t="n">
        <f aca="false">IF(O38&gt;0,Q38/O38,0)</f>
        <v>0.22</v>
      </c>
      <c r="T38" s="57" t="n">
        <f aca="false">2_Market_Gross_USD!F36</f>
        <v>3060</v>
      </c>
      <c r="U38" s="53" t="n">
        <f aca="false">T38*(1-0.2571)</f>
        <v>2273.274</v>
      </c>
      <c r="V38" s="54" t="n">
        <f aca="false">T38*0.2038+0</f>
        <v>623.628</v>
      </c>
      <c r="W38" s="55" t="n">
        <f aca="false">T38+V38</f>
        <v>3683.628</v>
      </c>
      <c r="X38" s="56" t="n">
        <f aca="false">IF(T38&gt;0,V38/T38,0)</f>
        <v>0.2038</v>
      </c>
      <c r="Y38" s="57" t="n">
        <f aca="false">2_Market_Gross_USD!F36</f>
        <v>3060</v>
      </c>
      <c r="Z38" s="53" t="n">
        <f aca="false">Y38*(1-0.12)</f>
        <v>2692.8</v>
      </c>
      <c r="AA38" s="54" t="n">
        <f aca="false">Y38*0+0</f>
        <v>0</v>
      </c>
      <c r="AB38" s="55" t="n">
        <f aca="false">Y38+AA38</f>
        <v>3060</v>
      </c>
      <c r="AC38" s="56" t="n">
        <f aca="false">IF(Y38&gt;0,AA38/Y38,0)</f>
        <v>0</v>
      </c>
      <c r="AD38" s="57" t="n">
        <f aca="false">2_Market_Gross_USD!F36</f>
        <v>3060</v>
      </c>
      <c r="AE38" s="53" t="n">
        <f aca="false">AD38*(1-0.2571)</f>
        <v>2273.274</v>
      </c>
      <c r="AF38" s="54" t="n">
        <f aca="false">AD38*0.2038+500</f>
        <v>1123.628</v>
      </c>
      <c r="AG38" s="55" t="n">
        <f aca="false">AD38+AF38</f>
        <v>4183.628</v>
      </c>
      <c r="AH38" s="56" t="n">
        <f aca="false">IF(AD38&gt;0,AF38/AD38,0)</f>
        <v>0.367198692810458</v>
      </c>
      <c r="AI38" s="57" t="n">
        <f aca="false">2_Market_Gross_USD!G36</f>
        <v>4233</v>
      </c>
      <c r="AJ38" s="53" t="n">
        <f aca="false">AI38*(1-0.28)</f>
        <v>3047.76</v>
      </c>
      <c r="AK38" s="54" t="n">
        <f aca="false">AI38*0.15+0</f>
        <v>634.95</v>
      </c>
      <c r="AL38" s="55" t="n">
        <f aca="false">AI38+AK38</f>
        <v>4867.95</v>
      </c>
      <c r="AM38" s="56" t="n">
        <f aca="false">IF(AI38&gt;0,AK38/AI38,0)</f>
        <v>0.15</v>
      </c>
      <c r="AN38" s="57" t="n">
        <f aca="false">2_Market_Gross_USD!G36</f>
        <v>4233</v>
      </c>
      <c r="AO38" s="53" t="n">
        <f aca="false">AN38*(1-0.19)</f>
        <v>3428.73</v>
      </c>
      <c r="AP38" s="54" t="n">
        <f aca="false">AN38*0+0</f>
        <v>0</v>
      </c>
      <c r="AQ38" s="55" t="n">
        <f aca="false">AN38+AP38</f>
        <v>4233</v>
      </c>
      <c r="AR38" s="56" t="n">
        <f aca="false">IF(AN38&gt;0,AP38/AN38,0)</f>
        <v>0</v>
      </c>
      <c r="AS38" s="57" t="n">
        <f aca="false">2_Market_Gross_USD!G36</f>
        <v>4233</v>
      </c>
      <c r="AT38" s="53" t="n">
        <f aca="false">AS38*(1-0.28)</f>
        <v>3047.76</v>
      </c>
      <c r="AU38" s="54" t="n">
        <f aca="false">AS38*0.15+500</f>
        <v>1134.95</v>
      </c>
      <c r="AV38" s="55" t="n">
        <f aca="false">AS38+AU38</f>
        <v>5367.95</v>
      </c>
      <c r="AW38" s="56" t="n">
        <f aca="false">IF(AS38&gt;0,AU38/AS38,0)</f>
        <v>0.268119536971415</v>
      </c>
      <c r="AX38" s="57" t="n">
        <f aca="false">2_Market_Gross_USD!H36</f>
        <v>10000</v>
      </c>
      <c r="AY38" s="53" t="n">
        <f aca="false">AX38*(1-0.2965)</f>
        <v>7035</v>
      </c>
      <c r="AZ38" s="54" t="n">
        <f aca="false">AX38*0.11+0</f>
        <v>1100</v>
      </c>
      <c r="BA38" s="55" t="n">
        <f aca="false">AX38+AZ38</f>
        <v>11100</v>
      </c>
      <c r="BB38" s="56" t="n">
        <f aca="false">IF(AX38&gt;0,AZ38/AX38,0)</f>
        <v>0.11</v>
      </c>
      <c r="BC38" s="57" t="n">
        <f aca="false">2_Market_Gross_USD!H36</f>
        <v>10000</v>
      </c>
      <c r="BD38" s="53" t="n">
        <f aca="false">BC38*(1-0.373)</f>
        <v>6270</v>
      </c>
      <c r="BE38" s="54" t="n">
        <f aca="false">BC38*0+0</f>
        <v>0</v>
      </c>
      <c r="BF38" s="55" t="n">
        <f aca="false">BC38+BE38</f>
        <v>10000</v>
      </c>
      <c r="BG38" s="56" t="n">
        <f aca="false">IF(BC38&gt;0,BE38/BC38,0)</f>
        <v>0</v>
      </c>
      <c r="BH38" s="57" t="n">
        <f aca="false">2_Market_Gross_USD!H36</f>
        <v>10000</v>
      </c>
      <c r="BI38" s="53" t="n">
        <f aca="false">BH38*(1-0.2965)</f>
        <v>7035</v>
      </c>
      <c r="BJ38" s="54" t="n">
        <f aca="false">BH38*0.11+500</f>
        <v>1600</v>
      </c>
      <c r="BK38" s="55" t="n">
        <f aca="false">BH38+BJ38</f>
        <v>11600</v>
      </c>
      <c r="BL38" s="56" t="n">
        <f aca="false">IF(BH38&gt;0,BJ38/BH38,0)</f>
        <v>0.16</v>
      </c>
      <c r="BM38" s="57" t="n">
        <f aca="false">2_Market_Gross_USD!I36</f>
        <v>4709</v>
      </c>
      <c r="BN38" s="53" t="n">
        <f aca="false">BM38*(1-0.4785)</f>
        <v>2455.7435</v>
      </c>
      <c r="BO38" s="54" t="n">
        <f aca="false">BM38*0.21+0</f>
        <v>988.89</v>
      </c>
      <c r="BP38" s="55" t="n">
        <f aca="false">BM38+BO38</f>
        <v>5697.89</v>
      </c>
      <c r="BQ38" s="56" t="n">
        <f aca="false">IF(BM38&gt;0,BO38/BM38,0)</f>
        <v>0.21</v>
      </c>
      <c r="BR38" s="57" t="n">
        <f aca="false">2_Market_Gross_USD!I36</f>
        <v>4709</v>
      </c>
      <c r="BS38" s="53" t="n">
        <f aca="false">BR38*(1-0.25)</f>
        <v>3531.75</v>
      </c>
      <c r="BT38" s="54" t="n">
        <f aca="false">BR38*0+0</f>
        <v>0</v>
      </c>
      <c r="BU38" s="55" t="n">
        <f aca="false">BR38+BT38</f>
        <v>4709</v>
      </c>
      <c r="BV38" s="56" t="n">
        <f aca="false">IF(BR38&gt;0,BT38/BR38,0)</f>
        <v>0</v>
      </c>
      <c r="BW38" s="57" t="n">
        <f aca="false">2_Market_Gross_USD!I36</f>
        <v>4709</v>
      </c>
      <c r="BX38" s="53" t="n">
        <f aca="false">BW38*(1-0.4785)</f>
        <v>2455.7435</v>
      </c>
      <c r="BY38" s="54" t="n">
        <f aca="false">BW38*0.21+500</f>
        <v>1488.89</v>
      </c>
      <c r="BZ38" s="55" t="n">
        <f aca="false">BW38+BY38</f>
        <v>6197.89</v>
      </c>
      <c r="CA38" s="56" t="n">
        <f aca="false">IF(BW38&gt;0,BY38/BW38,0)</f>
        <v>0.316179655977915</v>
      </c>
      <c r="CB38" s="57" t="n">
        <f aca="false">2_Market_Gross_USD!J36</f>
        <v>5556</v>
      </c>
      <c r="CC38" s="53" t="n">
        <f aca="false">CB38*(1-0.3697)</f>
        <v>3501.9468</v>
      </c>
      <c r="CD38" s="54" t="n">
        <f aca="false">CB38*0.2+0</f>
        <v>1111.2</v>
      </c>
      <c r="CE38" s="55" t="n">
        <f aca="false">CB38+CD38</f>
        <v>6667.2</v>
      </c>
      <c r="CF38" s="56" t="n">
        <f aca="false">IF(CB38&gt;0,CD38/CB38,0)</f>
        <v>0.2</v>
      </c>
      <c r="CG38" s="57" t="n">
        <f aca="false">2_Market_Gross_USD!J36</f>
        <v>5556</v>
      </c>
      <c r="CH38" s="53" t="n">
        <f aca="false">CG38*(1-0.3697)</f>
        <v>3501.9468</v>
      </c>
      <c r="CI38" s="54" t="n">
        <f aca="false">CG38*0+0</f>
        <v>0</v>
      </c>
      <c r="CJ38" s="55" t="n">
        <f aca="false">CG38+CI38</f>
        <v>5556</v>
      </c>
      <c r="CK38" s="56" t="n">
        <f aca="false">IF(CG38&gt;0,CI38/CG38,0)</f>
        <v>0</v>
      </c>
      <c r="CL38" s="57" t="n">
        <f aca="false">2_Market_Gross_USD!J36</f>
        <v>5556</v>
      </c>
      <c r="CM38" s="53" t="n">
        <f aca="false">CL38*(1-0.3697)</f>
        <v>3501.9468</v>
      </c>
      <c r="CN38" s="54" t="n">
        <f aca="false">CL38*0.2+500</f>
        <v>1611.2</v>
      </c>
      <c r="CO38" s="55" t="n">
        <f aca="false">CL38+CN38</f>
        <v>7167.2</v>
      </c>
      <c r="CP38" s="56" t="n">
        <f aca="false">IF(CL38&gt;0,CN38/CL38,0)</f>
        <v>0.289992800575954</v>
      </c>
      <c r="CQ38" s="57" t="n">
        <f aca="false">2_Market_Gross_USD!K36</f>
        <v>2241</v>
      </c>
      <c r="CR38" s="53" t="n">
        <f aca="false">CQ38*(1-0.26)</f>
        <v>1658.34</v>
      </c>
      <c r="CS38" s="54" t="n">
        <f aca="false">CQ38*0.338+0</f>
        <v>757.458</v>
      </c>
      <c r="CT38" s="55" t="n">
        <f aca="false">CQ38+CS38</f>
        <v>2998.458</v>
      </c>
      <c r="CU38" s="56" t="n">
        <f aca="false">IF(CQ38&gt;0,CS38/CQ38,0)</f>
        <v>0.338</v>
      </c>
      <c r="CV38" s="57" t="n">
        <f aca="false">2_Market_Gross_USD!K36</f>
        <v>2241</v>
      </c>
      <c r="CW38" s="53" t="n">
        <f aca="false">CV38*(1-0.15)</f>
        <v>1904.85</v>
      </c>
      <c r="CX38" s="54" t="n">
        <f aca="false">CV38*0+0</f>
        <v>0</v>
      </c>
      <c r="CY38" s="55" t="n">
        <f aca="false">CV38+CX38</f>
        <v>2241</v>
      </c>
      <c r="CZ38" s="56" t="n">
        <f aca="false">IF(CV38&gt;0,CX38/CV38,0)</f>
        <v>0</v>
      </c>
      <c r="DA38" s="57" t="n">
        <f aca="false">2_Market_Gross_USD!K36</f>
        <v>2241</v>
      </c>
      <c r="DB38" s="53" t="n">
        <f aca="false">DA38*(1-0.26)</f>
        <v>1658.34</v>
      </c>
      <c r="DC38" s="54" t="n">
        <f aca="false">DA38*0.338+500</f>
        <v>1257.458</v>
      </c>
      <c r="DD38" s="55" t="n">
        <f aca="false">DA38+DC38</f>
        <v>3498.458</v>
      </c>
      <c r="DE38" s="56" t="n">
        <f aca="false">IF(DA38&gt;0,DC38/DA38,0)</f>
        <v>0.561114680946006</v>
      </c>
      <c r="DF38" s="57" t="n">
        <f aca="false">2_Market_Gross_USD!L36</f>
        <v>3296</v>
      </c>
      <c r="DG38" s="53" t="n">
        <f aca="false">DF38*(1-0.34)</f>
        <v>2175.36</v>
      </c>
      <c r="DH38" s="54" t="n">
        <f aca="false">DF38*0.2375+0</f>
        <v>782.8</v>
      </c>
      <c r="DI38" s="55" t="n">
        <f aca="false">DF38+DH38</f>
        <v>4078.8</v>
      </c>
      <c r="DJ38" s="56" t="n">
        <f aca="false">IF(DF38&gt;0,DH38/DF38,0)</f>
        <v>0.2375</v>
      </c>
      <c r="DK38" s="57" t="n">
        <f aca="false">2_Market_Gross_USD!L36</f>
        <v>3296</v>
      </c>
      <c r="DL38" s="53" t="n">
        <f aca="false">DK38*(1-0.2)</f>
        <v>2636.8</v>
      </c>
      <c r="DM38" s="54" t="n">
        <f aca="false">DK38*0+0</f>
        <v>0</v>
      </c>
      <c r="DN38" s="55" t="n">
        <f aca="false">DK38+DM38</f>
        <v>3296</v>
      </c>
      <c r="DO38" s="56" t="n">
        <f aca="false">IF(DK38&gt;0,DM38/DK38,0)</f>
        <v>0</v>
      </c>
      <c r="DP38" s="57" t="n">
        <f aca="false">2_Market_Gross_USD!L36</f>
        <v>3296</v>
      </c>
      <c r="DQ38" s="53" t="n">
        <f aca="false">DP38*(1-0.34)</f>
        <v>2175.36</v>
      </c>
      <c r="DR38" s="54" t="n">
        <f aca="false">DP38*0.2375+500</f>
        <v>1282.8</v>
      </c>
      <c r="DS38" s="55" t="n">
        <f aca="false">DP38+DR38</f>
        <v>4578.8</v>
      </c>
      <c r="DT38" s="56" t="n">
        <f aca="false">IF(DP38&gt;0,DR38/DP38,0)</f>
        <v>0.389199029126214</v>
      </c>
      <c r="DU38" s="57" t="n">
        <f aca="false">2_Market_Gross_USD!M36</f>
        <v>1833</v>
      </c>
      <c r="DV38" s="53" t="n">
        <f aca="false">DU38*0.65</f>
        <v>1191.45</v>
      </c>
      <c r="DW38" s="54" t="n">
        <f aca="false">DU38*0.0225+0</f>
        <v>41.2425</v>
      </c>
      <c r="DX38" s="55" t="n">
        <f aca="false">DU38+DW38</f>
        <v>1874.2425</v>
      </c>
      <c r="DY38" s="56" t="n">
        <f aca="false">IF(DU38&gt;0,DW38/DU38,0)</f>
        <v>0.0225</v>
      </c>
      <c r="DZ38" s="57" t="n">
        <f aca="false">2_Market_Gross_USD!M36</f>
        <v>1833</v>
      </c>
      <c r="EA38" s="53" t="n">
        <f aca="false">DZ38*(1-0.01)</f>
        <v>1814.67</v>
      </c>
      <c r="EB38" s="54" t="n">
        <f aca="false">DZ38*0+0</f>
        <v>0</v>
      </c>
      <c r="EC38" s="55" t="n">
        <f aca="false">DZ38+EB38</f>
        <v>1833</v>
      </c>
      <c r="ED38" s="56" t="n">
        <f aca="false">IF(DZ38&gt;0,EB38/DZ38,0)</f>
        <v>0</v>
      </c>
      <c r="EE38" s="57" t="n">
        <f aca="false">2_Market_Gross_USD!M36</f>
        <v>1833</v>
      </c>
      <c r="EF38" s="53" t="n">
        <f aca="false">EE38*0.65</f>
        <v>1191.45</v>
      </c>
      <c r="EG38" s="54" t="n">
        <f aca="false">EE38*0.0225+500</f>
        <v>541.2425</v>
      </c>
      <c r="EH38" s="55" t="n">
        <f aca="false">EE38+EG38</f>
        <v>2374.2425</v>
      </c>
      <c r="EI38" s="56" t="n">
        <f aca="false">IF(EE38&gt;0,EG38/EE38,0)</f>
        <v>0.295276868521549</v>
      </c>
    </row>
    <row r="39" customFormat="false" ht="15" hidden="false" customHeight="false" outlineLevel="0" collapsed="false">
      <c r="A39" s="41" t="n">
        <v>34</v>
      </c>
      <c r="B39" s="28" t="s">
        <v>270</v>
      </c>
      <c r="C39" s="8" t="s">
        <v>271</v>
      </c>
      <c r="D39" s="42" t="s">
        <v>249</v>
      </c>
      <c r="E39" s="52" t="n">
        <f aca="false">2_Market_Gross_USD!E37</f>
        <v>2750</v>
      </c>
      <c r="F39" s="53" t="n">
        <f aca="false">E39*(1-0.065)</f>
        <v>2571.25</v>
      </c>
      <c r="G39" s="58" t="n">
        <f aca="false">E39*0+35</f>
        <v>35</v>
      </c>
      <c r="H39" s="55" t="n">
        <f aca="false">E39+G39</f>
        <v>2785</v>
      </c>
      <c r="I39" s="59" t="n">
        <f aca="false">IF(E39&gt;0,G39/E39,0)</f>
        <v>0.0127272727272727</v>
      </c>
      <c r="J39" s="52" t="n">
        <f aca="false">2_Market_Gross_USD!E37</f>
        <v>2750</v>
      </c>
      <c r="K39" s="53" t="n">
        <f aca="false">J39*(1-0.065)</f>
        <v>2571.25</v>
      </c>
      <c r="L39" s="58" t="n">
        <f aca="false">J39*0+40</f>
        <v>40</v>
      </c>
      <c r="M39" s="55" t="n">
        <f aca="false">J39+L39</f>
        <v>2790</v>
      </c>
      <c r="N39" s="59" t="n">
        <f aca="false">IF(J39&gt;0,L39/J39,0)</f>
        <v>0.0145454545454545</v>
      </c>
      <c r="O39" s="52" t="n">
        <f aca="false">2_Market_Gross_USD!E37</f>
        <v>2750</v>
      </c>
      <c r="P39" s="53" t="n">
        <f aca="false">O39*(1-0.195)</f>
        <v>2213.75</v>
      </c>
      <c r="Q39" s="58" t="n">
        <f aca="false">IF(O39&gt;=3886,3886*0.22,O39*0.22)</f>
        <v>605</v>
      </c>
      <c r="R39" s="55" t="n">
        <f aca="false">O39+Q39</f>
        <v>3355</v>
      </c>
      <c r="S39" s="59" t="n">
        <f aca="false">IF(O39&gt;0,Q39/O39,0)</f>
        <v>0.22</v>
      </c>
      <c r="T39" s="60" t="n">
        <f aca="false">2_Market_Gross_USD!F37</f>
        <v>4590</v>
      </c>
      <c r="U39" s="53" t="n">
        <f aca="false">T39*(1-0.2571)</f>
        <v>3409.911</v>
      </c>
      <c r="V39" s="58" t="n">
        <f aca="false">T39*0.2038+0</f>
        <v>935.442</v>
      </c>
      <c r="W39" s="55" t="n">
        <f aca="false">T39+V39</f>
        <v>5525.442</v>
      </c>
      <c r="X39" s="59" t="n">
        <f aca="false">IF(T39&gt;0,V39/T39,0)</f>
        <v>0.2038</v>
      </c>
      <c r="Y39" s="60" t="n">
        <f aca="false">2_Market_Gross_USD!F37</f>
        <v>4590</v>
      </c>
      <c r="Z39" s="53" t="n">
        <f aca="false">Y39*(1-0.12)</f>
        <v>4039.2</v>
      </c>
      <c r="AA39" s="58" t="n">
        <f aca="false">Y39*0+0</f>
        <v>0</v>
      </c>
      <c r="AB39" s="55" t="n">
        <f aca="false">Y39+AA39</f>
        <v>4590</v>
      </c>
      <c r="AC39" s="59" t="n">
        <f aca="false">IF(Y39&gt;0,AA39/Y39,0)</f>
        <v>0</v>
      </c>
      <c r="AD39" s="60" t="n">
        <f aca="false">2_Market_Gross_USD!F37</f>
        <v>4590</v>
      </c>
      <c r="AE39" s="53" t="n">
        <f aca="false">AD39*(1-0.2571)</f>
        <v>3409.911</v>
      </c>
      <c r="AF39" s="58" t="n">
        <f aca="false">AD39*0.2038+500</f>
        <v>1435.442</v>
      </c>
      <c r="AG39" s="55" t="n">
        <f aca="false">AD39+AF39</f>
        <v>6025.442</v>
      </c>
      <c r="AH39" s="59" t="n">
        <f aca="false">IF(AD39&gt;0,AF39/AD39,0)</f>
        <v>0.312732461873638</v>
      </c>
      <c r="AI39" s="60" t="n">
        <f aca="false">2_Market_Gross_USD!G37</f>
        <v>5820</v>
      </c>
      <c r="AJ39" s="53" t="n">
        <f aca="false">AI39*(1-0.28)</f>
        <v>4190.4</v>
      </c>
      <c r="AK39" s="58" t="n">
        <f aca="false">AI39*0.15+0</f>
        <v>873</v>
      </c>
      <c r="AL39" s="55" t="n">
        <f aca="false">AI39+AK39</f>
        <v>6693</v>
      </c>
      <c r="AM39" s="59" t="n">
        <f aca="false">IF(AI39&gt;0,AK39/AI39,0)</f>
        <v>0.15</v>
      </c>
      <c r="AN39" s="60" t="n">
        <f aca="false">2_Market_Gross_USD!G37</f>
        <v>5820</v>
      </c>
      <c r="AO39" s="53" t="n">
        <f aca="false">AN39*(1-0.19)</f>
        <v>4714.2</v>
      </c>
      <c r="AP39" s="58" t="n">
        <f aca="false">AN39*0+0</f>
        <v>0</v>
      </c>
      <c r="AQ39" s="55" t="n">
        <f aca="false">AN39+AP39</f>
        <v>5820</v>
      </c>
      <c r="AR39" s="59" t="n">
        <f aca="false">IF(AN39&gt;0,AP39/AN39,0)</f>
        <v>0</v>
      </c>
      <c r="AS39" s="60" t="n">
        <f aca="false">2_Market_Gross_USD!G37</f>
        <v>5820</v>
      </c>
      <c r="AT39" s="53" t="n">
        <f aca="false">AS39*(1-0.28)</f>
        <v>4190.4</v>
      </c>
      <c r="AU39" s="58" t="n">
        <f aca="false">AS39*0.15+500</f>
        <v>1373</v>
      </c>
      <c r="AV39" s="55" t="n">
        <f aca="false">AS39+AU39</f>
        <v>7193</v>
      </c>
      <c r="AW39" s="59" t="n">
        <f aca="false">IF(AS39&gt;0,AU39/AS39,0)</f>
        <v>0.235910652920962</v>
      </c>
      <c r="AX39" s="60" t="n">
        <f aca="false">2_Market_Gross_USD!H37</f>
        <v>11475</v>
      </c>
      <c r="AY39" s="53" t="n">
        <f aca="false">AX39*(1-0.2965)</f>
        <v>8072.6625</v>
      </c>
      <c r="AZ39" s="58" t="n">
        <f aca="false">AX39*0.11+0</f>
        <v>1262.25</v>
      </c>
      <c r="BA39" s="55" t="n">
        <f aca="false">AX39+AZ39</f>
        <v>12737.25</v>
      </c>
      <c r="BB39" s="59" t="n">
        <f aca="false">IF(AX39&gt;0,AZ39/AX39,0)</f>
        <v>0.11</v>
      </c>
      <c r="BC39" s="60" t="n">
        <f aca="false">2_Market_Gross_USD!H37</f>
        <v>11475</v>
      </c>
      <c r="BD39" s="53" t="n">
        <f aca="false">BC39*(1-0.373)</f>
        <v>7194.825</v>
      </c>
      <c r="BE39" s="58" t="n">
        <f aca="false">BC39*0+0</f>
        <v>0</v>
      </c>
      <c r="BF39" s="55" t="n">
        <f aca="false">BC39+BE39</f>
        <v>11475</v>
      </c>
      <c r="BG39" s="59" t="n">
        <f aca="false">IF(BC39&gt;0,BE39/BC39,0)</f>
        <v>0</v>
      </c>
      <c r="BH39" s="60" t="n">
        <f aca="false">2_Market_Gross_USD!H37</f>
        <v>11475</v>
      </c>
      <c r="BI39" s="53" t="n">
        <f aca="false">BH39*(1-0.2965)</f>
        <v>8072.6625</v>
      </c>
      <c r="BJ39" s="58" t="n">
        <f aca="false">BH39*0.11+500</f>
        <v>1762.25</v>
      </c>
      <c r="BK39" s="55" t="n">
        <f aca="false">BH39+BJ39</f>
        <v>13237.25</v>
      </c>
      <c r="BL39" s="59" t="n">
        <f aca="false">IF(BH39&gt;0,BJ39/BH39,0)</f>
        <v>0.153572984749455</v>
      </c>
      <c r="BM39" s="60" t="n">
        <f aca="false">2_Market_Gross_USD!I37</f>
        <v>6591</v>
      </c>
      <c r="BN39" s="53" t="n">
        <f aca="false">BM39*(1-0.4785)</f>
        <v>3437.2065</v>
      </c>
      <c r="BO39" s="58" t="n">
        <f aca="false">BM39*0.21+0</f>
        <v>1384.11</v>
      </c>
      <c r="BP39" s="55" t="n">
        <f aca="false">BM39+BO39</f>
        <v>7975.11</v>
      </c>
      <c r="BQ39" s="59" t="n">
        <f aca="false">IF(BM39&gt;0,BO39/BM39,0)</f>
        <v>0.21</v>
      </c>
      <c r="BR39" s="60" t="n">
        <f aca="false">2_Market_Gross_USD!I37</f>
        <v>6591</v>
      </c>
      <c r="BS39" s="53" t="n">
        <f aca="false">BR39*(1-0.25)</f>
        <v>4943.25</v>
      </c>
      <c r="BT39" s="58" t="n">
        <f aca="false">BR39*0+0</f>
        <v>0</v>
      </c>
      <c r="BU39" s="55" t="n">
        <f aca="false">BR39+BT39</f>
        <v>6591</v>
      </c>
      <c r="BV39" s="59" t="n">
        <f aca="false">IF(BR39&gt;0,BT39/BR39,0)</f>
        <v>0</v>
      </c>
      <c r="BW39" s="60" t="n">
        <f aca="false">2_Market_Gross_USD!I37</f>
        <v>6591</v>
      </c>
      <c r="BX39" s="53" t="n">
        <f aca="false">BW39*(1-0.4785)</f>
        <v>3437.2065</v>
      </c>
      <c r="BY39" s="58" t="n">
        <f aca="false">BW39*0.21+500</f>
        <v>1884.11</v>
      </c>
      <c r="BZ39" s="55" t="n">
        <f aca="false">BW39+BY39</f>
        <v>8475.11</v>
      </c>
      <c r="CA39" s="59" t="n">
        <f aca="false">IF(BW39&gt;0,BY39/BW39,0)</f>
        <v>0.285861022606585</v>
      </c>
      <c r="CB39" s="60" t="n">
        <f aca="false">2_Market_Gross_USD!J37</f>
        <v>7816</v>
      </c>
      <c r="CC39" s="53" t="n">
        <f aca="false">CB39*(1-0.3697)</f>
        <v>4926.4248</v>
      </c>
      <c r="CD39" s="58" t="n">
        <f aca="false">CB39*0.2+0</f>
        <v>1563.2</v>
      </c>
      <c r="CE39" s="55" t="n">
        <f aca="false">CB39+CD39</f>
        <v>9379.2</v>
      </c>
      <c r="CF39" s="59" t="n">
        <f aca="false">IF(CB39&gt;0,CD39/CB39,0)</f>
        <v>0.2</v>
      </c>
      <c r="CG39" s="60" t="n">
        <f aca="false">2_Market_Gross_USD!J37</f>
        <v>7816</v>
      </c>
      <c r="CH39" s="53" t="n">
        <f aca="false">CG39*(1-0.3697)</f>
        <v>4926.4248</v>
      </c>
      <c r="CI39" s="58" t="n">
        <f aca="false">CG39*0+0</f>
        <v>0</v>
      </c>
      <c r="CJ39" s="55" t="n">
        <f aca="false">CG39+CI39</f>
        <v>7816</v>
      </c>
      <c r="CK39" s="59" t="n">
        <f aca="false">IF(CG39&gt;0,CI39/CG39,0)</f>
        <v>0</v>
      </c>
      <c r="CL39" s="60" t="n">
        <f aca="false">2_Market_Gross_USD!J37</f>
        <v>7816</v>
      </c>
      <c r="CM39" s="53" t="n">
        <f aca="false">CL39*(1-0.3697)</f>
        <v>4926.4248</v>
      </c>
      <c r="CN39" s="58" t="n">
        <f aca="false">CL39*0.2+500</f>
        <v>2063.2</v>
      </c>
      <c r="CO39" s="55" t="n">
        <f aca="false">CL39+CN39</f>
        <v>9879.2</v>
      </c>
      <c r="CP39" s="59" t="n">
        <f aca="false">IF(CL39&gt;0,CN39/CL39,0)</f>
        <v>0.263971340839304</v>
      </c>
      <c r="CQ39" s="60" t="n">
        <f aca="false">2_Market_Gross_USD!K37</f>
        <v>3340</v>
      </c>
      <c r="CR39" s="53" t="n">
        <f aca="false">CQ39*(1-0.26)</f>
        <v>2471.6</v>
      </c>
      <c r="CS39" s="58" t="n">
        <f aca="false">CQ39*0.338+0</f>
        <v>1128.92</v>
      </c>
      <c r="CT39" s="55" t="n">
        <f aca="false">CQ39+CS39</f>
        <v>4468.92</v>
      </c>
      <c r="CU39" s="59" t="n">
        <f aca="false">IF(CQ39&gt;0,CS39/CQ39,0)</f>
        <v>0.338</v>
      </c>
      <c r="CV39" s="60" t="n">
        <f aca="false">2_Market_Gross_USD!K37</f>
        <v>3340</v>
      </c>
      <c r="CW39" s="53" t="n">
        <f aca="false">CV39*(1-0.15)</f>
        <v>2839</v>
      </c>
      <c r="CX39" s="58" t="n">
        <f aca="false">CV39*0+0</f>
        <v>0</v>
      </c>
      <c r="CY39" s="55" t="n">
        <f aca="false">CV39+CX39</f>
        <v>3340</v>
      </c>
      <c r="CZ39" s="59" t="n">
        <f aca="false">IF(CV39&gt;0,CX39/CV39,0)</f>
        <v>0</v>
      </c>
      <c r="DA39" s="60" t="n">
        <f aca="false">2_Market_Gross_USD!K37</f>
        <v>3340</v>
      </c>
      <c r="DB39" s="53" t="n">
        <f aca="false">DA39*(1-0.26)</f>
        <v>2471.6</v>
      </c>
      <c r="DC39" s="58" t="n">
        <f aca="false">DA39*0.338+500</f>
        <v>1628.92</v>
      </c>
      <c r="DD39" s="55" t="n">
        <f aca="false">DA39+DC39</f>
        <v>4968.92</v>
      </c>
      <c r="DE39" s="59" t="n">
        <f aca="false">IF(DA39&gt;0,DC39/DA39,0)</f>
        <v>0.487700598802395</v>
      </c>
      <c r="DF39" s="60" t="n">
        <f aca="false">2_Market_Gross_USD!L37</f>
        <v>4709</v>
      </c>
      <c r="DG39" s="53" t="n">
        <f aca="false">DF39*(1-0.34)</f>
        <v>3107.94</v>
      </c>
      <c r="DH39" s="58" t="n">
        <f aca="false">DF39*0.2375+0</f>
        <v>1118.3875</v>
      </c>
      <c r="DI39" s="55" t="n">
        <f aca="false">DF39+DH39</f>
        <v>5827.3875</v>
      </c>
      <c r="DJ39" s="59" t="n">
        <f aca="false">IF(DF39&gt;0,DH39/DF39,0)</f>
        <v>0.2375</v>
      </c>
      <c r="DK39" s="60" t="n">
        <f aca="false">2_Market_Gross_USD!L37</f>
        <v>4709</v>
      </c>
      <c r="DL39" s="53" t="n">
        <f aca="false">DK39*(1-0.2)</f>
        <v>3767.2</v>
      </c>
      <c r="DM39" s="58" t="n">
        <f aca="false">DK39*0+0</f>
        <v>0</v>
      </c>
      <c r="DN39" s="55" t="n">
        <f aca="false">DK39+DM39</f>
        <v>4709</v>
      </c>
      <c r="DO39" s="59" t="n">
        <f aca="false">IF(DK39&gt;0,DM39/DK39,0)</f>
        <v>0</v>
      </c>
      <c r="DP39" s="60" t="n">
        <f aca="false">2_Market_Gross_USD!L37</f>
        <v>4709</v>
      </c>
      <c r="DQ39" s="53" t="n">
        <f aca="false">DP39*(1-0.34)</f>
        <v>3107.94</v>
      </c>
      <c r="DR39" s="58" t="n">
        <f aca="false">DP39*0.2375+500</f>
        <v>1618.3875</v>
      </c>
      <c r="DS39" s="55" t="n">
        <f aca="false">DP39+DR39</f>
        <v>6327.3875</v>
      </c>
      <c r="DT39" s="59" t="n">
        <f aca="false">IF(DP39&gt;0,DR39/DP39,0)</f>
        <v>0.343679655977915</v>
      </c>
      <c r="DU39" s="60" t="n">
        <f aca="false">2_Market_Gross_USD!M37</f>
        <v>3080</v>
      </c>
      <c r="DV39" s="53" t="n">
        <f aca="false">DU39*0.65</f>
        <v>2002</v>
      </c>
      <c r="DW39" s="58" t="n">
        <f aca="false">DU39*0.0225+0</f>
        <v>69.3</v>
      </c>
      <c r="DX39" s="55" t="n">
        <f aca="false">DU39+DW39</f>
        <v>3149.3</v>
      </c>
      <c r="DY39" s="59" t="n">
        <f aca="false">IF(DU39&gt;0,DW39/DU39,0)</f>
        <v>0.0225</v>
      </c>
      <c r="DZ39" s="60" t="n">
        <f aca="false">2_Market_Gross_USD!M37</f>
        <v>3080</v>
      </c>
      <c r="EA39" s="53" t="n">
        <f aca="false">DZ39*(1-0.01)</f>
        <v>3049.2</v>
      </c>
      <c r="EB39" s="58" t="n">
        <f aca="false">DZ39*0+0</f>
        <v>0</v>
      </c>
      <c r="EC39" s="55" t="n">
        <f aca="false">DZ39+EB39</f>
        <v>3080</v>
      </c>
      <c r="ED39" s="59" t="n">
        <f aca="false">IF(DZ39&gt;0,EB39/DZ39,0)</f>
        <v>0</v>
      </c>
      <c r="EE39" s="60" t="n">
        <f aca="false">2_Market_Gross_USD!M37</f>
        <v>3080</v>
      </c>
      <c r="EF39" s="53" t="n">
        <f aca="false">EE39*0.65</f>
        <v>2002</v>
      </c>
      <c r="EG39" s="58" t="n">
        <f aca="false">EE39*0.0225+500</f>
        <v>569.3</v>
      </c>
      <c r="EH39" s="55" t="n">
        <f aca="false">EE39+EG39</f>
        <v>3649.3</v>
      </c>
      <c r="EI39" s="59" t="n">
        <f aca="false">IF(EE39&gt;0,EG39/EE39,0)</f>
        <v>0.184837662337662</v>
      </c>
    </row>
    <row r="40" customFormat="false" ht="15" hidden="false" customHeight="false" outlineLevel="0" collapsed="false">
      <c r="A40" s="37" t="n">
        <v>35</v>
      </c>
      <c r="B40" s="32" t="s">
        <v>272</v>
      </c>
      <c r="C40" s="32" t="s">
        <v>273</v>
      </c>
      <c r="D40" s="38" t="s">
        <v>248</v>
      </c>
      <c r="E40" s="52" t="n">
        <f aca="false">2_Market_Gross_USD!E38</f>
        <v>1500</v>
      </c>
      <c r="F40" s="53" t="n">
        <f aca="false">E40*(1-0.065)</f>
        <v>1402.5</v>
      </c>
      <c r="G40" s="54" t="n">
        <f aca="false">E40*0+35</f>
        <v>35</v>
      </c>
      <c r="H40" s="55" t="n">
        <f aca="false">E40+G40</f>
        <v>1535</v>
      </c>
      <c r="I40" s="56" t="n">
        <f aca="false">IF(E40&gt;0,G40/E40,0)</f>
        <v>0.0233333333333333</v>
      </c>
      <c r="J40" s="52" t="n">
        <f aca="false">2_Market_Gross_USD!E38</f>
        <v>1500</v>
      </c>
      <c r="K40" s="53" t="n">
        <f aca="false">J40*(1-0.065)</f>
        <v>1402.5</v>
      </c>
      <c r="L40" s="54" t="n">
        <f aca="false">J40*0+40</f>
        <v>40</v>
      </c>
      <c r="M40" s="55" t="n">
        <f aca="false">J40+L40</f>
        <v>1540</v>
      </c>
      <c r="N40" s="56" t="n">
        <f aca="false">IF(J40&gt;0,L40/J40,0)</f>
        <v>0.0266666666666667</v>
      </c>
      <c r="O40" s="52" t="n">
        <f aca="false">2_Market_Gross_USD!E38</f>
        <v>1500</v>
      </c>
      <c r="P40" s="53" t="n">
        <f aca="false">O40*(1-0.195)</f>
        <v>1207.5</v>
      </c>
      <c r="Q40" s="54" t="n">
        <f aca="false">IF(O40&gt;=3886,3886*0.22,O40*0.22)</f>
        <v>330</v>
      </c>
      <c r="R40" s="55" t="n">
        <f aca="false">O40+Q40</f>
        <v>1830</v>
      </c>
      <c r="S40" s="56" t="n">
        <f aca="false">IF(O40&gt;0,Q40/O40,0)</f>
        <v>0.22</v>
      </c>
      <c r="T40" s="57" t="n">
        <f aca="false">2_Market_Gross_USD!F38</f>
        <v>3698</v>
      </c>
      <c r="U40" s="53" t="n">
        <f aca="false">T40*(1-0.2571)</f>
        <v>2747.2442</v>
      </c>
      <c r="V40" s="54" t="n">
        <f aca="false">T40*0.2038+0</f>
        <v>753.6524</v>
      </c>
      <c r="W40" s="55" t="n">
        <f aca="false">T40+V40</f>
        <v>4451.6524</v>
      </c>
      <c r="X40" s="56" t="n">
        <f aca="false">IF(T40&gt;0,V40/T40,0)</f>
        <v>0.2038</v>
      </c>
      <c r="Y40" s="57" t="n">
        <f aca="false">2_Market_Gross_USD!F38</f>
        <v>3698</v>
      </c>
      <c r="Z40" s="53" t="n">
        <f aca="false">Y40*(1-0.12)</f>
        <v>3254.24</v>
      </c>
      <c r="AA40" s="54" t="n">
        <f aca="false">Y40*0+0</f>
        <v>0</v>
      </c>
      <c r="AB40" s="55" t="n">
        <f aca="false">Y40+AA40</f>
        <v>3698</v>
      </c>
      <c r="AC40" s="56" t="n">
        <f aca="false">IF(Y40&gt;0,AA40/Y40,0)</f>
        <v>0</v>
      </c>
      <c r="AD40" s="57" t="n">
        <f aca="false">2_Market_Gross_USD!F38</f>
        <v>3698</v>
      </c>
      <c r="AE40" s="53" t="n">
        <f aca="false">AD40*(1-0.2571)</f>
        <v>2747.2442</v>
      </c>
      <c r="AF40" s="54" t="n">
        <f aca="false">AD40*0.2038+500</f>
        <v>1253.6524</v>
      </c>
      <c r="AG40" s="55" t="n">
        <f aca="false">AD40+AF40</f>
        <v>4951.6524</v>
      </c>
      <c r="AH40" s="56" t="n">
        <f aca="false">IF(AD40&gt;0,AF40/AD40,0)</f>
        <v>0.339008220659816</v>
      </c>
      <c r="AI40" s="57" t="n">
        <f aca="false">2_Market_Gross_USD!G38</f>
        <v>5292</v>
      </c>
      <c r="AJ40" s="53" t="n">
        <f aca="false">AI40*(1-0.28)</f>
        <v>3810.24</v>
      </c>
      <c r="AK40" s="54" t="n">
        <f aca="false">AI40*0.15+0</f>
        <v>793.8</v>
      </c>
      <c r="AL40" s="55" t="n">
        <f aca="false">AI40+AK40</f>
        <v>6085.8</v>
      </c>
      <c r="AM40" s="56" t="n">
        <f aca="false">IF(AI40&gt;0,AK40/AI40,0)</f>
        <v>0.15</v>
      </c>
      <c r="AN40" s="57" t="n">
        <f aca="false">2_Market_Gross_USD!G38</f>
        <v>5292</v>
      </c>
      <c r="AO40" s="53" t="n">
        <f aca="false">AN40*(1-0.19)</f>
        <v>4286.52</v>
      </c>
      <c r="AP40" s="54" t="n">
        <f aca="false">AN40*0+0</f>
        <v>0</v>
      </c>
      <c r="AQ40" s="55" t="n">
        <f aca="false">AN40+AP40</f>
        <v>5292</v>
      </c>
      <c r="AR40" s="56" t="n">
        <f aca="false">IF(AN40&gt;0,AP40/AN40,0)</f>
        <v>0</v>
      </c>
      <c r="AS40" s="57" t="n">
        <f aca="false">2_Market_Gross_USD!G38</f>
        <v>5292</v>
      </c>
      <c r="AT40" s="53" t="n">
        <f aca="false">AS40*(1-0.28)</f>
        <v>3810.24</v>
      </c>
      <c r="AU40" s="54" t="n">
        <f aca="false">AS40*0.15+500</f>
        <v>1293.8</v>
      </c>
      <c r="AV40" s="55" t="n">
        <f aca="false">AS40+AU40</f>
        <v>6585.8</v>
      </c>
      <c r="AW40" s="56" t="n">
        <f aca="false">IF(AS40&gt;0,AU40/AS40,0)</f>
        <v>0.24448223733938</v>
      </c>
      <c r="AX40" s="57" t="n">
        <f aca="false">2_Market_Gross_USD!H38</f>
        <v>13500</v>
      </c>
      <c r="AY40" s="53" t="n">
        <f aca="false">AX40*(1-0.2965)</f>
        <v>9497.25</v>
      </c>
      <c r="AZ40" s="54" t="n">
        <f aca="false">AX40*0.11+0</f>
        <v>1485</v>
      </c>
      <c r="BA40" s="55" t="n">
        <f aca="false">AX40+AZ40</f>
        <v>14985</v>
      </c>
      <c r="BB40" s="56" t="n">
        <f aca="false">IF(AX40&gt;0,AZ40/AX40,0)</f>
        <v>0.11</v>
      </c>
      <c r="BC40" s="57" t="n">
        <f aca="false">2_Market_Gross_USD!H38</f>
        <v>13500</v>
      </c>
      <c r="BD40" s="53" t="n">
        <f aca="false">BC40*(1-0.373)</f>
        <v>8464.5</v>
      </c>
      <c r="BE40" s="54" t="n">
        <f aca="false">BC40*0+0</f>
        <v>0</v>
      </c>
      <c r="BF40" s="55" t="n">
        <f aca="false">BC40+BE40</f>
        <v>13500</v>
      </c>
      <c r="BG40" s="56" t="n">
        <f aca="false">IF(BC40&gt;0,BE40/BC40,0)</f>
        <v>0</v>
      </c>
      <c r="BH40" s="57" t="n">
        <f aca="false">2_Market_Gross_USD!H38</f>
        <v>13500</v>
      </c>
      <c r="BI40" s="53" t="n">
        <f aca="false">BH40*(1-0.2965)</f>
        <v>9497.25</v>
      </c>
      <c r="BJ40" s="54" t="n">
        <f aca="false">BH40*0.11+500</f>
        <v>1985</v>
      </c>
      <c r="BK40" s="55" t="n">
        <f aca="false">BH40+BJ40</f>
        <v>15485</v>
      </c>
      <c r="BL40" s="56" t="n">
        <f aca="false">IF(BH40&gt;0,BJ40/BH40,0)</f>
        <v>0.147037037037037</v>
      </c>
      <c r="BM40" s="57" t="n">
        <f aca="false">2_Market_Gross_USD!I38</f>
        <v>5650</v>
      </c>
      <c r="BN40" s="53" t="n">
        <f aca="false">BM40*(1-0.4785)</f>
        <v>2946.475</v>
      </c>
      <c r="BO40" s="54" t="n">
        <f aca="false">BM40*0.21+0</f>
        <v>1186.5</v>
      </c>
      <c r="BP40" s="55" t="n">
        <f aca="false">BM40+BO40</f>
        <v>6836.5</v>
      </c>
      <c r="BQ40" s="56" t="n">
        <f aca="false">IF(BM40&gt;0,BO40/BM40,0)</f>
        <v>0.21</v>
      </c>
      <c r="BR40" s="57" t="n">
        <f aca="false">2_Market_Gross_USD!I38</f>
        <v>5650</v>
      </c>
      <c r="BS40" s="53" t="n">
        <f aca="false">BR40*(1-0.25)</f>
        <v>4237.5</v>
      </c>
      <c r="BT40" s="54" t="n">
        <f aca="false">BR40*0+0</f>
        <v>0</v>
      </c>
      <c r="BU40" s="55" t="n">
        <f aca="false">BR40+BT40</f>
        <v>5650</v>
      </c>
      <c r="BV40" s="56" t="n">
        <f aca="false">IF(BR40&gt;0,BT40/BR40,0)</f>
        <v>0</v>
      </c>
      <c r="BW40" s="57" t="n">
        <f aca="false">2_Market_Gross_USD!I38</f>
        <v>5650</v>
      </c>
      <c r="BX40" s="53" t="n">
        <f aca="false">BW40*(1-0.4785)</f>
        <v>2946.475</v>
      </c>
      <c r="BY40" s="54" t="n">
        <f aca="false">BW40*0.21+500</f>
        <v>1686.5</v>
      </c>
      <c r="BZ40" s="55" t="n">
        <f aca="false">BW40+BY40</f>
        <v>7336.5</v>
      </c>
      <c r="CA40" s="56" t="n">
        <f aca="false">IF(BW40&gt;0,BY40/BW40,0)</f>
        <v>0.298495575221239</v>
      </c>
      <c r="CB40" s="57" t="n">
        <f aca="false">2_Market_Gross_USD!J38</f>
        <v>6591</v>
      </c>
      <c r="CC40" s="53" t="n">
        <f aca="false">CB40*(1-0.3697)</f>
        <v>4154.3073</v>
      </c>
      <c r="CD40" s="54" t="n">
        <f aca="false">CB40*0.2+0</f>
        <v>1318.2</v>
      </c>
      <c r="CE40" s="55" t="n">
        <f aca="false">CB40+CD40</f>
        <v>7909.2</v>
      </c>
      <c r="CF40" s="56" t="n">
        <f aca="false">IF(CB40&gt;0,CD40/CB40,0)</f>
        <v>0.2</v>
      </c>
      <c r="CG40" s="57" t="n">
        <f aca="false">2_Market_Gross_USD!J38</f>
        <v>6591</v>
      </c>
      <c r="CH40" s="53" t="n">
        <f aca="false">CG40*(1-0.3697)</f>
        <v>4154.3073</v>
      </c>
      <c r="CI40" s="54" t="n">
        <f aca="false">CG40*0+0</f>
        <v>0</v>
      </c>
      <c r="CJ40" s="55" t="n">
        <f aca="false">CG40+CI40</f>
        <v>6591</v>
      </c>
      <c r="CK40" s="56" t="n">
        <f aca="false">IF(CG40&gt;0,CI40/CG40,0)</f>
        <v>0</v>
      </c>
      <c r="CL40" s="57" t="n">
        <f aca="false">2_Market_Gross_USD!J38</f>
        <v>6591</v>
      </c>
      <c r="CM40" s="53" t="n">
        <f aca="false">CL40*(1-0.3697)</f>
        <v>4154.3073</v>
      </c>
      <c r="CN40" s="54" t="n">
        <f aca="false">CL40*0.2+500</f>
        <v>1818.2</v>
      </c>
      <c r="CO40" s="55" t="n">
        <f aca="false">CL40+CN40</f>
        <v>8409.2</v>
      </c>
      <c r="CP40" s="56" t="n">
        <f aca="false">IF(CL40&gt;0,CN40/CL40,0)</f>
        <v>0.275861022606585</v>
      </c>
      <c r="CQ40" s="57" t="n">
        <f aca="false">2_Market_Gross_USD!K38</f>
        <v>2988</v>
      </c>
      <c r="CR40" s="53" t="n">
        <f aca="false">CQ40*(1-0.26)</f>
        <v>2211.12</v>
      </c>
      <c r="CS40" s="54" t="n">
        <f aca="false">CQ40*0.338+0</f>
        <v>1009.944</v>
      </c>
      <c r="CT40" s="55" t="n">
        <f aca="false">CQ40+CS40</f>
        <v>3997.944</v>
      </c>
      <c r="CU40" s="56" t="n">
        <f aca="false">IF(CQ40&gt;0,CS40/CQ40,0)</f>
        <v>0.338</v>
      </c>
      <c r="CV40" s="57" t="n">
        <f aca="false">2_Market_Gross_USD!K38</f>
        <v>2988</v>
      </c>
      <c r="CW40" s="53" t="n">
        <f aca="false">CV40*(1-0.15)</f>
        <v>2539.8</v>
      </c>
      <c r="CX40" s="54" t="n">
        <f aca="false">CV40*0+0</f>
        <v>0</v>
      </c>
      <c r="CY40" s="55" t="n">
        <f aca="false">CV40+CX40</f>
        <v>2988</v>
      </c>
      <c r="CZ40" s="56" t="n">
        <f aca="false">IF(CV40&gt;0,CX40/CV40,0)</f>
        <v>0</v>
      </c>
      <c r="DA40" s="57" t="n">
        <f aca="false">2_Market_Gross_USD!K38</f>
        <v>2988</v>
      </c>
      <c r="DB40" s="53" t="n">
        <f aca="false">DA40*(1-0.26)</f>
        <v>2211.12</v>
      </c>
      <c r="DC40" s="54" t="n">
        <f aca="false">DA40*0.338+500</f>
        <v>1509.944</v>
      </c>
      <c r="DD40" s="55" t="n">
        <f aca="false">DA40+DC40</f>
        <v>4497.944</v>
      </c>
      <c r="DE40" s="56" t="n">
        <f aca="false">IF(DA40&gt;0,DC40/DA40,0)</f>
        <v>0.505336010709505</v>
      </c>
      <c r="DF40" s="57" t="n">
        <f aca="false">2_Market_Gross_USD!L38</f>
        <v>3955</v>
      </c>
      <c r="DG40" s="53" t="n">
        <f aca="false">DF40*(1-0.34)</f>
        <v>2610.3</v>
      </c>
      <c r="DH40" s="54" t="n">
        <f aca="false">DF40*0.2375+0</f>
        <v>939.3125</v>
      </c>
      <c r="DI40" s="55" t="n">
        <f aca="false">DF40+DH40</f>
        <v>4894.3125</v>
      </c>
      <c r="DJ40" s="56" t="n">
        <f aca="false">IF(DF40&gt;0,DH40/DF40,0)</f>
        <v>0.2375</v>
      </c>
      <c r="DK40" s="57" t="n">
        <f aca="false">2_Market_Gross_USD!L38</f>
        <v>3955</v>
      </c>
      <c r="DL40" s="53" t="n">
        <f aca="false">DK40*(1-0.2)</f>
        <v>3164</v>
      </c>
      <c r="DM40" s="54" t="n">
        <f aca="false">DK40*0+0</f>
        <v>0</v>
      </c>
      <c r="DN40" s="55" t="n">
        <f aca="false">DK40+DM40</f>
        <v>3955</v>
      </c>
      <c r="DO40" s="56" t="n">
        <f aca="false">IF(DK40&gt;0,DM40/DK40,0)</f>
        <v>0</v>
      </c>
      <c r="DP40" s="57" t="n">
        <f aca="false">2_Market_Gross_USD!L38</f>
        <v>3955</v>
      </c>
      <c r="DQ40" s="53" t="n">
        <f aca="false">DP40*(1-0.34)</f>
        <v>2610.3</v>
      </c>
      <c r="DR40" s="54" t="n">
        <f aca="false">DP40*0.2375+500</f>
        <v>1439.3125</v>
      </c>
      <c r="DS40" s="55" t="n">
        <f aca="false">DP40+DR40</f>
        <v>5394.3125</v>
      </c>
      <c r="DT40" s="56" t="n">
        <f aca="false">IF(DP40&gt;0,DR40/DP40,0)</f>
        <v>0.363922250316056</v>
      </c>
      <c r="DU40" s="57" t="n">
        <f aca="false">2_Market_Gross_USD!M38</f>
        <v>2500</v>
      </c>
      <c r="DV40" s="53" t="n">
        <f aca="false">DU40*0.65</f>
        <v>1625</v>
      </c>
      <c r="DW40" s="54" t="n">
        <f aca="false">DU40*0.0225+0</f>
        <v>56.25</v>
      </c>
      <c r="DX40" s="55" t="n">
        <f aca="false">DU40+DW40</f>
        <v>2556.25</v>
      </c>
      <c r="DY40" s="56" t="n">
        <f aca="false">IF(DU40&gt;0,DW40/DU40,0)</f>
        <v>0.0225</v>
      </c>
      <c r="DZ40" s="57" t="n">
        <f aca="false">2_Market_Gross_USD!M38</f>
        <v>2500</v>
      </c>
      <c r="EA40" s="53" t="n">
        <f aca="false">DZ40*(1-0.01)</f>
        <v>2475</v>
      </c>
      <c r="EB40" s="54" t="n">
        <f aca="false">DZ40*0+0</f>
        <v>0</v>
      </c>
      <c r="EC40" s="55" t="n">
        <f aca="false">DZ40+EB40</f>
        <v>2500</v>
      </c>
      <c r="ED40" s="56" t="n">
        <f aca="false">IF(DZ40&gt;0,EB40/DZ40,0)</f>
        <v>0</v>
      </c>
      <c r="EE40" s="57" t="n">
        <f aca="false">2_Market_Gross_USD!M38</f>
        <v>2500</v>
      </c>
      <c r="EF40" s="53" t="n">
        <f aca="false">EE40*0.65</f>
        <v>1625</v>
      </c>
      <c r="EG40" s="54" t="n">
        <f aca="false">EE40*0.0225+500</f>
        <v>556.25</v>
      </c>
      <c r="EH40" s="55" t="n">
        <f aca="false">EE40+EG40</f>
        <v>3056.25</v>
      </c>
      <c r="EI40" s="56" t="n">
        <f aca="false">IF(EE40&gt;0,EG40/EE40,0)</f>
        <v>0.2225</v>
      </c>
    </row>
    <row r="41" customFormat="false" ht="15" hidden="false" customHeight="false" outlineLevel="0" collapsed="false">
      <c r="A41" s="41" t="n">
        <v>36</v>
      </c>
      <c r="B41" s="28" t="s">
        <v>272</v>
      </c>
      <c r="C41" s="8" t="s">
        <v>273</v>
      </c>
      <c r="D41" s="42" t="s">
        <v>249</v>
      </c>
      <c r="E41" s="52" t="n">
        <f aca="false">2_Market_Gross_USD!E39</f>
        <v>4250</v>
      </c>
      <c r="F41" s="53" t="n">
        <f aca="false">E41*(1-0.065)</f>
        <v>3973.75</v>
      </c>
      <c r="G41" s="58" t="n">
        <f aca="false">E41*0+35</f>
        <v>35</v>
      </c>
      <c r="H41" s="55" t="n">
        <f aca="false">E41+G41</f>
        <v>4285</v>
      </c>
      <c r="I41" s="59" t="n">
        <f aca="false">IF(E41&gt;0,G41/E41,0)</f>
        <v>0.00823529411764706</v>
      </c>
      <c r="J41" s="52" t="n">
        <f aca="false">2_Market_Gross_USD!E39</f>
        <v>4250</v>
      </c>
      <c r="K41" s="53" t="n">
        <f aca="false">J41*(1-0.065)</f>
        <v>3973.75</v>
      </c>
      <c r="L41" s="58" t="n">
        <f aca="false">J41*0+40</f>
        <v>40</v>
      </c>
      <c r="M41" s="55" t="n">
        <f aca="false">J41+L41</f>
        <v>4290</v>
      </c>
      <c r="N41" s="59" t="n">
        <f aca="false">IF(J41&gt;0,L41/J41,0)</f>
        <v>0.00941176470588235</v>
      </c>
      <c r="O41" s="52" t="n">
        <f aca="false">2_Market_Gross_USD!E39</f>
        <v>4250</v>
      </c>
      <c r="P41" s="53" t="n">
        <f aca="false">O41*(1-0.195)</f>
        <v>3421.25</v>
      </c>
      <c r="Q41" s="58" t="n">
        <f aca="false">IF(O41&gt;=3886,3886*0.22,O41*0.22)</f>
        <v>854.92</v>
      </c>
      <c r="R41" s="55" t="n">
        <f aca="false">O41+Q41</f>
        <v>5104.92</v>
      </c>
      <c r="S41" s="59" t="n">
        <f aca="false">IF(O41&gt;0,Q41/O41,0)</f>
        <v>0.201157647058824</v>
      </c>
      <c r="T41" s="60" t="n">
        <f aca="false">2_Market_Gross_USD!F39</f>
        <v>6120</v>
      </c>
      <c r="U41" s="53" t="n">
        <f aca="false">T41*(1-0.2571)</f>
        <v>4546.548</v>
      </c>
      <c r="V41" s="58" t="n">
        <f aca="false">T41*0.2038+0</f>
        <v>1247.256</v>
      </c>
      <c r="W41" s="55" t="n">
        <f aca="false">T41+V41</f>
        <v>7367.256</v>
      </c>
      <c r="X41" s="59" t="n">
        <f aca="false">IF(T41&gt;0,V41/T41,0)</f>
        <v>0.2038</v>
      </c>
      <c r="Y41" s="60" t="n">
        <f aca="false">2_Market_Gross_USD!F39</f>
        <v>6120</v>
      </c>
      <c r="Z41" s="53" t="n">
        <f aca="false">Y41*(1-0.12)</f>
        <v>5385.6</v>
      </c>
      <c r="AA41" s="58" t="n">
        <f aca="false">Y41*0+0</f>
        <v>0</v>
      </c>
      <c r="AB41" s="55" t="n">
        <f aca="false">Y41+AA41</f>
        <v>6120</v>
      </c>
      <c r="AC41" s="59" t="n">
        <f aca="false">IF(Y41&gt;0,AA41/Y41,0)</f>
        <v>0</v>
      </c>
      <c r="AD41" s="60" t="n">
        <f aca="false">2_Market_Gross_USD!F39</f>
        <v>6120</v>
      </c>
      <c r="AE41" s="53" t="n">
        <f aca="false">AD41*(1-0.2571)</f>
        <v>4546.548</v>
      </c>
      <c r="AF41" s="58" t="n">
        <f aca="false">AD41*0.2038+500</f>
        <v>1747.256</v>
      </c>
      <c r="AG41" s="55" t="n">
        <f aca="false">AD41+AF41</f>
        <v>7867.256</v>
      </c>
      <c r="AH41" s="59" t="n">
        <f aca="false">IF(AD41&gt;0,AF41/AD41,0)</f>
        <v>0.285499346405229</v>
      </c>
      <c r="AI41" s="60" t="n">
        <f aca="false">2_Market_Gross_USD!G39</f>
        <v>7938</v>
      </c>
      <c r="AJ41" s="53" t="n">
        <f aca="false">AI41*(1-0.28)</f>
        <v>5715.36</v>
      </c>
      <c r="AK41" s="58" t="n">
        <f aca="false">AI41*0.15+0</f>
        <v>1190.7</v>
      </c>
      <c r="AL41" s="55" t="n">
        <f aca="false">AI41+AK41</f>
        <v>9128.7</v>
      </c>
      <c r="AM41" s="59" t="n">
        <f aca="false">IF(AI41&gt;0,AK41/AI41,0)</f>
        <v>0.15</v>
      </c>
      <c r="AN41" s="60" t="n">
        <f aca="false">2_Market_Gross_USD!G39</f>
        <v>7938</v>
      </c>
      <c r="AO41" s="53" t="n">
        <f aca="false">AN41*(1-0.19)</f>
        <v>6429.78</v>
      </c>
      <c r="AP41" s="58" t="n">
        <f aca="false">AN41*0+0</f>
        <v>0</v>
      </c>
      <c r="AQ41" s="55" t="n">
        <f aca="false">AN41+AP41</f>
        <v>7938</v>
      </c>
      <c r="AR41" s="59" t="n">
        <f aca="false">IF(AN41&gt;0,AP41/AN41,0)</f>
        <v>0</v>
      </c>
      <c r="AS41" s="60" t="n">
        <f aca="false">2_Market_Gross_USD!G39</f>
        <v>7938</v>
      </c>
      <c r="AT41" s="53" t="n">
        <f aca="false">AS41*(1-0.28)</f>
        <v>5715.36</v>
      </c>
      <c r="AU41" s="58" t="n">
        <f aca="false">AS41*0.15+500</f>
        <v>1690.7</v>
      </c>
      <c r="AV41" s="55" t="n">
        <f aca="false">AS41+AU41</f>
        <v>9628.7</v>
      </c>
      <c r="AW41" s="59" t="n">
        <f aca="false">IF(AS41&gt;0,AU41/AS41,0)</f>
        <v>0.212988158226253</v>
      </c>
      <c r="AX41" s="60" t="n">
        <f aca="false">2_Market_Gross_USD!H39</f>
        <v>14450</v>
      </c>
      <c r="AY41" s="53" t="n">
        <f aca="false">AX41*(1-0.2965)</f>
        <v>10165.575</v>
      </c>
      <c r="AZ41" s="58" t="n">
        <f aca="false">AX41*0.11+0</f>
        <v>1589.5</v>
      </c>
      <c r="BA41" s="55" t="n">
        <f aca="false">AX41+AZ41</f>
        <v>16039.5</v>
      </c>
      <c r="BB41" s="59" t="n">
        <f aca="false">IF(AX41&gt;0,AZ41/AX41,0)</f>
        <v>0.11</v>
      </c>
      <c r="BC41" s="60" t="n">
        <f aca="false">2_Market_Gross_USD!H39</f>
        <v>14450</v>
      </c>
      <c r="BD41" s="53" t="n">
        <f aca="false">BC41*(1-0.373)</f>
        <v>9060.15</v>
      </c>
      <c r="BE41" s="58" t="n">
        <f aca="false">BC41*0+0</f>
        <v>0</v>
      </c>
      <c r="BF41" s="55" t="n">
        <f aca="false">BC41+BE41</f>
        <v>14450</v>
      </c>
      <c r="BG41" s="59" t="n">
        <f aca="false">IF(BC41&gt;0,BE41/BC41,0)</f>
        <v>0</v>
      </c>
      <c r="BH41" s="60" t="n">
        <f aca="false">2_Market_Gross_USD!H39</f>
        <v>14450</v>
      </c>
      <c r="BI41" s="53" t="n">
        <f aca="false">BH41*(1-0.2965)</f>
        <v>10165.575</v>
      </c>
      <c r="BJ41" s="58" t="n">
        <f aca="false">BH41*0.11+500</f>
        <v>2089.5</v>
      </c>
      <c r="BK41" s="55" t="n">
        <f aca="false">BH41+BJ41</f>
        <v>16539.5</v>
      </c>
      <c r="BL41" s="59" t="n">
        <f aca="false">IF(BH41&gt;0,BJ41/BH41,0)</f>
        <v>0.144602076124567</v>
      </c>
      <c r="BM41" s="60" t="n">
        <f aca="false">2_Market_Gross_USD!I39</f>
        <v>8193</v>
      </c>
      <c r="BN41" s="53" t="n">
        <f aca="false">BM41*(1-0.4785)</f>
        <v>4272.6495</v>
      </c>
      <c r="BO41" s="58" t="n">
        <f aca="false">BM41*0.21+0</f>
        <v>1720.53</v>
      </c>
      <c r="BP41" s="55" t="n">
        <f aca="false">BM41+BO41</f>
        <v>9913.53</v>
      </c>
      <c r="BQ41" s="59" t="n">
        <f aca="false">IF(BM41&gt;0,BO41/BM41,0)</f>
        <v>0.21</v>
      </c>
      <c r="BR41" s="60" t="n">
        <f aca="false">2_Market_Gross_USD!I39</f>
        <v>8193</v>
      </c>
      <c r="BS41" s="53" t="n">
        <f aca="false">BR41*(1-0.25)</f>
        <v>6144.75</v>
      </c>
      <c r="BT41" s="58" t="n">
        <f aca="false">BR41*0+0</f>
        <v>0</v>
      </c>
      <c r="BU41" s="55" t="n">
        <f aca="false">BR41+BT41</f>
        <v>8193</v>
      </c>
      <c r="BV41" s="59" t="n">
        <f aca="false">IF(BR41&gt;0,BT41/BR41,0)</f>
        <v>0</v>
      </c>
      <c r="BW41" s="60" t="n">
        <f aca="false">2_Market_Gross_USD!I39</f>
        <v>8193</v>
      </c>
      <c r="BX41" s="53" t="n">
        <f aca="false">BW41*(1-0.4785)</f>
        <v>4272.6495</v>
      </c>
      <c r="BY41" s="58" t="n">
        <f aca="false">BW41*0.21+500</f>
        <v>2220.53</v>
      </c>
      <c r="BZ41" s="55" t="n">
        <f aca="false">BW41+BY41</f>
        <v>10413.53</v>
      </c>
      <c r="CA41" s="59" t="n">
        <f aca="false">IF(BW41&gt;0,BY41/BW41,0)</f>
        <v>0.271027706578787</v>
      </c>
      <c r="CB41" s="60" t="n">
        <f aca="false">2_Market_Gross_USD!J39</f>
        <v>9417</v>
      </c>
      <c r="CC41" s="53" t="n">
        <f aca="false">CB41*(1-0.3697)</f>
        <v>5935.5351</v>
      </c>
      <c r="CD41" s="58" t="n">
        <f aca="false">CB41*0.2+0</f>
        <v>1883.4</v>
      </c>
      <c r="CE41" s="55" t="n">
        <f aca="false">CB41+CD41</f>
        <v>11300.4</v>
      </c>
      <c r="CF41" s="59" t="n">
        <f aca="false">IF(CB41&gt;0,CD41/CB41,0)</f>
        <v>0.2</v>
      </c>
      <c r="CG41" s="60" t="n">
        <f aca="false">2_Market_Gross_USD!J39</f>
        <v>9417</v>
      </c>
      <c r="CH41" s="53" t="n">
        <f aca="false">CG41*(1-0.3697)</f>
        <v>5935.5351</v>
      </c>
      <c r="CI41" s="58" t="n">
        <f aca="false">CG41*0+0</f>
        <v>0</v>
      </c>
      <c r="CJ41" s="55" t="n">
        <f aca="false">CG41+CI41</f>
        <v>9417</v>
      </c>
      <c r="CK41" s="59" t="n">
        <f aca="false">IF(CG41&gt;0,CI41/CG41,0)</f>
        <v>0</v>
      </c>
      <c r="CL41" s="60" t="n">
        <f aca="false">2_Market_Gross_USD!J39</f>
        <v>9417</v>
      </c>
      <c r="CM41" s="53" t="n">
        <f aca="false">CL41*(1-0.3697)</f>
        <v>5935.5351</v>
      </c>
      <c r="CN41" s="58" t="n">
        <f aca="false">CL41*0.2+500</f>
        <v>2383.4</v>
      </c>
      <c r="CO41" s="55" t="n">
        <f aca="false">CL41+CN41</f>
        <v>11800.4</v>
      </c>
      <c r="CP41" s="59" t="n">
        <f aca="false">IF(CL41&gt;0,CN41/CL41,0)</f>
        <v>0.253095465647234</v>
      </c>
      <c r="CQ41" s="60" t="n">
        <f aca="false">2_Market_Gross_USD!K39</f>
        <v>4731</v>
      </c>
      <c r="CR41" s="53" t="n">
        <f aca="false">CQ41*(1-0.26)</f>
        <v>3500.94</v>
      </c>
      <c r="CS41" s="58" t="n">
        <f aca="false">CQ41*0.338+0</f>
        <v>1599.078</v>
      </c>
      <c r="CT41" s="55" t="n">
        <f aca="false">CQ41+CS41</f>
        <v>6330.078</v>
      </c>
      <c r="CU41" s="59" t="n">
        <f aca="false">IF(CQ41&gt;0,CS41/CQ41,0)</f>
        <v>0.338</v>
      </c>
      <c r="CV41" s="60" t="n">
        <f aca="false">2_Market_Gross_USD!K39</f>
        <v>4731</v>
      </c>
      <c r="CW41" s="53" t="n">
        <f aca="false">CV41*(1-0.15)</f>
        <v>4021.35</v>
      </c>
      <c r="CX41" s="58" t="n">
        <f aca="false">CV41*0+0</f>
        <v>0</v>
      </c>
      <c r="CY41" s="55" t="n">
        <f aca="false">CV41+CX41</f>
        <v>4731</v>
      </c>
      <c r="CZ41" s="59" t="n">
        <f aca="false">IF(CV41&gt;0,CX41/CV41,0)</f>
        <v>0</v>
      </c>
      <c r="DA41" s="60" t="n">
        <f aca="false">2_Market_Gross_USD!K39</f>
        <v>4731</v>
      </c>
      <c r="DB41" s="53" t="n">
        <f aca="false">DA41*(1-0.26)</f>
        <v>3500.94</v>
      </c>
      <c r="DC41" s="58" t="n">
        <f aca="false">DA41*0.338+500</f>
        <v>2099.078</v>
      </c>
      <c r="DD41" s="55" t="n">
        <f aca="false">DA41+DC41</f>
        <v>6830.078</v>
      </c>
      <c r="DE41" s="59" t="n">
        <f aca="false">IF(DA41&gt;0,DC41/DA41,0)</f>
        <v>0.44368590150074</v>
      </c>
      <c r="DF41" s="60" t="n">
        <f aca="false">2_Market_Gross_USD!L39</f>
        <v>6215</v>
      </c>
      <c r="DG41" s="53" t="n">
        <f aca="false">DF41*(1-0.34)</f>
        <v>4101.9</v>
      </c>
      <c r="DH41" s="58" t="n">
        <f aca="false">DF41*0.2375+0</f>
        <v>1476.0625</v>
      </c>
      <c r="DI41" s="55" t="n">
        <f aca="false">DF41+DH41</f>
        <v>7691.0625</v>
      </c>
      <c r="DJ41" s="59" t="n">
        <f aca="false">IF(DF41&gt;0,DH41/DF41,0)</f>
        <v>0.2375</v>
      </c>
      <c r="DK41" s="60" t="n">
        <f aca="false">2_Market_Gross_USD!L39</f>
        <v>6215</v>
      </c>
      <c r="DL41" s="53" t="n">
        <f aca="false">DK41*(1-0.2)</f>
        <v>4972</v>
      </c>
      <c r="DM41" s="58" t="n">
        <f aca="false">DK41*0+0</f>
        <v>0</v>
      </c>
      <c r="DN41" s="55" t="n">
        <f aca="false">DK41+DM41</f>
        <v>6215</v>
      </c>
      <c r="DO41" s="59" t="n">
        <f aca="false">IF(DK41&gt;0,DM41/DK41,0)</f>
        <v>0</v>
      </c>
      <c r="DP41" s="60" t="n">
        <f aca="false">2_Market_Gross_USD!L39</f>
        <v>6215</v>
      </c>
      <c r="DQ41" s="53" t="n">
        <f aca="false">DP41*(1-0.34)</f>
        <v>4101.9</v>
      </c>
      <c r="DR41" s="58" t="n">
        <f aca="false">DP41*0.2375+500</f>
        <v>1976.0625</v>
      </c>
      <c r="DS41" s="55" t="n">
        <f aca="false">DP41+DR41</f>
        <v>8191.0625</v>
      </c>
      <c r="DT41" s="59" t="n">
        <f aca="false">IF(DP41&gt;0,DR41/DP41,0)</f>
        <v>0.317950522928399</v>
      </c>
      <c r="DU41" s="60" t="n">
        <f aca="false">2_Market_Gross_USD!M39</f>
        <v>4200</v>
      </c>
      <c r="DV41" s="53" t="n">
        <f aca="false">DU41*0.65</f>
        <v>2730</v>
      </c>
      <c r="DW41" s="58" t="n">
        <f aca="false">DU41*0.0225+0</f>
        <v>94.5</v>
      </c>
      <c r="DX41" s="55" t="n">
        <f aca="false">DU41+DW41</f>
        <v>4294.5</v>
      </c>
      <c r="DY41" s="59" t="n">
        <f aca="false">IF(DU41&gt;0,DW41/DU41,0)</f>
        <v>0.0225</v>
      </c>
      <c r="DZ41" s="60" t="n">
        <f aca="false">2_Market_Gross_USD!M39</f>
        <v>4200</v>
      </c>
      <c r="EA41" s="53" t="n">
        <f aca="false">DZ41*(1-0.01)</f>
        <v>4158</v>
      </c>
      <c r="EB41" s="58" t="n">
        <f aca="false">DZ41*0+0</f>
        <v>0</v>
      </c>
      <c r="EC41" s="55" t="n">
        <f aca="false">DZ41+EB41</f>
        <v>4200</v>
      </c>
      <c r="ED41" s="59" t="n">
        <f aca="false">IF(DZ41&gt;0,EB41/DZ41,0)</f>
        <v>0</v>
      </c>
      <c r="EE41" s="60" t="n">
        <f aca="false">2_Market_Gross_USD!M39</f>
        <v>4200</v>
      </c>
      <c r="EF41" s="53" t="n">
        <f aca="false">EE41*0.65</f>
        <v>2730</v>
      </c>
      <c r="EG41" s="58" t="n">
        <f aca="false">EE41*0.0225+500</f>
        <v>594.5</v>
      </c>
      <c r="EH41" s="55" t="n">
        <f aca="false">EE41+EG41</f>
        <v>4794.5</v>
      </c>
      <c r="EI41" s="59" t="n">
        <f aca="false">IF(EE41&gt;0,EG41/EE41,0)</f>
        <v>0.141547619047619</v>
      </c>
    </row>
    <row r="42" customFormat="false" ht="15" hidden="false" customHeight="false" outlineLevel="0" collapsed="false">
      <c r="A42" s="37" t="n">
        <v>37</v>
      </c>
      <c r="B42" s="32" t="s">
        <v>272</v>
      </c>
      <c r="C42" s="32" t="s">
        <v>274</v>
      </c>
      <c r="D42" s="38" t="s">
        <v>248</v>
      </c>
      <c r="E42" s="52" t="n">
        <f aca="false">2_Market_Gross_USD!E40</f>
        <v>1250</v>
      </c>
      <c r="F42" s="53" t="n">
        <f aca="false">E42*(1-0.065)</f>
        <v>1168.75</v>
      </c>
      <c r="G42" s="54" t="n">
        <f aca="false">E42*0+35</f>
        <v>35</v>
      </c>
      <c r="H42" s="55" t="n">
        <f aca="false">E42+G42</f>
        <v>1285</v>
      </c>
      <c r="I42" s="56" t="n">
        <f aca="false">IF(E42&gt;0,G42/E42,0)</f>
        <v>0.028</v>
      </c>
      <c r="J42" s="52" t="n">
        <f aca="false">2_Market_Gross_USD!E40</f>
        <v>1250</v>
      </c>
      <c r="K42" s="53" t="n">
        <f aca="false">J42*(1-0.065)</f>
        <v>1168.75</v>
      </c>
      <c r="L42" s="54" t="n">
        <f aca="false">J42*0+40</f>
        <v>40</v>
      </c>
      <c r="M42" s="55" t="n">
        <f aca="false">J42+L42</f>
        <v>1290</v>
      </c>
      <c r="N42" s="56" t="n">
        <f aca="false">IF(J42&gt;0,L42/J42,0)</f>
        <v>0.032</v>
      </c>
      <c r="O42" s="52" t="n">
        <f aca="false">2_Market_Gross_USD!E40</f>
        <v>1250</v>
      </c>
      <c r="P42" s="53" t="n">
        <f aca="false">O42*(1-0.195)</f>
        <v>1006.25</v>
      </c>
      <c r="Q42" s="54" t="n">
        <f aca="false">IF(O42&gt;=3886,3886*0.22,O42*0.22)</f>
        <v>275</v>
      </c>
      <c r="R42" s="55" t="n">
        <f aca="false">O42+Q42</f>
        <v>1525</v>
      </c>
      <c r="S42" s="56" t="n">
        <f aca="false">IF(O42&gt;0,Q42/O42,0)</f>
        <v>0.22</v>
      </c>
      <c r="T42" s="57" t="n">
        <f aca="false">2_Market_Gross_USD!F40</f>
        <v>3443</v>
      </c>
      <c r="U42" s="53" t="n">
        <f aca="false">T42*(1-0.2571)</f>
        <v>2557.8047</v>
      </c>
      <c r="V42" s="54" t="n">
        <f aca="false">T42*0.2038+0</f>
        <v>701.6834</v>
      </c>
      <c r="W42" s="55" t="n">
        <f aca="false">T42+V42</f>
        <v>4144.6834</v>
      </c>
      <c r="X42" s="56" t="n">
        <f aca="false">IF(T42&gt;0,V42/T42,0)</f>
        <v>0.2038</v>
      </c>
      <c r="Y42" s="57" t="n">
        <f aca="false">2_Market_Gross_USD!F40</f>
        <v>3443</v>
      </c>
      <c r="Z42" s="53" t="n">
        <f aca="false">Y42*(1-0.12)</f>
        <v>3029.84</v>
      </c>
      <c r="AA42" s="54" t="n">
        <f aca="false">Y42*0+0</f>
        <v>0</v>
      </c>
      <c r="AB42" s="55" t="n">
        <f aca="false">Y42+AA42</f>
        <v>3443</v>
      </c>
      <c r="AC42" s="56" t="n">
        <f aca="false">IF(Y42&gt;0,AA42/Y42,0)</f>
        <v>0</v>
      </c>
      <c r="AD42" s="57" t="n">
        <f aca="false">2_Market_Gross_USD!F40</f>
        <v>3443</v>
      </c>
      <c r="AE42" s="53" t="n">
        <f aca="false">AD42*(1-0.2571)</f>
        <v>2557.8047</v>
      </c>
      <c r="AF42" s="54" t="n">
        <f aca="false">AD42*0.2038+500</f>
        <v>1201.6834</v>
      </c>
      <c r="AG42" s="55" t="n">
        <f aca="false">AD42+AF42</f>
        <v>4644.6834</v>
      </c>
      <c r="AH42" s="56" t="n">
        <f aca="false">IF(AD42&gt;0,AF42/AD42,0)</f>
        <v>0.349022189950624</v>
      </c>
      <c r="AI42" s="57" t="n">
        <f aca="false">2_Market_Gross_USD!G40</f>
        <v>4763</v>
      </c>
      <c r="AJ42" s="53" t="n">
        <f aca="false">AI42*(1-0.28)</f>
        <v>3429.36</v>
      </c>
      <c r="AK42" s="54" t="n">
        <f aca="false">AI42*0.15+0</f>
        <v>714.45</v>
      </c>
      <c r="AL42" s="55" t="n">
        <f aca="false">AI42+AK42</f>
        <v>5477.45</v>
      </c>
      <c r="AM42" s="56" t="n">
        <f aca="false">IF(AI42&gt;0,AK42/AI42,0)</f>
        <v>0.15</v>
      </c>
      <c r="AN42" s="57" t="n">
        <f aca="false">2_Market_Gross_USD!G40</f>
        <v>4763</v>
      </c>
      <c r="AO42" s="53" t="n">
        <f aca="false">AN42*(1-0.19)</f>
        <v>3858.03</v>
      </c>
      <c r="AP42" s="54" t="n">
        <f aca="false">AN42*0+0</f>
        <v>0</v>
      </c>
      <c r="AQ42" s="55" t="n">
        <f aca="false">AN42+AP42</f>
        <v>4763</v>
      </c>
      <c r="AR42" s="56" t="n">
        <f aca="false">IF(AN42&gt;0,AP42/AN42,0)</f>
        <v>0</v>
      </c>
      <c r="AS42" s="57" t="n">
        <f aca="false">2_Market_Gross_USD!G40</f>
        <v>4763</v>
      </c>
      <c r="AT42" s="53" t="n">
        <f aca="false">AS42*(1-0.28)</f>
        <v>3429.36</v>
      </c>
      <c r="AU42" s="54" t="n">
        <f aca="false">AS42*0.15+500</f>
        <v>1214.45</v>
      </c>
      <c r="AV42" s="55" t="n">
        <f aca="false">AS42+AU42</f>
        <v>5977.45</v>
      </c>
      <c r="AW42" s="56" t="n">
        <f aca="false">IF(AS42&gt;0,AU42/AS42,0)</f>
        <v>0.254975855553223</v>
      </c>
      <c r="AX42" s="57" t="n">
        <f aca="false">2_Market_Gross_USD!H40</f>
        <v>11000</v>
      </c>
      <c r="AY42" s="53" t="n">
        <f aca="false">AX42*(1-0.2965)</f>
        <v>7738.5</v>
      </c>
      <c r="AZ42" s="54" t="n">
        <f aca="false">AX42*0.11+0</f>
        <v>1210</v>
      </c>
      <c r="BA42" s="55" t="n">
        <f aca="false">AX42+AZ42</f>
        <v>12210</v>
      </c>
      <c r="BB42" s="56" t="n">
        <f aca="false">IF(AX42&gt;0,AZ42/AX42,0)</f>
        <v>0.11</v>
      </c>
      <c r="BC42" s="57" t="n">
        <f aca="false">2_Market_Gross_USD!H40</f>
        <v>11000</v>
      </c>
      <c r="BD42" s="53" t="n">
        <f aca="false">BC42*(1-0.373)</f>
        <v>6897</v>
      </c>
      <c r="BE42" s="54" t="n">
        <f aca="false">BC42*0+0</f>
        <v>0</v>
      </c>
      <c r="BF42" s="55" t="n">
        <f aca="false">BC42+BE42</f>
        <v>11000</v>
      </c>
      <c r="BG42" s="56" t="n">
        <f aca="false">IF(BC42&gt;0,BE42/BC42,0)</f>
        <v>0</v>
      </c>
      <c r="BH42" s="57" t="n">
        <f aca="false">2_Market_Gross_USD!H40</f>
        <v>11000</v>
      </c>
      <c r="BI42" s="53" t="n">
        <f aca="false">BH42*(1-0.2965)</f>
        <v>7738.5</v>
      </c>
      <c r="BJ42" s="54" t="n">
        <f aca="false">BH42*0.11+500</f>
        <v>1710</v>
      </c>
      <c r="BK42" s="55" t="n">
        <f aca="false">BH42+BJ42</f>
        <v>12710</v>
      </c>
      <c r="BL42" s="56" t="n">
        <f aca="false">IF(BH42&gt;0,BJ42/BH42,0)</f>
        <v>0.155454545454545</v>
      </c>
      <c r="BM42" s="57" t="n">
        <f aca="false">2_Market_Gross_USD!I40</f>
        <v>5179</v>
      </c>
      <c r="BN42" s="53" t="n">
        <f aca="false">BM42*(1-0.4785)</f>
        <v>2700.8485</v>
      </c>
      <c r="BO42" s="54" t="n">
        <f aca="false">BM42*0.21+0</f>
        <v>1087.59</v>
      </c>
      <c r="BP42" s="55" t="n">
        <f aca="false">BM42+BO42</f>
        <v>6266.59</v>
      </c>
      <c r="BQ42" s="56" t="n">
        <f aca="false">IF(BM42&gt;0,BO42/BM42,0)</f>
        <v>0.21</v>
      </c>
      <c r="BR42" s="57" t="n">
        <f aca="false">2_Market_Gross_USD!I40</f>
        <v>5179</v>
      </c>
      <c r="BS42" s="53" t="n">
        <f aca="false">BR42*(1-0.25)</f>
        <v>3884.25</v>
      </c>
      <c r="BT42" s="54" t="n">
        <f aca="false">BR42*0+0</f>
        <v>0</v>
      </c>
      <c r="BU42" s="55" t="n">
        <f aca="false">BR42+BT42</f>
        <v>5179</v>
      </c>
      <c r="BV42" s="56" t="n">
        <f aca="false">IF(BR42&gt;0,BT42/BR42,0)</f>
        <v>0</v>
      </c>
      <c r="BW42" s="57" t="n">
        <f aca="false">2_Market_Gross_USD!I40</f>
        <v>5179</v>
      </c>
      <c r="BX42" s="53" t="n">
        <f aca="false">BW42*(1-0.4785)</f>
        <v>2700.8485</v>
      </c>
      <c r="BY42" s="54" t="n">
        <f aca="false">BW42*0.21+500</f>
        <v>1587.59</v>
      </c>
      <c r="BZ42" s="55" t="n">
        <f aca="false">BW42+BY42</f>
        <v>6766.59</v>
      </c>
      <c r="CA42" s="56" t="n">
        <f aca="false">IF(BW42&gt;0,BY42/BW42,0)</f>
        <v>0.306543734311643</v>
      </c>
      <c r="CB42" s="57" t="n">
        <f aca="false">2_Market_Gross_USD!J40</f>
        <v>6121</v>
      </c>
      <c r="CC42" s="53" t="n">
        <f aca="false">CB42*(1-0.3697)</f>
        <v>3858.0663</v>
      </c>
      <c r="CD42" s="54" t="n">
        <f aca="false">CB42*0.2+0</f>
        <v>1224.2</v>
      </c>
      <c r="CE42" s="55" t="n">
        <f aca="false">CB42+CD42</f>
        <v>7345.2</v>
      </c>
      <c r="CF42" s="56" t="n">
        <f aca="false">IF(CB42&gt;0,CD42/CB42,0)</f>
        <v>0.2</v>
      </c>
      <c r="CG42" s="57" t="n">
        <f aca="false">2_Market_Gross_USD!J40</f>
        <v>6121</v>
      </c>
      <c r="CH42" s="53" t="n">
        <f aca="false">CG42*(1-0.3697)</f>
        <v>3858.0663</v>
      </c>
      <c r="CI42" s="54" t="n">
        <f aca="false">CG42*0+0</f>
        <v>0</v>
      </c>
      <c r="CJ42" s="55" t="n">
        <f aca="false">CG42+CI42</f>
        <v>6121</v>
      </c>
      <c r="CK42" s="56" t="n">
        <f aca="false">IF(CG42&gt;0,CI42/CG42,0)</f>
        <v>0</v>
      </c>
      <c r="CL42" s="57" t="n">
        <f aca="false">2_Market_Gross_USD!J40</f>
        <v>6121</v>
      </c>
      <c r="CM42" s="53" t="n">
        <f aca="false">CL42*(1-0.3697)</f>
        <v>3858.0663</v>
      </c>
      <c r="CN42" s="54" t="n">
        <f aca="false">CL42*0.2+500</f>
        <v>1724.2</v>
      </c>
      <c r="CO42" s="55" t="n">
        <f aca="false">CL42+CN42</f>
        <v>7845.2</v>
      </c>
      <c r="CP42" s="56" t="n">
        <f aca="false">IF(CL42&gt;0,CN42/CL42,0)</f>
        <v>0.281685999019768</v>
      </c>
      <c r="CQ42" s="57" t="n">
        <f aca="false">2_Market_Gross_USD!K40</f>
        <v>2668</v>
      </c>
      <c r="CR42" s="53" t="n">
        <f aca="false">CQ42*(1-0.26)</f>
        <v>1974.32</v>
      </c>
      <c r="CS42" s="54" t="n">
        <f aca="false">CQ42*0.338+0</f>
        <v>901.784</v>
      </c>
      <c r="CT42" s="55" t="n">
        <f aca="false">CQ42+CS42</f>
        <v>3569.784</v>
      </c>
      <c r="CU42" s="56" t="n">
        <f aca="false">IF(CQ42&gt;0,CS42/CQ42,0)</f>
        <v>0.338</v>
      </c>
      <c r="CV42" s="57" t="n">
        <f aca="false">2_Market_Gross_USD!K40</f>
        <v>2668</v>
      </c>
      <c r="CW42" s="53" t="n">
        <f aca="false">CV42*(1-0.15)</f>
        <v>2267.8</v>
      </c>
      <c r="CX42" s="54" t="n">
        <f aca="false">CV42*0+0</f>
        <v>0</v>
      </c>
      <c r="CY42" s="55" t="n">
        <f aca="false">CV42+CX42</f>
        <v>2668</v>
      </c>
      <c r="CZ42" s="56" t="n">
        <f aca="false">IF(CV42&gt;0,CX42/CV42,0)</f>
        <v>0</v>
      </c>
      <c r="DA42" s="57" t="n">
        <f aca="false">2_Market_Gross_USD!K40</f>
        <v>2668</v>
      </c>
      <c r="DB42" s="53" t="n">
        <f aca="false">DA42*(1-0.26)</f>
        <v>1974.32</v>
      </c>
      <c r="DC42" s="54" t="n">
        <f aca="false">DA42*0.338+500</f>
        <v>1401.784</v>
      </c>
      <c r="DD42" s="55" t="n">
        <f aca="false">DA42+DC42</f>
        <v>4069.784</v>
      </c>
      <c r="DE42" s="56" t="n">
        <f aca="false">IF(DA42&gt;0,DC42/DA42,0)</f>
        <v>0.525406296851574</v>
      </c>
      <c r="DF42" s="57" t="n">
        <f aca="false">2_Market_Gross_USD!L40</f>
        <v>3579</v>
      </c>
      <c r="DG42" s="53" t="n">
        <f aca="false">DF42*(1-0.34)</f>
        <v>2362.14</v>
      </c>
      <c r="DH42" s="54" t="n">
        <f aca="false">DF42*0.2375+0</f>
        <v>850.0125</v>
      </c>
      <c r="DI42" s="55" t="n">
        <f aca="false">DF42+DH42</f>
        <v>4429.0125</v>
      </c>
      <c r="DJ42" s="56" t="n">
        <f aca="false">IF(DF42&gt;0,DH42/DF42,0)</f>
        <v>0.2375</v>
      </c>
      <c r="DK42" s="57" t="n">
        <f aca="false">2_Market_Gross_USD!L40</f>
        <v>3579</v>
      </c>
      <c r="DL42" s="53" t="n">
        <f aca="false">DK42*(1-0.2)</f>
        <v>2863.2</v>
      </c>
      <c r="DM42" s="54" t="n">
        <f aca="false">DK42*0+0</f>
        <v>0</v>
      </c>
      <c r="DN42" s="55" t="n">
        <f aca="false">DK42+DM42</f>
        <v>3579</v>
      </c>
      <c r="DO42" s="56" t="n">
        <f aca="false">IF(DK42&gt;0,DM42/DK42,0)</f>
        <v>0</v>
      </c>
      <c r="DP42" s="57" t="n">
        <f aca="false">2_Market_Gross_USD!L40</f>
        <v>3579</v>
      </c>
      <c r="DQ42" s="53" t="n">
        <f aca="false">DP42*(1-0.34)</f>
        <v>2362.14</v>
      </c>
      <c r="DR42" s="54" t="n">
        <f aca="false">DP42*0.2375+500</f>
        <v>1350.0125</v>
      </c>
      <c r="DS42" s="55" t="n">
        <f aca="false">DP42+DR42</f>
        <v>4929.0125</v>
      </c>
      <c r="DT42" s="56" t="n">
        <f aca="false">IF(DP42&gt;0,DR42/DP42,0)</f>
        <v>0.377203827884884</v>
      </c>
      <c r="DU42" s="57" t="n">
        <f aca="false">2_Market_Gross_USD!M40</f>
        <v>2333</v>
      </c>
      <c r="DV42" s="53" t="n">
        <f aca="false">DU42*0.65</f>
        <v>1516.45</v>
      </c>
      <c r="DW42" s="54" t="n">
        <f aca="false">DU42*0.0225+0</f>
        <v>52.4925</v>
      </c>
      <c r="DX42" s="55" t="n">
        <f aca="false">DU42+DW42</f>
        <v>2385.4925</v>
      </c>
      <c r="DY42" s="56" t="n">
        <f aca="false">IF(DU42&gt;0,DW42/DU42,0)</f>
        <v>0.0225</v>
      </c>
      <c r="DZ42" s="57" t="n">
        <f aca="false">2_Market_Gross_USD!M40</f>
        <v>2333</v>
      </c>
      <c r="EA42" s="53" t="n">
        <f aca="false">DZ42*(1-0.01)</f>
        <v>2309.67</v>
      </c>
      <c r="EB42" s="54" t="n">
        <f aca="false">DZ42*0+0</f>
        <v>0</v>
      </c>
      <c r="EC42" s="55" t="n">
        <f aca="false">DZ42+EB42</f>
        <v>2333</v>
      </c>
      <c r="ED42" s="56" t="n">
        <f aca="false">IF(DZ42&gt;0,EB42/DZ42,0)</f>
        <v>0</v>
      </c>
      <c r="EE42" s="57" t="n">
        <f aca="false">2_Market_Gross_USD!M40</f>
        <v>2333</v>
      </c>
      <c r="EF42" s="53" t="n">
        <f aca="false">EE42*0.65</f>
        <v>1516.45</v>
      </c>
      <c r="EG42" s="54" t="n">
        <f aca="false">EE42*0.0225+500</f>
        <v>552.4925</v>
      </c>
      <c r="EH42" s="55" t="n">
        <f aca="false">EE42+EG42</f>
        <v>2885.4925</v>
      </c>
      <c r="EI42" s="56" t="n">
        <f aca="false">IF(EE42&gt;0,EG42/EE42,0)</f>
        <v>0.236816330904415</v>
      </c>
    </row>
    <row r="43" customFormat="false" ht="15" hidden="false" customHeight="false" outlineLevel="0" collapsed="false">
      <c r="A43" s="41" t="n">
        <v>38</v>
      </c>
      <c r="B43" s="28" t="s">
        <v>272</v>
      </c>
      <c r="C43" s="8" t="s">
        <v>274</v>
      </c>
      <c r="D43" s="42" t="s">
        <v>249</v>
      </c>
      <c r="E43" s="52" t="n">
        <f aca="false">2_Market_Gross_USD!E41</f>
        <v>4000</v>
      </c>
      <c r="F43" s="53" t="n">
        <f aca="false">E43*(1-0.065)</f>
        <v>3740</v>
      </c>
      <c r="G43" s="58" t="n">
        <f aca="false">E43*0+35</f>
        <v>35</v>
      </c>
      <c r="H43" s="55" t="n">
        <f aca="false">E43+G43</f>
        <v>4035</v>
      </c>
      <c r="I43" s="59" t="n">
        <f aca="false">IF(E43&gt;0,G43/E43,0)</f>
        <v>0.00875</v>
      </c>
      <c r="J43" s="52" t="n">
        <f aca="false">2_Market_Gross_USD!E41</f>
        <v>4000</v>
      </c>
      <c r="K43" s="53" t="n">
        <f aca="false">J43*(1-0.065)</f>
        <v>3740</v>
      </c>
      <c r="L43" s="58" t="n">
        <f aca="false">J43*0+40</f>
        <v>40</v>
      </c>
      <c r="M43" s="55" t="n">
        <f aca="false">J43+L43</f>
        <v>4040</v>
      </c>
      <c r="N43" s="59" t="n">
        <f aca="false">IF(J43&gt;0,L43/J43,0)</f>
        <v>0.01</v>
      </c>
      <c r="O43" s="52" t="n">
        <f aca="false">2_Market_Gross_USD!E41</f>
        <v>4000</v>
      </c>
      <c r="P43" s="53" t="n">
        <f aca="false">O43*(1-0.195)</f>
        <v>3220</v>
      </c>
      <c r="Q43" s="58" t="n">
        <f aca="false">IF(O43&gt;=3886,3886*0.22,O43*0.22)</f>
        <v>854.92</v>
      </c>
      <c r="R43" s="55" t="n">
        <f aca="false">O43+Q43</f>
        <v>4854.92</v>
      </c>
      <c r="S43" s="59" t="n">
        <f aca="false">IF(O43&gt;0,Q43/O43,0)</f>
        <v>0.21373</v>
      </c>
      <c r="T43" s="60" t="n">
        <f aca="false">2_Market_Gross_USD!F41</f>
        <v>5355</v>
      </c>
      <c r="U43" s="53" t="n">
        <f aca="false">T43*(1-0.2571)</f>
        <v>3978.2295</v>
      </c>
      <c r="V43" s="58" t="n">
        <f aca="false">T43*0.2038+0</f>
        <v>1091.349</v>
      </c>
      <c r="W43" s="55" t="n">
        <f aca="false">T43+V43</f>
        <v>6446.349</v>
      </c>
      <c r="X43" s="59" t="n">
        <f aca="false">IF(T43&gt;0,V43/T43,0)</f>
        <v>0.2038</v>
      </c>
      <c r="Y43" s="60" t="n">
        <f aca="false">2_Market_Gross_USD!F41</f>
        <v>5355</v>
      </c>
      <c r="Z43" s="53" t="n">
        <f aca="false">Y43*(1-0.12)</f>
        <v>4712.4</v>
      </c>
      <c r="AA43" s="58" t="n">
        <f aca="false">Y43*0+0</f>
        <v>0</v>
      </c>
      <c r="AB43" s="55" t="n">
        <f aca="false">Y43+AA43</f>
        <v>5355</v>
      </c>
      <c r="AC43" s="59" t="n">
        <f aca="false">IF(Y43&gt;0,AA43/Y43,0)</f>
        <v>0</v>
      </c>
      <c r="AD43" s="60" t="n">
        <f aca="false">2_Market_Gross_USD!F41</f>
        <v>5355</v>
      </c>
      <c r="AE43" s="53" t="n">
        <f aca="false">AD43*(1-0.2571)</f>
        <v>3978.2295</v>
      </c>
      <c r="AF43" s="58" t="n">
        <f aca="false">AD43*0.2038+500</f>
        <v>1591.349</v>
      </c>
      <c r="AG43" s="55" t="n">
        <f aca="false">AD43+AF43</f>
        <v>6946.349</v>
      </c>
      <c r="AH43" s="59" t="n">
        <f aca="false">IF(AD43&gt;0,AF43/AD43,0)</f>
        <v>0.297170681605976</v>
      </c>
      <c r="AI43" s="60" t="n">
        <f aca="false">2_Market_Gross_USD!G41</f>
        <v>6879</v>
      </c>
      <c r="AJ43" s="53" t="n">
        <f aca="false">AI43*(1-0.28)</f>
        <v>4952.88</v>
      </c>
      <c r="AK43" s="58" t="n">
        <f aca="false">AI43*0.15+0</f>
        <v>1031.85</v>
      </c>
      <c r="AL43" s="55" t="n">
        <f aca="false">AI43+AK43</f>
        <v>7910.85</v>
      </c>
      <c r="AM43" s="59" t="n">
        <f aca="false">IF(AI43&gt;0,AK43/AI43,0)</f>
        <v>0.15</v>
      </c>
      <c r="AN43" s="60" t="n">
        <f aca="false">2_Market_Gross_USD!G41</f>
        <v>6879</v>
      </c>
      <c r="AO43" s="53" t="n">
        <f aca="false">AN43*(1-0.19)</f>
        <v>5571.99</v>
      </c>
      <c r="AP43" s="58" t="n">
        <f aca="false">AN43*0+0</f>
        <v>0</v>
      </c>
      <c r="AQ43" s="55" t="n">
        <f aca="false">AN43+AP43</f>
        <v>6879</v>
      </c>
      <c r="AR43" s="59" t="n">
        <f aca="false">IF(AN43&gt;0,AP43/AN43,0)</f>
        <v>0</v>
      </c>
      <c r="AS43" s="60" t="n">
        <f aca="false">2_Market_Gross_USD!G41</f>
        <v>6879</v>
      </c>
      <c r="AT43" s="53" t="n">
        <f aca="false">AS43*(1-0.28)</f>
        <v>4952.88</v>
      </c>
      <c r="AU43" s="58" t="n">
        <f aca="false">AS43*0.15+500</f>
        <v>1531.85</v>
      </c>
      <c r="AV43" s="55" t="n">
        <f aca="false">AS43+AU43</f>
        <v>8410.85</v>
      </c>
      <c r="AW43" s="59" t="n">
        <f aca="false">IF(AS43&gt;0,AU43/AS43,0)</f>
        <v>0.222684983282454</v>
      </c>
      <c r="AX43" s="60" t="n">
        <f aca="false">2_Market_Gross_USD!H41</f>
        <v>12750</v>
      </c>
      <c r="AY43" s="53" t="n">
        <f aca="false">AX43*(1-0.2965)</f>
        <v>8969.625</v>
      </c>
      <c r="AZ43" s="58" t="n">
        <f aca="false">AX43*0.11+0</f>
        <v>1402.5</v>
      </c>
      <c r="BA43" s="55" t="n">
        <f aca="false">AX43+AZ43</f>
        <v>14152.5</v>
      </c>
      <c r="BB43" s="59" t="n">
        <f aca="false">IF(AX43&gt;0,AZ43/AX43,0)</f>
        <v>0.11</v>
      </c>
      <c r="BC43" s="60" t="n">
        <f aca="false">2_Market_Gross_USD!H41</f>
        <v>12750</v>
      </c>
      <c r="BD43" s="53" t="n">
        <f aca="false">BC43*(1-0.373)</f>
        <v>7994.25</v>
      </c>
      <c r="BE43" s="58" t="n">
        <f aca="false">BC43*0+0</f>
        <v>0</v>
      </c>
      <c r="BF43" s="55" t="n">
        <f aca="false">BC43+BE43</f>
        <v>12750</v>
      </c>
      <c r="BG43" s="59" t="n">
        <f aca="false">IF(BC43&gt;0,BE43/BC43,0)</f>
        <v>0</v>
      </c>
      <c r="BH43" s="60" t="n">
        <f aca="false">2_Market_Gross_USD!H41</f>
        <v>12750</v>
      </c>
      <c r="BI43" s="53" t="n">
        <f aca="false">BH43*(1-0.2965)</f>
        <v>8969.625</v>
      </c>
      <c r="BJ43" s="58" t="n">
        <f aca="false">BH43*0.11+500</f>
        <v>1902.5</v>
      </c>
      <c r="BK43" s="55" t="n">
        <f aca="false">BH43+BJ43</f>
        <v>14652.5</v>
      </c>
      <c r="BL43" s="59" t="n">
        <f aca="false">IF(BH43&gt;0,BJ43/BH43,0)</f>
        <v>0.14921568627451</v>
      </c>
      <c r="BM43" s="60" t="n">
        <f aca="false">2_Market_Gross_USD!I41</f>
        <v>7345</v>
      </c>
      <c r="BN43" s="53" t="n">
        <f aca="false">BM43*(1-0.4785)</f>
        <v>3830.4175</v>
      </c>
      <c r="BO43" s="58" t="n">
        <f aca="false">BM43*0.21+0</f>
        <v>1542.45</v>
      </c>
      <c r="BP43" s="55" t="n">
        <f aca="false">BM43+BO43</f>
        <v>8887.45</v>
      </c>
      <c r="BQ43" s="59" t="n">
        <f aca="false">IF(BM43&gt;0,BO43/BM43,0)</f>
        <v>0.21</v>
      </c>
      <c r="BR43" s="60" t="n">
        <f aca="false">2_Market_Gross_USD!I41</f>
        <v>7345</v>
      </c>
      <c r="BS43" s="53" t="n">
        <f aca="false">BR43*(1-0.25)</f>
        <v>5508.75</v>
      </c>
      <c r="BT43" s="58" t="n">
        <f aca="false">BR43*0+0</f>
        <v>0</v>
      </c>
      <c r="BU43" s="55" t="n">
        <f aca="false">BR43+BT43</f>
        <v>7345</v>
      </c>
      <c r="BV43" s="59" t="n">
        <f aca="false">IF(BR43&gt;0,BT43/BR43,0)</f>
        <v>0</v>
      </c>
      <c r="BW43" s="60" t="n">
        <f aca="false">2_Market_Gross_USD!I41</f>
        <v>7345</v>
      </c>
      <c r="BX43" s="53" t="n">
        <f aca="false">BW43*(1-0.4785)</f>
        <v>3830.4175</v>
      </c>
      <c r="BY43" s="58" t="n">
        <f aca="false">BW43*0.21+500</f>
        <v>2042.45</v>
      </c>
      <c r="BZ43" s="55" t="n">
        <f aca="false">BW43+BY43</f>
        <v>9387.45</v>
      </c>
      <c r="CA43" s="59" t="n">
        <f aca="false">IF(BW43&gt;0,BY43/BW43,0)</f>
        <v>0.278073519400953</v>
      </c>
      <c r="CB43" s="60" t="n">
        <f aca="false">2_Market_Gross_USD!J41</f>
        <v>8475</v>
      </c>
      <c r="CC43" s="53" t="n">
        <f aca="false">CB43*(1-0.3697)</f>
        <v>5341.7925</v>
      </c>
      <c r="CD43" s="58" t="n">
        <f aca="false">CB43*0.2+0</f>
        <v>1695</v>
      </c>
      <c r="CE43" s="55" t="n">
        <f aca="false">CB43+CD43</f>
        <v>10170</v>
      </c>
      <c r="CF43" s="59" t="n">
        <f aca="false">IF(CB43&gt;0,CD43/CB43,0)</f>
        <v>0.2</v>
      </c>
      <c r="CG43" s="60" t="n">
        <f aca="false">2_Market_Gross_USD!J41</f>
        <v>8475</v>
      </c>
      <c r="CH43" s="53" t="n">
        <f aca="false">CG43*(1-0.3697)</f>
        <v>5341.7925</v>
      </c>
      <c r="CI43" s="58" t="n">
        <f aca="false">CG43*0+0</f>
        <v>0</v>
      </c>
      <c r="CJ43" s="55" t="n">
        <f aca="false">CG43+CI43</f>
        <v>8475</v>
      </c>
      <c r="CK43" s="59" t="n">
        <f aca="false">IF(CG43&gt;0,CI43/CG43,0)</f>
        <v>0</v>
      </c>
      <c r="CL43" s="60" t="n">
        <f aca="false">2_Market_Gross_USD!J41</f>
        <v>8475</v>
      </c>
      <c r="CM43" s="53" t="n">
        <f aca="false">CL43*(1-0.3697)</f>
        <v>5341.7925</v>
      </c>
      <c r="CN43" s="58" t="n">
        <f aca="false">CL43*0.2+500</f>
        <v>2195</v>
      </c>
      <c r="CO43" s="55" t="n">
        <f aca="false">CL43+CN43</f>
        <v>10670</v>
      </c>
      <c r="CP43" s="59" t="n">
        <f aca="false">IF(CL43&gt;0,CN43/CL43,0)</f>
        <v>0.258997050147493</v>
      </c>
      <c r="CQ43" s="60" t="n">
        <f aca="false">2_Market_Gross_USD!K41</f>
        <v>4230</v>
      </c>
      <c r="CR43" s="53" t="n">
        <f aca="false">CQ43*(1-0.26)</f>
        <v>3130.2</v>
      </c>
      <c r="CS43" s="58" t="n">
        <f aca="false">CQ43*0.338+0</f>
        <v>1429.74</v>
      </c>
      <c r="CT43" s="55" t="n">
        <f aca="false">CQ43+CS43</f>
        <v>5659.74</v>
      </c>
      <c r="CU43" s="59" t="n">
        <f aca="false">IF(CQ43&gt;0,CS43/CQ43,0)</f>
        <v>0.338</v>
      </c>
      <c r="CV43" s="60" t="n">
        <f aca="false">2_Market_Gross_USD!K41</f>
        <v>4230</v>
      </c>
      <c r="CW43" s="53" t="n">
        <f aca="false">CV43*(1-0.15)</f>
        <v>3595.5</v>
      </c>
      <c r="CX43" s="58" t="n">
        <f aca="false">CV43*0+0</f>
        <v>0</v>
      </c>
      <c r="CY43" s="55" t="n">
        <f aca="false">CV43+CX43</f>
        <v>4230</v>
      </c>
      <c r="CZ43" s="59" t="n">
        <f aca="false">IF(CV43&gt;0,CX43/CV43,0)</f>
        <v>0</v>
      </c>
      <c r="DA43" s="60" t="n">
        <f aca="false">2_Market_Gross_USD!K41</f>
        <v>4230</v>
      </c>
      <c r="DB43" s="53" t="n">
        <f aca="false">DA43*(1-0.26)</f>
        <v>3130.2</v>
      </c>
      <c r="DC43" s="58" t="n">
        <f aca="false">DA43*0.338+500</f>
        <v>1929.74</v>
      </c>
      <c r="DD43" s="55" t="n">
        <f aca="false">DA43+DC43</f>
        <v>6159.74</v>
      </c>
      <c r="DE43" s="59" t="n">
        <f aca="false">IF(DA43&gt;0,DC43/DA43,0)</f>
        <v>0.456203309692671</v>
      </c>
      <c r="DF43" s="60" t="n">
        <f aca="false">2_Market_Gross_USD!L41</f>
        <v>5650</v>
      </c>
      <c r="DG43" s="53" t="n">
        <f aca="false">DF43*(1-0.34)</f>
        <v>3729</v>
      </c>
      <c r="DH43" s="58" t="n">
        <f aca="false">DF43*0.2375+0</f>
        <v>1341.875</v>
      </c>
      <c r="DI43" s="55" t="n">
        <f aca="false">DF43+DH43</f>
        <v>6991.875</v>
      </c>
      <c r="DJ43" s="59" t="n">
        <f aca="false">IF(DF43&gt;0,DH43/DF43,0)</f>
        <v>0.2375</v>
      </c>
      <c r="DK43" s="60" t="n">
        <f aca="false">2_Market_Gross_USD!L41</f>
        <v>5650</v>
      </c>
      <c r="DL43" s="53" t="n">
        <f aca="false">DK43*(1-0.2)</f>
        <v>4520</v>
      </c>
      <c r="DM43" s="58" t="n">
        <f aca="false">DK43*0+0</f>
        <v>0</v>
      </c>
      <c r="DN43" s="55" t="n">
        <f aca="false">DK43+DM43</f>
        <v>5650</v>
      </c>
      <c r="DO43" s="59" t="n">
        <f aca="false">IF(DK43&gt;0,DM43/DK43,0)</f>
        <v>0</v>
      </c>
      <c r="DP43" s="60" t="n">
        <f aca="false">2_Market_Gross_USD!L41</f>
        <v>5650</v>
      </c>
      <c r="DQ43" s="53" t="n">
        <f aca="false">DP43*(1-0.34)</f>
        <v>3729</v>
      </c>
      <c r="DR43" s="58" t="n">
        <f aca="false">DP43*0.2375+500</f>
        <v>1841.875</v>
      </c>
      <c r="DS43" s="55" t="n">
        <f aca="false">DP43+DR43</f>
        <v>7491.875</v>
      </c>
      <c r="DT43" s="59" t="n">
        <f aca="false">IF(DP43&gt;0,DR43/DP43,0)</f>
        <v>0.325995575221239</v>
      </c>
      <c r="DU43" s="60" t="n">
        <f aca="false">2_Market_Gross_USD!M41</f>
        <v>3733</v>
      </c>
      <c r="DV43" s="53" t="n">
        <f aca="false">DU43*0.65</f>
        <v>2426.45</v>
      </c>
      <c r="DW43" s="58" t="n">
        <f aca="false">DU43*0.0225+0</f>
        <v>83.9925</v>
      </c>
      <c r="DX43" s="55" t="n">
        <f aca="false">DU43+DW43</f>
        <v>3816.9925</v>
      </c>
      <c r="DY43" s="59" t="n">
        <f aca="false">IF(DU43&gt;0,DW43/DU43,0)</f>
        <v>0.0225</v>
      </c>
      <c r="DZ43" s="60" t="n">
        <f aca="false">2_Market_Gross_USD!M41</f>
        <v>3733</v>
      </c>
      <c r="EA43" s="53" t="n">
        <f aca="false">DZ43*(1-0.01)</f>
        <v>3695.67</v>
      </c>
      <c r="EB43" s="58" t="n">
        <f aca="false">DZ43*0+0</f>
        <v>0</v>
      </c>
      <c r="EC43" s="55" t="n">
        <f aca="false">DZ43+EB43</f>
        <v>3733</v>
      </c>
      <c r="ED43" s="59" t="n">
        <f aca="false">IF(DZ43&gt;0,EB43/DZ43,0)</f>
        <v>0</v>
      </c>
      <c r="EE43" s="60" t="n">
        <f aca="false">2_Market_Gross_USD!M41</f>
        <v>3733</v>
      </c>
      <c r="EF43" s="53" t="n">
        <f aca="false">EE43*0.65</f>
        <v>2426.45</v>
      </c>
      <c r="EG43" s="58" t="n">
        <f aca="false">EE43*0.0225+500</f>
        <v>583.9925</v>
      </c>
      <c r="EH43" s="55" t="n">
        <f aca="false">EE43+EG43</f>
        <v>4316.9925</v>
      </c>
      <c r="EI43" s="59" t="n">
        <f aca="false">IF(EE43&gt;0,EG43/EE43,0)</f>
        <v>0.1564405304045</v>
      </c>
    </row>
    <row r="44" customFormat="false" ht="15" hidden="false" customHeight="false" outlineLevel="0" collapsed="false">
      <c r="A44" s="37" t="n">
        <v>39</v>
      </c>
      <c r="B44" s="32" t="s">
        <v>272</v>
      </c>
      <c r="C44" s="32" t="s">
        <v>275</v>
      </c>
      <c r="D44" s="38" t="s">
        <v>248</v>
      </c>
      <c r="E44" s="52" t="n">
        <f aca="false">2_Market_Gross_USD!E42</f>
        <v>1250</v>
      </c>
      <c r="F44" s="53" t="n">
        <f aca="false">E44*(1-0.065)</f>
        <v>1168.75</v>
      </c>
      <c r="G44" s="54" t="n">
        <f aca="false">E44*0+35</f>
        <v>35</v>
      </c>
      <c r="H44" s="55" t="n">
        <f aca="false">E44+G44</f>
        <v>1285</v>
      </c>
      <c r="I44" s="56" t="n">
        <f aca="false">IF(E44&gt;0,G44/E44,0)</f>
        <v>0.028</v>
      </c>
      <c r="J44" s="52" t="n">
        <f aca="false">2_Market_Gross_USD!E42</f>
        <v>1250</v>
      </c>
      <c r="K44" s="53" t="n">
        <f aca="false">J44*(1-0.065)</f>
        <v>1168.75</v>
      </c>
      <c r="L44" s="54" t="n">
        <f aca="false">J44*0+40</f>
        <v>40</v>
      </c>
      <c r="M44" s="55" t="n">
        <f aca="false">J44+L44</f>
        <v>1290</v>
      </c>
      <c r="N44" s="56" t="n">
        <f aca="false">IF(J44&gt;0,L44/J44,0)</f>
        <v>0.032</v>
      </c>
      <c r="O44" s="52" t="n">
        <f aca="false">2_Market_Gross_USD!E42</f>
        <v>1250</v>
      </c>
      <c r="P44" s="53" t="n">
        <f aca="false">O44*(1-0.195)</f>
        <v>1006.25</v>
      </c>
      <c r="Q44" s="54" t="n">
        <f aca="false">IF(O44&gt;=3886,3886*0.22,O44*0.22)</f>
        <v>275</v>
      </c>
      <c r="R44" s="55" t="n">
        <f aca="false">O44+Q44</f>
        <v>1525</v>
      </c>
      <c r="S44" s="56" t="n">
        <f aca="false">IF(O44&gt;0,Q44/O44,0)</f>
        <v>0.22</v>
      </c>
      <c r="T44" s="57" t="n">
        <f aca="false">2_Market_Gross_USD!F42</f>
        <v>3315</v>
      </c>
      <c r="U44" s="53" t="n">
        <f aca="false">T44*(1-0.2571)</f>
        <v>2462.7135</v>
      </c>
      <c r="V44" s="54" t="n">
        <f aca="false">T44*0.2038+0</f>
        <v>675.597</v>
      </c>
      <c r="W44" s="55" t="n">
        <f aca="false">T44+V44</f>
        <v>3990.597</v>
      </c>
      <c r="X44" s="56" t="n">
        <f aca="false">IF(T44&gt;0,V44/T44,0)</f>
        <v>0.2038</v>
      </c>
      <c r="Y44" s="57" t="n">
        <f aca="false">2_Market_Gross_USD!F42</f>
        <v>3315</v>
      </c>
      <c r="Z44" s="53" t="n">
        <f aca="false">Y44*(1-0.12)</f>
        <v>2917.2</v>
      </c>
      <c r="AA44" s="54" t="n">
        <f aca="false">Y44*0+0</f>
        <v>0</v>
      </c>
      <c r="AB44" s="55" t="n">
        <f aca="false">Y44+AA44</f>
        <v>3315</v>
      </c>
      <c r="AC44" s="56" t="n">
        <f aca="false">IF(Y44&gt;0,AA44/Y44,0)</f>
        <v>0</v>
      </c>
      <c r="AD44" s="57" t="n">
        <f aca="false">2_Market_Gross_USD!F42</f>
        <v>3315</v>
      </c>
      <c r="AE44" s="53" t="n">
        <f aca="false">AD44*(1-0.2571)</f>
        <v>2462.7135</v>
      </c>
      <c r="AF44" s="54" t="n">
        <f aca="false">AD44*0.2038+500</f>
        <v>1175.597</v>
      </c>
      <c r="AG44" s="55" t="n">
        <f aca="false">AD44+AF44</f>
        <v>4490.597</v>
      </c>
      <c r="AH44" s="56" t="n">
        <f aca="false">IF(AD44&gt;0,AF44/AD44,0)</f>
        <v>0.354629562594269</v>
      </c>
      <c r="AI44" s="57" t="n">
        <f aca="false">2_Market_Gross_USD!G42</f>
        <v>4763</v>
      </c>
      <c r="AJ44" s="53" t="n">
        <f aca="false">AI44*(1-0.28)</f>
        <v>3429.36</v>
      </c>
      <c r="AK44" s="54" t="n">
        <f aca="false">AI44*0.15+0</f>
        <v>714.45</v>
      </c>
      <c r="AL44" s="55" t="n">
        <f aca="false">AI44+AK44</f>
        <v>5477.45</v>
      </c>
      <c r="AM44" s="56" t="n">
        <f aca="false">IF(AI44&gt;0,AK44/AI44,0)</f>
        <v>0.15</v>
      </c>
      <c r="AN44" s="57" t="n">
        <f aca="false">2_Market_Gross_USD!G42</f>
        <v>4763</v>
      </c>
      <c r="AO44" s="53" t="n">
        <f aca="false">AN44*(1-0.19)</f>
        <v>3858.03</v>
      </c>
      <c r="AP44" s="54" t="n">
        <f aca="false">AN44*0+0</f>
        <v>0</v>
      </c>
      <c r="AQ44" s="55" t="n">
        <f aca="false">AN44+AP44</f>
        <v>4763</v>
      </c>
      <c r="AR44" s="56" t="n">
        <f aca="false">IF(AN44&gt;0,AP44/AN44,0)</f>
        <v>0</v>
      </c>
      <c r="AS44" s="57" t="n">
        <f aca="false">2_Market_Gross_USD!G42</f>
        <v>4763</v>
      </c>
      <c r="AT44" s="53" t="n">
        <f aca="false">AS44*(1-0.28)</f>
        <v>3429.36</v>
      </c>
      <c r="AU44" s="54" t="n">
        <f aca="false">AS44*0.15+500</f>
        <v>1214.45</v>
      </c>
      <c r="AV44" s="55" t="n">
        <f aca="false">AS44+AU44</f>
        <v>5977.45</v>
      </c>
      <c r="AW44" s="56" t="n">
        <f aca="false">IF(AS44&gt;0,AU44/AS44,0)</f>
        <v>0.254975855553223</v>
      </c>
      <c r="AX44" s="57" t="n">
        <f aca="false">2_Market_Gross_USD!H42</f>
        <v>12000</v>
      </c>
      <c r="AY44" s="53" t="n">
        <f aca="false">AX44*(1-0.2965)</f>
        <v>8442</v>
      </c>
      <c r="AZ44" s="54" t="n">
        <f aca="false">AX44*0.11+0</f>
        <v>1320</v>
      </c>
      <c r="BA44" s="55" t="n">
        <f aca="false">AX44+AZ44</f>
        <v>13320</v>
      </c>
      <c r="BB44" s="56" t="n">
        <f aca="false">IF(AX44&gt;0,AZ44/AX44,0)</f>
        <v>0.11</v>
      </c>
      <c r="BC44" s="57" t="n">
        <f aca="false">2_Market_Gross_USD!H42</f>
        <v>12000</v>
      </c>
      <c r="BD44" s="53" t="n">
        <f aca="false">BC44*(1-0.373)</f>
        <v>7524</v>
      </c>
      <c r="BE44" s="54" t="n">
        <f aca="false">BC44*0+0</f>
        <v>0</v>
      </c>
      <c r="BF44" s="55" t="n">
        <f aca="false">BC44+BE44</f>
        <v>12000</v>
      </c>
      <c r="BG44" s="56" t="n">
        <f aca="false">IF(BC44&gt;0,BE44/BC44,0)</f>
        <v>0</v>
      </c>
      <c r="BH44" s="57" t="n">
        <f aca="false">2_Market_Gross_USD!H42</f>
        <v>12000</v>
      </c>
      <c r="BI44" s="53" t="n">
        <f aca="false">BH44*(1-0.2965)</f>
        <v>8442</v>
      </c>
      <c r="BJ44" s="54" t="n">
        <f aca="false">BH44*0.11+500</f>
        <v>1820</v>
      </c>
      <c r="BK44" s="55" t="n">
        <f aca="false">BH44+BJ44</f>
        <v>13820</v>
      </c>
      <c r="BL44" s="56" t="n">
        <f aca="false">IF(BH44&gt;0,BJ44/BH44,0)</f>
        <v>0.151666666666667</v>
      </c>
      <c r="BM44" s="57" t="n">
        <f aca="false">2_Market_Gross_USD!I42</f>
        <v>5085</v>
      </c>
      <c r="BN44" s="53" t="n">
        <f aca="false">BM44*(1-0.4785)</f>
        <v>2651.8275</v>
      </c>
      <c r="BO44" s="54" t="n">
        <f aca="false">BM44*0.21+0</f>
        <v>1067.85</v>
      </c>
      <c r="BP44" s="55" t="n">
        <f aca="false">BM44+BO44</f>
        <v>6152.85</v>
      </c>
      <c r="BQ44" s="56" t="n">
        <f aca="false">IF(BM44&gt;0,BO44/BM44,0)</f>
        <v>0.21</v>
      </c>
      <c r="BR44" s="57" t="n">
        <f aca="false">2_Market_Gross_USD!I42</f>
        <v>5085</v>
      </c>
      <c r="BS44" s="53" t="n">
        <f aca="false">BR44*(1-0.25)</f>
        <v>3813.75</v>
      </c>
      <c r="BT44" s="54" t="n">
        <f aca="false">BR44*0+0</f>
        <v>0</v>
      </c>
      <c r="BU44" s="55" t="n">
        <f aca="false">BR44+BT44</f>
        <v>5085</v>
      </c>
      <c r="BV44" s="56" t="n">
        <f aca="false">IF(BR44&gt;0,BT44/BR44,0)</f>
        <v>0</v>
      </c>
      <c r="BW44" s="57" t="n">
        <f aca="false">2_Market_Gross_USD!I42</f>
        <v>5085</v>
      </c>
      <c r="BX44" s="53" t="n">
        <f aca="false">BW44*(1-0.4785)</f>
        <v>2651.8275</v>
      </c>
      <c r="BY44" s="54" t="n">
        <f aca="false">BW44*0.21+500</f>
        <v>1567.85</v>
      </c>
      <c r="BZ44" s="55" t="n">
        <f aca="false">BW44+BY44</f>
        <v>6652.85</v>
      </c>
      <c r="CA44" s="56" t="n">
        <f aca="false">IF(BW44&gt;0,BY44/BW44,0)</f>
        <v>0.308328416912488</v>
      </c>
      <c r="CB44" s="57" t="n">
        <f aca="false">2_Market_Gross_USD!J42</f>
        <v>5650</v>
      </c>
      <c r="CC44" s="53" t="n">
        <f aca="false">CB44*(1-0.3697)</f>
        <v>3561.195</v>
      </c>
      <c r="CD44" s="54" t="n">
        <f aca="false">CB44*0.2+0</f>
        <v>1130</v>
      </c>
      <c r="CE44" s="55" t="n">
        <f aca="false">CB44+CD44</f>
        <v>6780</v>
      </c>
      <c r="CF44" s="56" t="n">
        <f aca="false">IF(CB44&gt;0,CD44/CB44,0)</f>
        <v>0.2</v>
      </c>
      <c r="CG44" s="57" t="n">
        <f aca="false">2_Market_Gross_USD!J42</f>
        <v>5650</v>
      </c>
      <c r="CH44" s="53" t="n">
        <f aca="false">CG44*(1-0.3697)</f>
        <v>3561.195</v>
      </c>
      <c r="CI44" s="54" t="n">
        <f aca="false">CG44*0+0</f>
        <v>0</v>
      </c>
      <c r="CJ44" s="55" t="n">
        <f aca="false">CG44+CI44</f>
        <v>5650</v>
      </c>
      <c r="CK44" s="56" t="n">
        <f aca="false">IF(CG44&gt;0,CI44/CG44,0)</f>
        <v>0</v>
      </c>
      <c r="CL44" s="57" t="n">
        <f aca="false">2_Market_Gross_USD!J42</f>
        <v>5650</v>
      </c>
      <c r="CM44" s="53" t="n">
        <f aca="false">CL44*(1-0.3697)</f>
        <v>3561.195</v>
      </c>
      <c r="CN44" s="54" t="n">
        <f aca="false">CL44*0.2+500</f>
        <v>1630</v>
      </c>
      <c r="CO44" s="55" t="n">
        <f aca="false">CL44+CN44</f>
        <v>7280</v>
      </c>
      <c r="CP44" s="56" t="n">
        <f aca="false">IF(CL44&gt;0,CN44/CL44,0)</f>
        <v>0.288495575221239</v>
      </c>
      <c r="CQ44" s="57" t="n">
        <f aca="false">2_Market_Gross_USD!K42</f>
        <v>2561</v>
      </c>
      <c r="CR44" s="53" t="n">
        <f aca="false">CQ44*(1-0.26)</f>
        <v>1895.14</v>
      </c>
      <c r="CS44" s="54" t="n">
        <f aca="false">CQ44*0.338+0</f>
        <v>865.618</v>
      </c>
      <c r="CT44" s="55" t="n">
        <f aca="false">CQ44+CS44</f>
        <v>3426.618</v>
      </c>
      <c r="CU44" s="56" t="n">
        <f aca="false">IF(CQ44&gt;0,CS44/CQ44,0)</f>
        <v>0.338</v>
      </c>
      <c r="CV44" s="57" t="n">
        <f aca="false">2_Market_Gross_USD!K42</f>
        <v>2561</v>
      </c>
      <c r="CW44" s="53" t="n">
        <f aca="false">CV44*(1-0.15)</f>
        <v>2176.85</v>
      </c>
      <c r="CX44" s="54" t="n">
        <f aca="false">CV44*0+0</f>
        <v>0</v>
      </c>
      <c r="CY44" s="55" t="n">
        <f aca="false">CV44+CX44</f>
        <v>2561</v>
      </c>
      <c r="CZ44" s="56" t="n">
        <f aca="false">IF(CV44&gt;0,CX44/CV44,0)</f>
        <v>0</v>
      </c>
      <c r="DA44" s="57" t="n">
        <f aca="false">2_Market_Gross_USD!K42</f>
        <v>2561</v>
      </c>
      <c r="DB44" s="53" t="n">
        <f aca="false">DA44*(1-0.26)</f>
        <v>1895.14</v>
      </c>
      <c r="DC44" s="54" t="n">
        <f aca="false">DA44*0.338+500</f>
        <v>1365.618</v>
      </c>
      <c r="DD44" s="55" t="n">
        <f aca="false">DA44+DC44</f>
        <v>3926.618</v>
      </c>
      <c r="DE44" s="56" t="n">
        <f aca="false">IF(DA44&gt;0,DC44/DA44,0)</f>
        <v>0.533236235845373</v>
      </c>
      <c r="DF44" s="57" t="n">
        <f aca="false">2_Market_Gross_USD!L42</f>
        <v>3390</v>
      </c>
      <c r="DG44" s="53" t="n">
        <f aca="false">DF44*(1-0.34)</f>
        <v>2237.4</v>
      </c>
      <c r="DH44" s="54" t="n">
        <f aca="false">DF44*0.2375+0</f>
        <v>805.125</v>
      </c>
      <c r="DI44" s="55" t="n">
        <f aca="false">DF44+DH44</f>
        <v>4195.125</v>
      </c>
      <c r="DJ44" s="56" t="n">
        <f aca="false">IF(DF44&gt;0,DH44/DF44,0)</f>
        <v>0.2375</v>
      </c>
      <c r="DK44" s="57" t="n">
        <f aca="false">2_Market_Gross_USD!L42</f>
        <v>3390</v>
      </c>
      <c r="DL44" s="53" t="n">
        <f aca="false">DK44*(1-0.2)</f>
        <v>2712</v>
      </c>
      <c r="DM44" s="54" t="n">
        <f aca="false">DK44*0+0</f>
        <v>0</v>
      </c>
      <c r="DN44" s="55" t="n">
        <f aca="false">DK44+DM44</f>
        <v>3390</v>
      </c>
      <c r="DO44" s="56" t="n">
        <f aca="false">IF(DK44&gt;0,DM44/DK44,0)</f>
        <v>0</v>
      </c>
      <c r="DP44" s="57" t="n">
        <f aca="false">2_Market_Gross_USD!L42</f>
        <v>3390</v>
      </c>
      <c r="DQ44" s="53" t="n">
        <f aca="false">DP44*(1-0.34)</f>
        <v>2237.4</v>
      </c>
      <c r="DR44" s="54" t="n">
        <f aca="false">DP44*0.2375+500</f>
        <v>1305.125</v>
      </c>
      <c r="DS44" s="55" t="n">
        <f aca="false">DP44+DR44</f>
        <v>4695.125</v>
      </c>
      <c r="DT44" s="56" t="n">
        <f aca="false">IF(DP44&gt;0,DR44/DP44,0)</f>
        <v>0.384992625368732</v>
      </c>
      <c r="DU44" s="57" t="n">
        <f aca="false">2_Market_Gross_USD!M42</f>
        <v>2167</v>
      </c>
      <c r="DV44" s="53" t="n">
        <f aca="false">DU44*0.65</f>
        <v>1408.55</v>
      </c>
      <c r="DW44" s="54" t="n">
        <f aca="false">DU44*0.0225+0</f>
        <v>48.7575</v>
      </c>
      <c r="DX44" s="55" t="n">
        <f aca="false">DU44+DW44</f>
        <v>2215.7575</v>
      </c>
      <c r="DY44" s="56" t="n">
        <f aca="false">IF(DU44&gt;0,DW44/DU44,0)</f>
        <v>0.0225</v>
      </c>
      <c r="DZ44" s="57" t="n">
        <f aca="false">2_Market_Gross_USD!M42</f>
        <v>2167</v>
      </c>
      <c r="EA44" s="53" t="n">
        <f aca="false">DZ44*(1-0.01)</f>
        <v>2145.33</v>
      </c>
      <c r="EB44" s="54" t="n">
        <f aca="false">DZ44*0+0</f>
        <v>0</v>
      </c>
      <c r="EC44" s="55" t="n">
        <f aca="false">DZ44+EB44</f>
        <v>2167</v>
      </c>
      <c r="ED44" s="56" t="n">
        <f aca="false">IF(DZ44&gt;0,EB44/DZ44,0)</f>
        <v>0</v>
      </c>
      <c r="EE44" s="57" t="n">
        <f aca="false">2_Market_Gross_USD!M42</f>
        <v>2167</v>
      </c>
      <c r="EF44" s="53" t="n">
        <f aca="false">EE44*0.65</f>
        <v>1408.55</v>
      </c>
      <c r="EG44" s="54" t="n">
        <f aca="false">EE44*0.0225+500</f>
        <v>548.7575</v>
      </c>
      <c r="EH44" s="55" t="n">
        <f aca="false">EE44+EG44</f>
        <v>2715.7575</v>
      </c>
      <c r="EI44" s="56" t="n">
        <f aca="false">IF(EE44&gt;0,EG44/EE44,0)</f>
        <v>0.253233733271804</v>
      </c>
    </row>
    <row r="45" customFormat="false" ht="15" hidden="false" customHeight="false" outlineLevel="0" collapsed="false">
      <c r="A45" s="41" t="n">
        <v>40</v>
      </c>
      <c r="B45" s="28" t="s">
        <v>272</v>
      </c>
      <c r="C45" s="8" t="s">
        <v>275</v>
      </c>
      <c r="D45" s="42" t="s">
        <v>249</v>
      </c>
      <c r="E45" s="52" t="n">
        <f aca="false">2_Market_Gross_USD!E43</f>
        <v>4250</v>
      </c>
      <c r="F45" s="53" t="n">
        <f aca="false">E45*(1-0.065)</f>
        <v>3973.75</v>
      </c>
      <c r="G45" s="58" t="n">
        <f aca="false">E45*0+35</f>
        <v>35</v>
      </c>
      <c r="H45" s="55" t="n">
        <f aca="false">E45+G45</f>
        <v>4285</v>
      </c>
      <c r="I45" s="59" t="n">
        <f aca="false">IF(E45&gt;0,G45/E45,0)</f>
        <v>0.00823529411764706</v>
      </c>
      <c r="J45" s="52" t="n">
        <f aca="false">2_Market_Gross_USD!E43</f>
        <v>4250</v>
      </c>
      <c r="K45" s="53" t="n">
        <f aca="false">J45*(1-0.065)</f>
        <v>3973.75</v>
      </c>
      <c r="L45" s="58" t="n">
        <f aca="false">J45*0+40</f>
        <v>40</v>
      </c>
      <c r="M45" s="55" t="n">
        <f aca="false">J45+L45</f>
        <v>4290</v>
      </c>
      <c r="N45" s="59" t="n">
        <f aca="false">IF(J45&gt;0,L45/J45,0)</f>
        <v>0.00941176470588235</v>
      </c>
      <c r="O45" s="52" t="n">
        <f aca="false">2_Market_Gross_USD!E43</f>
        <v>4250</v>
      </c>
      <c r="P45" s="53" t="n">
        <f aca="false">O45*(1-0.195)</f>
        <v>3421.25</v>
      </c>
      <c r="Q45" s="58" t="n">
        <f aca="false">IF(O45&gt;=3886,3886*0.22,O45*0.22)</f>
        <v>854.92</v>
      </c>
      <c r="R45" s="55" t="n">
        <f aca="false">O45+Q45</f>
        <v>5104.92</v>
      </c>
      <c r="S45" s="59" t="n">
        <f aca="false">IF(O45&gt;0,Q45/O45,0)</f>
        <v>0.201157647058824</v>
      </c>
      <c r="T45" s="60" t="n">
        <f aca="false">2_Market_Gross_USD!F43</f>
        <v>5610</v>
      </c>
      <c r="U45" s="53" t="n">
        <f aca="false">T45*(1-0.2571)</f>
        <v>4167.669</v>
      </c>
      <c r="V45" s="58" t="n">
        <f aca="false">T45*0.2038+0</f>
        <v>1143.318</v>
      </c>
      <c r="W45" s="55" t="n">
        <f aca="false">T45+V45</f>
        <v>6753.318</v>
      </c>
      <c r="X45" s="59" t="n">
        <f aca="false">IF(T45&gt;0,V45/T45,0)</f>
        <v>0.2038</v>
      </c>
      <c r="Y45" s="60" t="n">
        <f aca="false">2_Market_Gross_USD!F43</f>
        <v>5610</v>
      </c>
      <c r="Z45" s="53" t="n">
        <f aca="false">Y45*(1-0.12)</f>
        <v>4936.8</v>
      </c>
      <c r="AA45" s="58" t="n">
        <f aca="false">Y45*0+0</f>
        <v>0</v>
      </c>
      <c r="AB45" s="55" t="n">
        <f aca="false">Y45+AA45</f>
        <v>5610</v>
      </c>
      <c r="AC45" s="59" t="n">
        <f aca="false">IF(Y45&gt;0,AA45/Y45,0)</f>
        <v>0</v>
      </c>
      <c r="AD45" s="60" t="n">
        <f aca="false">2_Market_Gross_USD!F43</f>
        <v>5610</v>
      </c>
      <c r="AE45" s="53" t="n">
        <f aca="false">AD45*(1-0.2571)</f>
        <v>4167.669</v>
      </c>
      <c r="AF45" s="58" t="n">
        <f aca="false">AD45*0.2038+500</f>
        <v>1643.318</v>
      </c>
      <c r="AG45" s="55" t="n">
        <f aca="false">AD45+AF45</f>
        <v>7253.318</v>
      </c>
      <c r="AH45" s="59" t="n">
        <f aca="false">IF(AD45&gt;0,AF45/AD45,0)</f>
        <v>0.292926559714795</v>
      </c>
      <c r="AI45" s="60" t="n">
        <f aca="false">2_Market_Gross_USD!G43</f>
        <v>6879</v>
      </c>
      <c r="AJ45" s="53" t="n">
        <f aca="false">AI45*(1-0.28)</f>
        <v>4952.88</v>
      </c>
      <c r="AK45" s="58" t="n">
        <f aca="false">AI45*0.15+0</f>
        <v>1031.85</v>
      </c>
      <c r="AL45" s="55" t="n">
        <f aca="false">AI45+AK45</f>
        <v>7910.85</v>
      </c>
      <c r="AM45" s="59" t="n">
        <f aca="false">IF(AI45&gt;0,AK45/AI45,0)</f>
        <v>0.15</v>
      </c>
      <c r="AN45" s="60" t="n">
        <f aca="false">2_Market_Gross_USD!G43</f>
        <v>6879</v>
      </c>
      <c r="AO45" s="53" t="n">
        <f aca="false">AN45*(1-0.19)</f>
        <v>5571.99</v>
      </c>
      <c r="AP45" s="58" t="n">
        <f aca="false">AN45*0+0</f>
        <v>0</v>
      </c>
      <c r="AQ45" s="55" t="n">
        <f aca="false">AN45+AP45</f>
        <v>6879</v>
      </c>
      <c r="AR45" s="59" t="n">
        <f aca="false">IF(AN45&gt;0,AP45/AN45,0)</f>
        <v>0</v>
      </c>
      <c r="AS45" s="60" t="n">
        <f aca="false">2_Market_Gross_USD!G43</f>
        <v>6879</v>
      </c>
      <c r="AT45" s="53" t="n">
        <f aca="false">AS45*(1-0.28)</f>
        <v>4952.88</v>
      </c>
      <c r="AU45" s="58" t="n">
        <f aca="false">AS45*0.15+500</f>
        <v>1531.85</v>
      </c>
      <c r="AV45" s="55" t="n">
        <f aca="false">AS45+AU45</f>
        <v>8410.85</v>
      </c>
      <c r="AW45" s="59" t="n">
        <f aca="false">IF(AS45&gt;0,AU45/AS45,0)</f>
        <v>0.222684983282454</v>
      </c>
      <c r="AX45" s="60" t="n">
        <f aca="false">2_Market_Gross_USD!H43</f>
        <v>13600</v>
      </c>
      <c r="AY45" s="53" t="n">
        <f aca="false">AX45*(1-0.2965)</f>
        <v>9567.6</v>
      </c>
      <c r="AZ45" s="58" t="n">
        <f aca="false">AX45*0.11+0</f>
        <v>1496</v>
      </c>
      <c r="BA45" s="55" t="n">
        <f aca="false">AX45+AZ45</f>
        <v>15096</v>
      </c>
      <c r="BB45" s="59" t="n">
        <f aca="false">IF(AX45&gt;0,AZ45/AX45,0)</f>
        <v>0.11</v>
      </c>
      <c r="BC45" s="60" t="n">
        <f aca="false">2_Market_Gross_USD!H43</f>
        <v>13600</v>
      </c>
      <c r="BD45" s="53" t="n">
        <f aca="false">BC45*(1-0.373)</f>
        <v>8527.2</v>
      </c>
      <c r="BE45" s="58" t="n">
        <f aca="false">BC45*0+0</f>
        <v>0</v>
      </c>
      <c r="BF45" s="55" t="n">
        <f aca="false">BC45+BE45</f>
        <v>13600</v>
      </c>
      <c r="BG45" s="59" t="n">
        <f aca="false">IF(BC45&gt;0,BE45/BC45,0)</f>
        <v>0</v>
      </c>
      <c r="BH45" s="60" t="n">
        <f aca="false">2_Market_Gross_USD!H43</f>
        <v>13600</v>
      </c>
      <c r="BI45" s="53" t="n">
        <f aca="false">BH45*(1-0.2965)</f>
        <v>9567.6</v>
      </c>
      <c r="BJ45" s="58" t="n">
        <f aca="false">BH45*0.11+500</f>
        <v>1996</v>
      </c>
      <c r="BK45" s="55" t="n">
        <f aca="false">BH45+BJ45</f>
        <v>15596</v>
      </c>
      <c r="BL45" s="59" t="n">
        <f aca="false">IF(BH45&gt;0,BJ45/BH45,0)</f>
        <v>0.146764705882353</v>
      </c>
      <c r="BM45" s="60" t="n">
        <f aca="false">2_Market_Gross_USD!I43</f>
        <v>7628</v>
      </c>
      <c r="BN45" s="53" t="n">
        <f aca="false">BM45*(1-0.4785)</f>
        <v>3978.002</v>
      </c>
      <c r="BO45" s="58" t="n">
        <f aca="false">BM45*0.21+0</f>
        <v>1601.88</v>
      </c>
      <c r="BP45" s="55" t="n">
        <f aca="false">BM45+BO45</f>
        <v>9229.88</v>
      </c>
      <c r="BQ45" s="59" t="n">
        <f aca="false">IF(BM45&gt;0,BO45/BM45,0)</f>
        <v>0.21</v>
      </c>
      <c r="BR45" s="60" t="n">
        <f aca="false">2_Market_Gross_USD!I43</f>
        <v>7628</v>
      </c>
      <c r="BS45" s="53" t="n">
        <f aca="false">BR45*(1-0.25)</f>
        <v>5721</v>
      </c>
      <c r="BT45" s="58" t="n">
        <f aca="false">BR45*0+0</f>
        <v>0</v>
      </c>
      <c r="BU45" s="55" t="n">
        <f aca="false">BR45+BT45</f>
        <v>7628</v>
      </c>
      <c r="BV45" s="59" t="n">
        <f aca="false">IF(BR45&gt;0,BT45/BR45,0)</f>
        <v>0</v>
      </c>
      <c r="BW45" s="60" t="n">
        <f aca="false">2_Market_Gross_USD!I43</f>
        <v>7628</v>
      </c>
      <c r="BX45" s="53" t="n">
        <f aca="false">BW45*(1-0.4785)</f>
        <v>3978.002</v>
      </c>
      <c r="BY45" s="58" t="n">
        <f aca="false">BW45*0.21+500</f>
        <v>2101.88</v>
      </c>
      <c r="BZ45" s="55" t="n">
        <f aca="false">BW45+BY45</f>
        <v>9729.88</v>
      </c>
      <c r="CA45" s="59" t="n">
        <f aca="false">IF(BW45&gt;0,BY45/BW45,0)</f>
        <v>0.275547981122181</v>
      </c>
      <c r="CB45" s="60" t="n">
        <f aca="false">2_Market_Gross_USD!J43</f>
        <v>8475</v>
      </c>
      <c r="CC45" s="53" t="n">
        <f aca="false">CB45*(1-0.3697)</f>
        <v>5341.7925</v>
      </c>
      <c r="CD45" s="58" t="n">
        <f aca="false">CB45*0.2+0</f>
        <v>1695</v>
      </c>
      <c r="CE45" s="55" t="n">
        <f aca="false">CB45+CD45</f>
        <v>10170</v>
      </c>
      <c r="CF45" s="59" t="n">
        <f aca="false">IF(CB45&gt;0,CD45/CB45,0)</f>
        <v>0.2</v>
      </c>
      <c r="CG45" s="60" t="n">
        <f aca="false">2_Market_Gross_USD!J43</f>
        <v>8475</v>
      </c>
      <c r="CH45" s="53" t="n">
        <f aca="false">CG45*(1-0.3697)</f>
        <v>5341.7925</v>
      </c>
      <c r="CI45" s="58" t="n">
        <f aca="false">CG45*0+0</f>
        <v>0</v>
      </c>
      <c r="CJ45" s="55" t="n">
        <f aca="false">CG45+CI45</f>
        <v>8475</v>
      </c>
      <c r="CK45" s="59" t="n">
        <f aca="false">IF(CG45&gt;0,CI45/CG45,0)</f>
        <v>0</v>
      </c>
      <c r="CL45" s="60" t="n">
        <f aca="false">2_Market_Gross_USD!J43</f>
        <v>8475</v>
      </c>
      <c r="CM45" s="53" t="n">
        <f aca="false">CL45*(1-0.3697)</f>
        <v>5341.7925</v>
      </c>
      <c r="CN45" s="58" t="n">
        <f aca="false">CL45*0.2+500</f>
        <v>2195</v>
      </c>
      <c r="CO45" s="55" t="n">
        <f aca="false">CL45+CN45</f>
        <v>10670</v>
      </c>
      <c r="CP45" s="59" t="n">
        <f aca="false">IF(CL45&gt;0,CN45/CL45,0)</f>
        <v>0.258997050147493</v>
      </c>
      <c r="CQ45" s="60" t="n">
        <f aca="false">2_Market_Gross_USD!K43</f>
        <v>4341</v>
      </c>
      <c r="CR45" s="53" t="n">
        <f aca="false">CQ45*(1-0.26)</f>
        <v>3212.34</v>
      </c>
      <c r="CS45" s="58" t="n">
        <f aca="false">CQ45*0.338+0</f>
        <v>1467.258</v>
      </c>
      <c r="CT45" s="55" t="n">
        <f aca="false">CQ45+CS45</f>
        <v>5808.258</v>
      </c>
      <c r="CU45" s="59" t="n">
        <f aca="false">IF(CQ45&gt;0,CS45/CQ45,0)</f>
        <v>0.338</v>
      </c>
      <c r="CV45" s="60" t="n">
        <f aca="false">2_Market_Gross_USD!K43</f>
        <v>4341</v>
      </c>
      <c r="CW45" s="53" t="n">
        <f aca="false">CV45*(1-0.15)</f>
        <v>3689.85</v>
      </c>
      <c r="CX45" s="58" t="n">
        <f aca="false">CV45*0+0</f>
        <v>0</v>
      </c>
      <c r="CY45" s="55" t="n">
        <f aca="false">CV45+CX45</f>
        <v>4341</v>
      </c>
      <c r="CZ45" s="59" t="n">
        <f aca="false">IF(CV45&gt;0,CX45/CV45,0)</f>
        <v>0</v>
      </c>
      <c r="DA45" s="60" t="n">
        <f aca="false">2_Market_Gross_USD!K43</f>
        <v>4341</v>
      </c>
      <c r="DB45" s="53" t="n">
        <f aca="false">DA45*(1-0.26)</f>
        <v>3212.34</v>
      </c>
      <c r="DC45" s="58" t="n">
        <f aca="false">DA45*0.338+500</f>
        <v>1967.258</v>
      </c>
      <c r="DD45" s="55" t="n">
        <f aca="false">DA45+DC45</f>
        <v>6308.258</v>
      </c>
      <c r="DE45" s="59" t="n">
        <f aca="false">IF(DA45&gt;0,DC45/DA45,0)</f>
        <v>0.453180833909238</v>
      </c>
      <c r="DF45" s="60" t="n">
        <f aca="false">2_Market_Gross_USD!L43</f>
        <v>5650</v>
      </c>
      <c r="DG45" s="53" t="n">
        <f aca="false">DF45*(1-0.34)</f>
        <v>3729</v>
      </c>
      <c r="DH45" s="58" t="n">
        <f aca="false">DF45*0.2375+0</f>
        <v>1341.875</v>
      </c>
      <c r="DI45" s="55" t="n">
        <f aca="false">DF45+DH45</f>
        <v>6991.875</v>
      </c>
      <c r="DJ45" s="59" t="n">
        <f aca="false">IF(DF45&gt;0,DH45/DF45,0)</f>
        <v>0.2375</v>
      </c>
      <c r="DK45" s="60" t="n">
        <f aca="false">2_Market_Gross_USD!L43</f>
        <v>5650</v>
      </c>
      <c r="DL45" s="53" t="n">
        <f aca="false">DK45*(1-0.2)</f>
        <v>4520</v>
      </c>
      <c r="DM45" s="58" t="n">
        <f aca="false">DK45*0+0</f>
        <v>0</v>
      </c>
      <c r="DN45" s="55" t="n">
        <f aca="false">DK45+DM45</f>
        <v>5650</v>
      </c>
      <c r="DO45" s="59" t="n">
        <f aca="false">IF(DK45&gt;0,DM45/DK45,0)</f>
        <v>0</v>
      </c>
      <c r="DP45" s="60" t="n">
        <f aca="false">2_Market_Gross_USD!L43</f>
        <v>5650</v>
      </c>
      <c r="DQ45" s="53" t="n">
        <f aca="false">DP45*(1-0.34)</f>
        <v>3729</v>
      </c>
      <c r="DR45" s="58" t="n">
        <f aca="false">DP45*0.2375+500</f>
        <v>1841.875</v>
      </c>
      <c r="DS45" s="55" t="n">
        <f aca="false">DP45+DR45</f>
        <v>7491.875</v>
      </c>
      <c r="DT45" s="59" t="n">
        <f aca="false">IF(DP45&gt;0,DR45/DP45,0)</f>
        <v>0.325995575221239</v>
      </c>
      <c r="DU45" s="60" t="n">
        <f aca="false">2_Market_Gross_USD!M43</f>
        <v>3547</v>
      </c>
      <c r="DV45" s="53" t="n">
        <f aca="false">DU45*0.65</f>
        <v>2305.55</v>
      </c>
      <c r="DW45" s="58" t="n">
        <f aca="false">DU45*0.0225+0</f>
        <v>79.8075</v>
      </c>
      <c r="DX45" s="55" t="n">
        <f aca="false">DU45+DW45</f>
        <v>3626.8075</v>
      </c>
      <c r="DY45" s="59" t="n">
        <f aca="false">IF(DU45&gt;0,DW45/DU45,0)</f>
        <v>0.0225</v>
      </c>
      <c r="DZ45" s="60" t="n">
        <f aca="false">2_Market_Gross_USD!M43</f>
        <v>3547</v>
      </c>
      <c r="EA45" s="53" t="n">
        <f aca="false">DZ45*(1-0.01)</f>
        <v>3511.53</v>
      </c>
      <c r="EB45" s="58" t="n">
        <f aca="false">DZ45*0+0</f>
        <v>0</v>
      </c>
      <c r="EC45" s="55" t="n">
        <f aca="false">DZ45+EB45</f>
        <v>3547</v>
      </c>
      <c r="ED45" s="59" t="n">
        <f aca="false">IF(DZ45&gt;0,EB45/DZ45,0)</f>
        <v>0</v>
      </c>
      <c r="EE45" s="60" t="n">
        <f aca="false">2_Market_Gross_USD!M43</f>
        <v>3547</v>
      </c>
      <c r="EF45" s="53" t="n">
        <f aca="false">EE45*0.65</f>
        <v>2305.55</v>
      </c>
      <c r="EG45" s="58" t="n">
        <f aca="false">EE45*0.0225+500</f>
        <v>579.8075</v>
      </c>
      <c r="EH45" s="55" t="n">
        <f aca="false">EE45+EG45</f>
        <v>4126.8075</v>
      </c>
      <c r="EI45" s="59" t="n">
        <f aca="false">IF(EE45&gt;0,EG45/EE45,0)</f>
        <v>0.163464195094446</v>
      </c>
    </row>
    <row r="46" customFormat="false" ht="15" hidden="false" customHeight="false" outlineLevel="0" collapsed="false">
      <c r="A46" s="37" t="n">
        <v>41</v>
      </c>
      <c r="B46" s="32" t="s">
        <v>276</v>
      </c>
      <c r="C46" s="32" t="s">
        <v>277</v>
      </c>
      <c r="D46" s="38" t="s">
        <v>248</v>
      </c>
      <c r="E46" s="52" t="n">
        <f aca="false">2_Market_Gross_USD!E44</f>
        <v>2000</v>
      </c>
      <c r="F46" s="53" t="n">
        <f aca="false">E46*(1-0.065)</f>
        <v>1870</v>
      </c>
      <c r="G46" s="54" t="n">
        <f aca="false">E46*0+35</f>
        <v>35</v>
      </c>
      <c r="H46" s="55" t="n">
        <f aca="false">E46+G46</f>
        <v>2035</v>
      </c>
      <c r="I46" s="56" t="n">
        <f aca="false">IF(E46&gt;0,G46/E46,0)</f>
        <v>0.0175</v>
      </c>
      <c r="J46" s="52" t="n">
        <f aca="false">2_Market_Gross_USD!E44</f>
        <v>2000</v>
      </c>
      <c r="K46" s="53" t="n">
        <f aca="false">J46*(1-0.065)</f>
        <v>1870</v>
      </c>
      <c r="L46" s="54" t="n">
        <f aca="false">J46*0+40</f>
        <v>40</v>
      </c>
      <c r="M46" s="55" t="n">
        <f aca="false">J46+L46</f>
        <v>2040</v>
      </c>
      <c r="N46" s="56" t="n">
        <f aca="false">IF(J46&gt;0,L46/J46,0)</f>
        <v>0.02</v>
      </c>
      <c r="O46" s="52" t="n">
        <f aca="false">2_Market_Gross_USD!E44</f>
        <v>2000</v>
      </c>
      <c r="P46" s="53" t="n">
        <f aca="false">O46*(1-0.195)</f>
        <v>1610</v>
      </c>
      <c r="Q46" s="54" t="n">
        <f aca="false">IF(O46&gt;=3886,3886*0.22,O46*0.22)</f>
        <v>440</v>
      </c>
      <c r="R46" s="55" t="n">
        <f aca="false">O46+Q46</f>
        <v>2440</v>
      </c>
      <c r="S46" s="56" t="n">
        <f aca="false">IF(O46&gt;0,Q46/O46,0)</f>
        <v>0.22</v>
      </c>
      <c r="T46" s="57" t="n">
        <f aca="false">2_Market_Gross_USD!F44</f>
        <v>4335</v>
      </c>
      <c r="U46" s="53" t="n">
        <f aca="false">T46*(1-0.2571)</f>
        <v>3220.4715</v>
      </c>
      <c r="V46" s="54" t="n">
        <f aca="false">T46*0.2038+0</f>
        <v>883.473</v>
      </c>
      <c r="W46" s="55" t="n">
        <f aca="false">T46+V46</f>
        <v>5218.473</v>
      </c>
      <c r="X46" s="56" t="n">
        <f aca="false">IF(T46&gt;0,V46/T46,0)</f>
        <v>0.2038</v>
      </c>
      <c r="Y46" s="57" t="n">
        <f aca="false">2_Market_Gross_USD!F44</f>
        <v>4335</v>
      </c>
      <c r="Z46" s="53" t="n">
        <f aca="false">Y46*(1-0.12)</f>
        <v>3814.8</v>
      </c>
      <c r="AA46" s="54" t="n">
        <f aca="false">Y46*0+0</f>
        <v>0</v>
      </c>
      <c r="AB46" s="55" t="n">
        <f aca="false">Y46+AA46</f>
        <v>4335</v>
      </c>
      <c r="AC46" s="56" t="n">
        <f aca="false">IF(Y46&gt;0,AA46/Y46,0)</f>
        <v>0</v>
      </c>
      <c r="AD46" s="57" t="n">
        <f aca="false">2_Market_Gross_USD!F44</f>
        <v>4335</v>
      </c>
      <c r="AE46" s="53" t="n">
        <f aca="false">AD46*(1-0.2571)</f>
        <v>3220.4715</v>
      </c>
      <c r="AF46" s="54" t="n">
        <f aca="false">AD46*0.2038+500</f>
        <v>1383.473</v>
      </c>
      <c r="AG46" s="55" t="n">
        <f aca="false">AD46+AF46</f>
        <v>5718.473</v>
      </c>
      <c r="AH46" s="56" t="n">
        <f aca="false">IF(AD46&gt;0,AF46/AD46,0)</f>
        <v>0.319140253748558</v>
      </c>
      <c r="AI46" s="57" t="n">
        <f aca="false">2_Market_Gross_USD!G44</f>
        <v>6350</v>
      </c>
      <c r="AJ46" s="53" t="n">
        <f aca="false">AI46*(1-0.28)</f>
        <v>4572</v>
      </c>
      <c r="AK46" s="54" t="n">
        <f aca="false">AI46*0.15+0</f>
        <v>952.5</v>
      </c>
      <c r="AL46" s="55" t="n">
        <f aca="false">AI46+AK46</f>
        <v>7302.5</v>
      </c>
      <c r="AM46" s="56" t="n">
        <f aca="false">IF(AI46&gt;0,AK46/AI46,0)</f>
        <v>0.15</v>
      </c>
      <c r="AN46" s="57" t="n">
        <f aca="false">2_Market_Gross_USD!G44</f>
        <v>6350</v>
      </c>
      <c r="AO46" s="53" t="n">
        <f aca="false">AN46*(1-0.19)</f>
        <v>5143.5</v>
      </c>
      <c r="AP46" s="54" t="n">
        <f aca="false">AN46*0+0</f>
        <v>0</v>
      </c>
      <c r="AQ46" s="55" t="n">
        <f aca="false">AN46+AP46</f>
        <v>6350</v>
      </c>
      <c r="AR46" s="56" t="n">
        <f aca="false">IF(AN46&gt;0,AP46/AN46,0)</f>
        <v>0</v>
      </c>
      <c r="AS46" s="57" t="n">
        <f aca="false">2_Market_Gross_USD!G44</f>
        <v>6350</v>
      </c>
      <c r="AT46" s="53" t="n">
        <f aca="false">AS46*(1-0.28)</f>
        <v>4572</v>
      </c>
      <c r="AU46" s="54" t="n">
        <f aca="false">AS46*0.15+500</f>
        <v>1452.5</v>
      </c>
      <c r="AV46" s="55" t="n">
        <f aca="false">AS46+AU46</f>
        <v>7802.5</v>
      </c>
      <c r="AW46" s="56" t="n">
        <f aca="false">IF(AS46&gt;0,AU46/AS46,0)</f>
        <v>0.228740157480315</v>
      </c>
      <c r="AX46" s="57" t="n">
        <f aca="false">2_Market_Gross_USD!H44</f>
        <v>16000</v>
      </c>
      <c r="AY46" s="53" t="n">
        <f aca="false">AX46*(1-0.2965)</f>
        <v>11256</v>
      </c>
      <c r="AZ46" s="54" t="n">
        <f aca="false">AX46*0.11+0</f>
        <v>1760</v>
      </c>
      <c r="BA46" s="55" t="n">
        <f aca="false">AX46+AZ46</f>
        <v>17760</v>
      </c>
      <c r="BB46" s="56" t="n">
        <f aca="false">IF(AX46&gt;0,AZ46/AX46,0)</f>
        <v>0.11</v>
      </c>
      <c r="BC46" s="57" t="n">
        <f aca="false">2_Market_Gross_USD!H44</f>
        <v>16000</v>
      </c>
      <c r="BD46" s="53" t="n">
        <f aca="false">BC46*(1-0.373)</f>
        <v>10032</v>
      </c>
      <c r="BE46" s="54" t="n">
        <f aca="false">BC46*0+0</f>
        <v>0</v>
      </c>
      <c r="BF46" s="55" t="n">
        <f aca="false">BC46+BE46</f>
        <v>16000</v>
      </c>
      <c r="BG46" s="56" t="n">
        <f aca="false">IF(BC46&gt;0,BE46/BC46,0)</f>
        <v>0</v>
      </c>
      <c r="BH46" s="57" t="n">
        <f aca="false">2_Market_Gross_USD!H44</f>
        <v>16000</v>
      </c>
      <c r="BI46" s="53" t="n">
        <f aca="false">BH46*(1-0.2965)</f>
        <v>11256</v>
      </c>
      <c r="BJ46" s="54" t="n">
        <f aca="false">BH46*0.11+500</f>
        <v>2260</v>
      </c>
      <c r="BK46" s="55" t="n">
        <f aca="false">BH46+BJ46</f>
        <v>18260</v>
      </c>
      <c r="BL46" s="56" t="n">
        <f aca="false">IF(BH46&gt;0,BJ46/BH46,0)</f>
        <v>0.14125</v>
      </c>
      <c r="BM46" s="57" t="n">
        <f aca="false">2_Market_Gross_USD!I44</f>
        <v>6591</v>
      </c>
      <c r="BN46" s="53" t="n">
        <f aca="false">BM46*(1-0.4785)</f>
        <v>3437.2065</v>
      </c>
      <c r="BO46" s="54" t="n">
        <f aca="false">BM46*0.21+0</f>
        <v>1384.11</v>
      </c>
      <c r="BP46" s="55" t="n">
        <f aca="false">BM46+BO46</f>
        <v>7975.11</v>
      </c>
      <c r="BQ46" s="56" t="n">
        <f aca="false">IF(BM46&gt;0,BO46/BM46,0)</f>
        <v>0.21</v>
      </c>
      <c r="BR46" s="57" t="n">
        <f aca="false">2_Market_Gross_USD!I44</f>
        <v>6591</v>
      </c>
      <c r="BS46" s="53" t="n">
        <f aca="false">BR46*(1-0.25)</f>
        <v>4943.25</v>
      </c>
      <c r="BT46" s="54" t="n">
        <f aca="false">BR46*0+0</f>
        <v>0</v>
      </c>
      <c r="BU46" s="55" t="n">
        <f aca="false">BR46+BT46</f>
        <v>6591</v>
      </c>
      <c r="BV46" s="56" t="n">
        <f aca="false">IF(BR46&gt;0,BT46/BR46,0)</f>
        <v>0</v>
      </c>
      <c r="BW46" s="57" t="n">
        <f aca="false">2_Market_Gross_USD!I44</f>
        <v>6591</v>
      </c>
      <c r="BX46" s="53" t="n">
        <f aca="false">BW46*(1-0.4785)</f>
        <v>3437.2065</v>
      </c>
      <c r="BY46" s="54" t="n">
        <f aca="false">BW46*0.21+500</f>
        <v>1884.11</v>
      </c>
      <c r="BZ46" s="55" t="n">
        <f aca="false">BW46+BY46</f>
        <v>8475.11</v>
      </c>
      <c r="CA46" s="56" t="n">
        <f aca="false">IF(BW46&gt;0,BY46/BW46,0)</f>
        <v>0.285861022606585</v>
      </c>
      <c r="CB46" s="57" t="n">
        <f aca="false">2_Market_Gross_USD!J44</f>
        <v>7439</v>
      </c>
      <c r="CC46" s="53" t="n">
        <f aca="false">CB46*(1-0.3697)</f>
        <v>4688.8017</v>
      </c>
      <c r="CD46" s="54" t="n">
        <f aca="false">CB46*0.2+0</f>
        <v>1487.8</v>
      </c>
      <c r="CE46" s="55" t="n">
        <f aca="false">CB46+CD46</f>
        <v>8926.8</v>
      </c>
      <c r="CF46" s="56" t="n">
        <f aca="false">IF(CB46&gt;0,CD46/CB46,0)</f>
        <v>0.2</v>
      </c>
      <c r="CG46" s="57" t="n">
        <f aca="false">2_Market_Gross_USD!J44</f>
        <v>7439</v>
      </c>
      <c r="CH46" s="53" t="n">
        <f aca="false">CG46*(1-0.3697)</f>
        <v>4688.8017</v>
      </c>
      <c r="CI46" s="54" t="n">
        <f aca="false">CG46*0+0</f>
        <v>0</v>
      </c>
      <c r="CJ46" s="55" t="n">
        <f aca="false">CG46+CI46</f>
        <v>7439</v>
      </c>
      <c r="CK46" s="56" t="n">
        <f aca="false">IF(CG46&gt;0,CI46/CG46,0)</f>
        <v>0</v>
      </c>
      <c r="CL46" s="57" t="n">
        <f aca="false">2_Market_Gross_USD!J44</f>
        <v>7439</v>
      </c>
      <c r="CM46" s="53" t="n">
        <f aca="false">CL46*(1-0.3697)</f>
        <v>4688.8017</v>
      </c>
      <c r="CN46" s="54" t="n">
        <f aca="false">CL46*0.2+500</f>
        <v>1987.8</v>
      </c>
      <c r="CO46" s="55" t="n">
        <f aca="false">CL46+CN46</f>
        <v>9426.8</v>
      </c>
      <c r="CP46" s="56" t="n">
        <f aca="false">IF(CL46&gt;0,CN46/CL46,0)</f>
        <v>0.267213335125689</v>
      </c>
      <c r="CQ46" s="57" t="n">
        <f aca="false">2_Market_Gross_USD!K44</f>
        <v>3308</v>
      </c>
      <c r="CR46" s="53" t="n">
        <f aca="false">CQ46*(1-0.26)</f>
        <v>2447.92</v>
      </c>
      <c r="CS46" s="54" t="n">
        <f aca="false">CQ46*0.338+0</f>
        <v>1118.104</v>
      </c>
      <c r="CT46" s="55" t="n">
        <f aca="false">CQ46+CS46</f>
        <v>4426.104</v>
      </c>
      <c r="CU46" s="56" t="n">
        <f aca="false">IF(CQ46&gt;0,CS46/CQ46,0)</f>
        <v>0.338</v>
      </c>
      <c r="CV46" s="57" t="n">
        <f aca="false">2_Market_Gross_USD!K44</f>
        <v>3308</v>
      </c>
      <c r="CW46" s="53" t="n">
        <f aca="false">CV46*(1-0.15)</f>
        <v>2811.8</v>
      </c>
      <c r="CX46" s="54" t="n">
        <f aca="false">CV46*0+0</f>
        <v>0</v>
      </c>
      <c r="CY46" s="55" t="n">
        <f aca="false">CV46+CX46</f>
        <v>3308</v>
      </c>
      <c r="CZ46" s="56" t="n">
        <f aca="false">IF(CV46&gt;0,CX46/CV46,0)</f>
        <v>0</v>
      </c>
      <c r="DA46" s="57" t="n">
        <f aca="false">2_Market_Gross_USD!K44</f>
        <v>3308</v>
      </c>
      <c r="DB46" s="53" t="n">
        <f aca="false">DA46*(1-0.26)</f>
        <v>2447.92</v>
      </c>
      <c r="DC46" s="54" t="n">
        <f aca="false">DA46*0.338+500</f>
        <v>1618.104</v>
      </c>
      <c r="DD46" s="55" t="n">
        <f aca="false">DA46+DC46</f>
        <v>4926.104</v>
      </c>
      <c r="DE46" s="56" t="n">
        <f aca="false">IF(DA46&gt;0,DC46/DA46,0)</f>
        <v>0.489148730350665</v>
      </c>
      <c r="DF46" s="57" t="n">
        <f aca="false">2_Market_Gross_USD!L44</f>
        <v>4709</v>
      </c>
      <c r="DG46" s="53" t="n">
        <f aca="false">DF46*(1-0.34)</f>
        <v>3107.94</v>
      </c>
      <c r="DH46" s="54" t="n">
        <f aca="false">DF46*0.2375+0</f>
        <v>1118.3875</v>
      </c>
      <c r="DI46" s="55" t="n">
        <f aca="false">DF46+DH46</f>
        <v>5827.3875</v>
      </c>
      <c r="DJ46" s="56" t="n">
        <f aca="false">IF(DF46&gt;0,DH46/DF46,0)</f>
        <v>0.2375</v>
      </c>
      <c r="DK46" s="57" t="n">
        <f aca="false">2_Market_Gross_USD!L44</f>
        <v>4709</v>
      </c>
      <c r="DL46" s="53" t="n">
        <f aca="false">DK46*(1-0.2)</f>
        <v>3767.2</v>
      </c>
      <c r="DM46" s="54" t="n">
        <f aca="false">DK46*0+0</f>
        <v>0</v>
      </c>
      <c r="DN46" s="55" t="n">
        <f aca="false">DK46+DM46</f>
        <v>4709</v>
      </c>
      <c r="DO46" s="56" t="n">
        <f aca="false">IF(DK46&gt;0,DM46/DK46,0)</f>
        <v>0</v>
      </c>
      <c r="DP46" s="57" t="n">
        <f aca="false">2_Market_Gross_USD!L44</f>
        <v>4709</v>
      </c>
      <c r="DQ46" s="53" t="n">
        <f aca="false">DP46*(1-0.34)</f>
        <v>3107.94</v>
      </c>
      <c r="DR46" s="54" t="n">
        <f aca="false">DP46*0.2375+500</f>
        <v>1618.3875</v>
      </c>
      <c r="DS46" s="55" t="n">
        <f aca="false">DP46+DR46</f>
        <v>6327.3875</v>
      </c>
      <c r="DT46" s="56" t="n">
        <f aca="false">IF(DP46&gt;0,DR46/DP46,0)</f>
        <v>0.343679655977915</v>
      </c>
      <c r="DU46" s="57" t="n">
        <f aca="false">2_Market_Gross_USD!M44</f>
        <v>2917</v>
      </c>
      <c r="DV46" s="53" t="n">
        <f aca="false">DU46*0.65</f>
        <v>1896.05</v>
      </c>
      <c r="DW46" s="54" t="n">
        <f aca="false">DU46*0.0225+0</f>
        <v>65.6325</v>
      </c>
      <c r="DX46" s="55" t="n">
        <f aca="false">DU46+DW46</f>
        <v>2982.6325</v>
      </c>
      <c r="DY46" s="56" t="n">
        <f aca="false">IF(DU46&gt;0,DW46/DU46,0)</f>
        <v>0.0225</v>
      </c>
      <c r="DZ46" s="57" t="n">
        <f aca="false">2_Market_Gross_USD!M44</f>
        <v>2917</v>
      </c>
      <c r="EA46" s="53" t="n">
        <f aca="false">DZ46*(1-0.01)</f>
        <v>2887.83</v>
      </c>
      <c r="EB46" s="54" t="n">
        <f aca="false">DZ46*0+0</f>
        <v>0</v>
      </c>
      <c r="EC46" s="55" t="n">
        <f aca="false">DZ46+EB46</f>
        <v>2917</v>
      </c>
      <c r="ED46" s="56" t="n">
        <f aca="false">IF(DZ46&gt;0,EB46/DZ46,0)</f>
        <v>0</v>
      </c>
      <c r="EE46" s="57" t="n">
        <f aca="false">2_Market_Gross_USD!M44</f>
        <v>2917</v>
      </c>
      <c r="EF46" s="53" t="n">
        <f aca="false">EE46*0.65</f>
        <v>1896.05</v>
      </c>
      <c r="EG46" s="54" t="n">
        <f aca="false">EE46*0.0225+500</f>
        <v>565.6325</v>
      </c>
      <c r="EH46" s="55" t="n">
        <f aca="false">EE46+EG46</f>
        <v>3482.6325</v>
      </c>
      <c r="EI46" s="56" t="n">
        <f aca="false">IF(EE46&gt;0,EG46/EE46,0)</f>
        <v>0.193908981830648</v>
      </c>
    </row>
    <row r="47" customFormat="false" ht="15" hidden="false" customHeight="false" outlineLevel="0" collapsed="false">
      <c r="A47" s="41" t="n">
        <v>42</v>
      </c>
      <c r="B47" s="28" t="s">
        <v>276</v>
      </c>
      <c r="C47" s="8" t="s">
        <v>277</v>
      </c>
      <c r="D47" s="42" t="s">
        <v>249</v>
      </c>
      <c r="E47" s="52" t="n">
        <f aca="false">2_Market_Gross_USD!E45</f>
        <v>5500</v>
      </c>
      <c r="F47" s="53" t="n">
        <f aca="false">E47*(1-0.065)</f>
        <v>5142.5</v>
      </c>
      <c r="G47" s="58" t="n">
        <f aca="false">E47*0+35</f>
        <v>35</v>
      </c>
      <c r="H47" s="55" t="n">
        <f aca="false">E47+G47</f>
        <v>5535</v>
      </c>
      <c r="I47" s="59" t="n">
        <f aca="false">IF(E47&gt;0,G47/E47,0)</f>
        <v>0.00636363636363636</v>
      </c>
      <c r="J47" s="52" t="n">
        <f aca="false">2_Market_Gross_USD!E45</f>
        <v>5500</v>
      </c>
      <c r="K47" s="53" t="n">
        <f aca="false">J47*(1-0.065)</f>
        <v>5142.5</v>
      </c>
      <c r="L47" s="58" t="n">
        <f aca="false">J47*0+40</f>
        <v>40</v>
      </c>
      <c r="M47" s="55" t="n">
        <f aca="false">J47+L47</f>
        <v>5540</v>
      </c>
      <c r="N47" s="59" t="n">
        <f aca="false">IF(J47&gt;0,L47/J47,0)</f>
        <v>0.00727272727272727</v>
      </c>
      <c r="O47" s="52" t="n">
        <f aca="false">2_Market_Gross_USD!E45</f>
        <v>5500</v>
      </c>
      <c r="P47" s="53" t="n">
        <f aca="false">O47*(1-0.195)</f>
        <v>4427.5</v>
      </c>
      <c r="Q47" s="58" t="n">
        <f aca="false">IF(O47&gt;=3886,3886*0.22,O47*0.22)</f>
        <v>854.92</v>
      </c>
      <c r="R47" s="55" t="n">
        <f aca="false">O47+Q47</f>
        <v>6354.92</v>
      </c>
      <c r="S47" s="59" t="n">
        <f aca="false">IF(O47&gt;0,Q47/O47,0)</f>
        <v>0.15544</v>
      </c>
      <c r="T47" s="60" t="n">
        <f aca="false">2_Market_Gross_USD!F45</f>
        <v>6885</v>
      </c>
      <c r="U47" s="53" t="n">
        <f aca="false">T47*(1-0.2571)</f>
        <v>5114.8665</v>
      </c>
      <c r="V47" s="58" t="n">
        <f aca="false">T47*0.2038+0</f>
        <v>1403.163</v>
      </c>
      <c r="W47" s="55" t="n">
        <f aca="false">T47+V47</f>
        <v>8288.163</v>
      </c>
      <c r="X47" s="59" t="n">
        <f aca="false">IF(T47&gt;0,V47/T47,0)</f>
        <v>0.2038</v>
      </c>
      <c r="Y47" s="60" t="n">
        <f aca="false">2_Market_Gross_USD!F45</f>
        <v>6885</v>
      </c>
      <c r="Z47" s="53" t="n">
        <f aca="false">Y47*(1-0.12)</f>
        <v>6058.8</v>
      </c>
      <c r="AA47" s="58" t="n">
        <f aca="false">Y47*0+0</f>
        <v>0</v>
      </c>
      <c r="AB47" s="55" t="n">
        <f aca="false">Y47+AA47</f>
        <v>6885</v>
      </c>
      <c r="AC47" s="59" t="n">
        <f aca="false">IF(Y47&gt;0,AA47/Y47,0)</f>
        <v>0</v>
      </c>
      <c r="AD47" s="60" t="n">
        <f aca="false">2_Market_Gross_USD!F45</f>
        <v>6885</v>
      </c>
      <c r="AE47" s="53" t="n">
        <f aca="false">AD47*(1-0.2571)</f>
        <v>5114.8665</v>
      </c>
      <c r="AF47" s="58" t="n">
        <f aca="false">AD47*0.2038+500</f>
        <v>1903.163</v>
      </c>
      <c r="AG47" s="55" t="n">
        <f aca="false">AD47+AF47</f>
        <v>8788.163</v>
      </c>
      <c r="AH47" s="59" t="n">
        <f aca="false">IF(AD47&gt;0,AF47/AD47,0)</f>
        <v>0.276421641249092</v>
      </c>
      <c r="AI47" s="60" t="n">
        <f aca="false">2_Market_Gross_USD!G45</f>
        <v>10053</v>
      </c>
      <c r="AJ47" s="53" t="n">
        <f aca="false">AI47*(1-0.28)</f>
        <v>7238.16</v>
      </c>
      <c r="AK47" s="58" t="n">
        <f aca="false">AI47*0.15+0</f>
        <v>1507.95</v>
      </c>
      <c r="AL47" s="55" t="n">
        <f aca="false">AI47+AK47</f>
        <v>11560.95</v>
      </c>
      <c r="AM47" s="59" t="n">
        <f aca="false">IF(AI47&gt;0,AK47/AI47,0)</f>
        <v>0.15</v>
      </c>
      <c r="AN47" s="60" t="n">
        <f aca="false">2_Market_Gross_USD!G45</f>
        <v>10053</v>
      </c>
      <c r="AO47" s="53" t="n">
        <f aca="false">AN47*(1-0.19)</f>
        <v>8142.93</v>
      </c>
      <c r="AP47" s="58" t="n">
        <f aca="false">AN47*0+0</f>
        <v>0</v>
      </c>
      <c r="AQ47" s="55" t="n">
        <f aca="false">AN47+AP47</f>
        <v>10053</v>
      </c>
      <c r="AR47" s="59" t="n">
        <f aca="false">IF(AN47&gt;0,AP47/AN47,0)</f>
        <v>0</v>
      </c>
      <c r="AS47" s="60" t="n">
        <f aca="false">2_Market_Gross_USD!G45</f>
        <v>10053</v>
      </c>
      <c r="AT47" s="53" t="n">
        <f aca="false">AS47*(1-0.28)</f>
        <v>7238.16</v>
      </c>
      <c r="AU47" s="58" t="n">
        <f aca="false">AS47*0.15+500</f>
        <v>2007.95</v>
      </c>
      <c r="AV47" s="55" t="n">
        <f aca="false">AS47+AU47</f>
        <v>12060.95</v>
      </c>
      <c r="AW47" s="59" t="n">
        <f aca="false">IF(AS47&gt;0,AU47/AS47,0)</f>
        <v>0.199736397095394</v>
      </c>
      <c r="AX47" s="60" t="n">
        <f aca="false">2_Market_Gross_USD!H45</f>
        <v>19975</v>
      </c>
      <c r="AY47" s="53" t="n">
        <f aca="false">AX47*(1-0.2965)</f>
        <v>14052.4125</v>
      </c>
      <c r="AZ47" s="58" t="n">
        <f aca="false">AX47*0.11+0</f>
        <v>2197.25</v>
      </c>
      <c r="BA47" s="55" t="n">
        <f aca="false">AX47+AZ47</f>
        <v>22172.25</v>
      </c>
      <c r="BB47" s="59" t="n">
        <f aca="false">IF(AX47&gt;0,AZ47/AX47,0)</f>
        <v>0.11</v>
      </c>
      <c r="BC47" s="60" t="n">
        <f aca="false">2_Market_Gross_USD!H45</f>
        <v>19975</v>
      </c>
      <c r="BD47" s="53" t="n">
        <f aca="false">BC47*(1-0.373)</f>
        <v>12524.325</v>
      </c>
      <c r="BE47" s="58" t="n">
        <f aca="false">BC47*0+0</f>
        <v>0</v>
      </c>
      <c r="BF47" s="55" t="n">
        <f aca="false">BC47+BE47</f>
        <v>19975</v>
      </c>
      <c r="BG47" s="59" t="n">
        <f aca="false">IF(BC47&gt;0,BE47/BC47,0)</f>
        <v>0</v>
      </c>
      <c r="BH47" s="60" t="n">
        <f aca="false">2_Market_Gross_USD!H45</f>
        <v>19975</v>
      </c>
      <c r="BI47" s="53" t="n">
        <f aca="false">BH47*(1-0.2965)</f>
        <v>14052.4125</v>
      </c>
      <c r="BJ47" s="58" t="n">
        <f aca="false">BH47*0.11+500</f>
        <v>2697.25</v>
      </c>
      <c r="BK47" s="55" t="n">
        <f aca="false">BH47+BJ47</f>
        <v>22672.25</v>
      </c>
      <c r="BL47" s="59" t="n">
        <f aca="false">IF(BH47&gt;0,BJ47/BH47,0)</f>
        <v>0.135031289111389</v>
      </c>
      <c r="BM47" s="60" t="n">
        <f aca="false">2_Market_Gross_USD!I45</f>
        <v>9605</v>
      </c>
      <c r="BN47" s="53" t="n">
        <f aca="false">BM47*(1-0.4785)</f>
        <v>5009.0075</v>
      </c>
      <c r="BO47" s="58" t="n">
        <f aca="false">BM47*0.21+0</f>
        <v>2017.05</v>
      </c>
      <c r="BP47" s="55" t="n">
        <f aca="false">BM47+BO47</f>
        <v>11622.05</v>
      </c>
      <c r="BQ47" s="59" t="n">
        <f aca="false">IF(BM47&gt;0,BO47/BM47,0)</f>
        <v>0.21</v>
      </c>
      <c r="BR47" s="60" t="n">
        <f aca="false">2_Market_Gross_USD!I45</f>
        <v>9605</v>
      </c>
      <c r="BS47" s="53" t="n">
        <f aca="false">BR47*(1-0.25)</f>
        <v>7203.75</v>
      </c>
      <c r="BT47" s="58" t="n">
        <f aca="false">BR47*0+0</f>
        <v>0</v>
      </c>
      <c r="BU47" s="55" t="n">
        <f aca="false">BR47+BT47</f>
        <v>9605</v>
      </c>
      <c r="BV47" s="59" t="n">
        <f aca="false">IF(BR47&gt;0,BT47/BR47,0)</f>
        <v>0</v>
      </c>
      <c r="BW47" s="60" t="n">
        <f aca="false">2_Market_Gross_USD!I45</f>
        <v>9605</v>
      </c>
      <c r="BX47" s="53" t="n">
        <f aca="false">BW47*(1-0.4785)</f>
        <v>5009.0075</v>
      </c>
      <c r="BY47" s="58" t="n">
        <f aca="false">BW47*0.21+500</f>
        <v>2517.05</v>
      </c>
      <c r="BZ47" s="55" t="n">
        <f aca="false">BW47+BY47</f>
        <v>12122.05</v>
      </c>
      <c r="CA47" s="59" t="n">
        <f aca="false">IF(BW47&gt;0,BY47/BW47,0)</f>
        <v>0.262056220718376</v>
      </c>
      <c r="CB47" s="60" t="n">
        <f aca="false">2_Market_Gross_USD!J45</f>
        <v>11300</v>
      </c>
      <c r="CC47" s="53" t="n">
        <f aca="false">CB47*(1-0.3697)</f>
        <v>7122.39</v>
      </c>
      <c r="CD47" s="58" t="n">
        <f aca="false">CB47*0.2+0</f>
        <v>2260</v>
      </c>
      <c r="CE47" s="55" t="n">
        <f aca="false">CB47+CD47</f>
        <v>13560</v>
      </c>
      <c r="CF47" s="59" t="n">
        <f aca="false">IF(CB47&gt;0,CD47/CB47,0)</f>
        <v>0.2</v>
      </c>
      <c r="CG47" s="60" t="n">
        <f aca="false">2_Market_Gross_USD!J45</f>
        <v>11300</v>
      </c>
      <c r="CH47" s="53" t="n">
        <f aca="false">CG47*(1-0.3697)</f>
        <v>7122.39</v>
      </c>
      <c r="CI47" s="58" t="n">
        <f aca="false">CG47*0+0</f>
        <v>0</v>
      </c>
      <c r="CJ47" s="55" t="n">
        <f aca="false">CG47+CI47</f>
        <v>11300</v>
      </c>
      <c r="CK47" s="59" t="n">
        <f aca="false">IF(CG47&gt;0,CI47/CG47,0)</f>
        <v>0</v>
      </c>
      <c r="CL47" s="60" t="n">
        <f aca="false">2_Market_Gross_USD!J45</f>
        <v>11300</v>
      </c>
      <c r="CM47" s="53" t="n">
        <f aca="false">CL47*(1-0.3697)</f>
        <v>7122.39</v>
      </c>
      <c r="CN47" s="58" t="n">
        <f aca="false">CL47*0.2+500</f>
        <v>2760</v>
      </c>
      <c r="CO47" s="55" t="n">
        <f aca="false">CL47+CN47</f>
        <v>14060</v>
      </c>
      <c r="CP47" s="59" t="n">
        <f aca="false">IF(CL47&gt;0,CN47/CL47,0)</f>
        <v>0.244247787610619</v>
      </c>
      <c r="CQ47" s="60" t="n">
        <f aca="false">2_Market_Gross_USD!K45</f>
        <v>5288</v>
      </c>
      <c r="CR47" s="53" t="n">
        <f aca="false">CQ47*(1-0.26)</f>
        <v>3913.12</v>
      </c>
      <c r="CS47" s="58" t="n">
        <f aca="false">CQ47*0.338+0</f>
        <v>1787.344</v>
      </c>
      <c r="CT47" s="55" t="n">
        <f aca="false">CQ47+CS47</f>
        <v>7075.344</v>
      </c>
      <c r="CU47" s="59" t="n">
        <f aca="false">IF(CQ47&gt;0,CS47/CQ47,0)</f>
        <v>0.338</v>
      </c>
      <c r="CV47" s="60" t="n">
        <f aca="false">2_Market_Gross_USD!K45</f>
        <v>5288</v>
      </c>
      <c r="CW47" s="53" t="n">
        <f aca="false">CV47*(1-0.15)</f>
        <v>4494.8</v>
      </c>
      <c r="CX47" s="58" t="n">
        <f aca="false">CV47*0+0</f>
        <v>0</v>
      </c>
      <c r="CY47" s="55" t="n">
        <f aca="false">CV47+CX47</f>
        <v>5288</v>
      </c>
      <c r="CZ47" s="59" t="n">
        <f aca="false">IF(CV47&gt;0,CX47/CV47,0)</f>
        <v>0</v>
      </c>
      <c r="DA47" s="60" t="n">
        <f aca="false">2_Market_Gross_USD!K45</f>
        <v>5288</v>
      </c>
      <c r="DB47" s="53" t="n">
        <f aca="false">DA47*(1-0.26)</f>
        <v>3913.12</v>
      </c>
      <c r="DC47" s="58" t="n">
        <f aca="false">DA47*0.338+500</f>
        <v>2287.344</v>
      </c>
      <c r="DD47" s="55" t="n">
        <f aca="false">DA47+DC47</f>
        <v>7575.344</v>
      </c>
      <c r="DE47" s="59" t="n">
        <f aca="false">IF(DA47&gt;0,DC47/DA47,0)</f>
        <v>0.432553706505295</v>
      </c>
      <c r="DF47" s="60" t="n">
        <f aca="false">2_Market_Gross_USD!L45</f>
        <v>7345</v>
      </c>
      <c r="DG47" s="53" t="n">
        <f aca="false">DF47*(1-0.34)</f>
        <v>4847.7</v>
      </c>
      <c r="DH47" s="58" t="n">
        <f aca="false">DF47*0.2375+0</f>
        <v>1744.4375</v>
      </c>
      <c r="DI47" s="55" t="n">
        <f aca="false">DF47+DH47</f>
        <v>9089.4375</v>
      </c>
      <c r="DJ47" s="59" t="n">
        <f aca="false">IF(DF47&gt;0,DH47/DF47,0)</f>
        <v>0.2375</v>
      </c>
      <c r="DK47" s="60" t="n">
        <f aca="false">2_Market_Gross_USD!L45</f>
        <v>7345</v>
      </c>
      <c r="DL47" s="53" t="n">
        <f aca="false">DK47*(1-0.2)</f>
        <v>5876</v>
      </c>
      <c r="DM47" s="58" t="n">
        <f aca="false">DK47*0+0</f>
        <v>0</v>
      </c>
      <c r="DN47" s="55" t="n">
        <f aca="false">DK47+DM47</f>
        <v>7345</v>
      </c>
      <c r="DO47" s="59" t="n">
        <f aca="false">IF(DK47&gt;0,DM47/DK47,0)</f>
        <v>0</v>
      </c>
      <c r="DP47" s="60" t="n">
        <f aca="false">2_Market_Gross_USD!L45</f>
        <v>7345</v>
      </c>
      <c r="DQ47" s="53" t="n">
        <f aca="false">DP47*(1-0.34)</f>
        <v>4847.7</v>
      </c>
      <c r="DR47" s="58" t="n">
        <f aca="false">DP47*0.2375+500</f>
        <v>2244.4375</v>
      </c>
      <c r="DS47" s="55" t="n">
        <f aca="false">DP47+DR47</f>
        <v>9589.4375</v>
      </c>
      <c r="DT47" s="59" t="n">
        <f aca="false">IF(DP47&gt;0,DR47/DP47,0)</f>
        <v>0.305573519400953</v>
      </c>
      <c r="DU47" s="60" t="n">
        <f aca="false">2_Market_Gross_USD!M45</f>
        <v>4853</v>
      </c>
      <c r="DV47" s="53" t="n">
        <f aca="false">DU47*0.65</f>
        <v>3154.45</v>
      </c>
      <c r="DW47" s="58" t="n">
        <f aca="false">DU47*0.0225+0</f>
        <v>109.1925</v>
      </c>
      <c r="DX47" s="55" t="n">
        <f aca="false">DU47+DW47</f>
        <v>4962.1925</v>
      </c>
      <c r="DY47" s="59" t="n">
        <f aca="false">IF(DU47&gt;0,DW47/DU47,0)</f>
        <v>0.0225</v>
      </c>
      <c r="DZ47" s="60" t="n">
        <f aca="false">2_Market_Gross_USD!M45</f>
        <v>4853</v>
      </c>
      <c r="EA47" s="53" t="n">
        <f aca="false">DZ47*(1-0.01)</f>
        <v>4804.47</v>
      </c>
      <c r="EB47" s="58" t="n">
        <f aca="false">DZ47*0+0</f>
        <v>0</v>
      </c>
      <c r="EC47" s="55" t="n">
        <f aca="false">DZ47+EB47</f>
        <v>4853</v>
      </c>
      <c r="ED47" s="59" t="n">
        <f aca="false">IF(DZ47&gt;0,EB47/DZ47,0)</f>
        <v>0</v>
      </c>
      <c r="EE47" s="60" t="n">
        <f aca="false">2_Market_Gross_USD!M45</f>
        <v>4853</v>
      </c>
      <c r="EF47" s="53" t="n">
        <f aca="false">EE47*0.65</f>
        <v>3154.45</v>
      </c>
      <c r="EG47" s="58" t="n">
        <f aca="false">EE47*0.0225+500</f>
        <v>609.1925</v>
      </c>
      <c r="EH47" s="55" t="n">
        <f aca="false">EE47+EG47</f>
        <v>5462.1925</v>
      </c>
      <c r="EI47" s="59" t="n">
        <f aca="false">IF(EE47&gt;0,EG47/EE47,0)</f>
        <v>0.125529054193283</v>
      </c>
    </row>
    <row r="48" customFormat="false" ht="15" hidden="false" customHeight="false" outlineLevel="0" collapsed="false">
      <c r="A48" s="37" t="n">
        <v>43</v>
      </c>
      <c r="B48" s="32" t="s">
        <v>278</v>
      </c>
      <c r="C48" s="32" t="s">
        <v>279</v>
      </c>
      <c r="D48" s="38" t="s">
        <v>248</v>
      </c>
      <c r="E48" s="52" t="n">
        <f aca="false">2_Market_Gross_USD!E46</f>
        <v>1875</v>
      </c>
      <c r="F48" s="53" t="n">
        <f aca="false">E48*(1-0.065)</f>
        <v>1753.125</v>
      </c>
      <c r="G48" s="54" t="n">
        <f aca="false">E48*0+35</f>
        <v>35</v>
      </c>
      <c r="H48" s="55" t="n">
        <f aca="false">E48+G48</f>
        <v>1910</v>
      </c>
      <c r="I48" s="56" t="n">
        <f aca="false">IF(E48&gt;0,G48/E48,0)</f>
        <v>0.0186666666666667</v>
      </c>
      <c r="J48" s="52" t="n">
        <f aca="false">2_Market_Gross_USD!E46</f>
        <v>1875</v>
      </c>
      <c r="K48" s="53" t="n">
        <f aca="false">J48*(1-0.065)</f>
        <v>1753.125</v>
      </c>
      <c r="L48" s="54" t="n">
        <f aca="false">J48*0+40</f>
        <v>40</v>
      </c>
      <c r="M48" s="55" t="n">
        <f aca="false">J48+L48</f>
        <v>1915</v>
      </c>
      <c r="N48" s="56" t="n">
        <f aca="false">IF(J48&gt;0,L48/J48,0)</f>
        <v>0.0213333333333333</v>
      </c>
      <c r="O48" s="52" t="n">
        <f aca="false">2_Market_Gross_USD!E46</f>
        <v>1875</v>
      </c>
      <c r="P48" s="53" t="n">
        <f aca="false">O48*(1-0.195)</f>
        <v>1509.375</v>
      </c>
      <c r="Q48" s="54" t="n">
        <f aca="false">IF(O48&gt;=3886,3886*0.22,O48*0.22)</f>
        <v>412.5</v>
      </c>
      <c r="R48" s="55" t="n">
        <f aca="false">O48+Q48</f>
        <v>2287.5</v>
      </c>
      <c r="S48" s="56" t="n">
        <f aca="false">IF(O48&gt;0,Q48/O48,0)</f>
        <v>0.22</v>
      </c>
      <c r="T48" s="57" t="n">
        <f aca="false">2_Market_Gross_USD!F46</f>
        <v>4080</v>
      </c>
      <c r="U48" s="53" t="n">
        <f aca="false">T48*(1-0.2571)</f>
        <v>3031.032</v>
      </c>
      <c r="V48" s="54" t="n">
        <f aca="false">T48*0.2038+0</f>
        <v>831.504</v>
      </c>
      <c r="W48" s="55" t="n">
        <f aca="false">T48+V48</f>
        <v>4911.504</v>
      </c>
      <c r="X48" s="56" t="n">
        <f aca="false">IF(T48&gt;0,V48/T48,0)</f>
        <v>0.2038</v>
      </c>
      <c r="Y48" s="57" t="n">
        <f aca="false">2_Market_Gross_USD!F46</f>
        <v>4080</v>
      </c>
      <c r="Z48" s="53" t="n">
        <f aca="false">Y48*(1-0.12)</f>
        <v>3590.4</v>
      </c>
      <c r="AA48" s="54" t="n">
        <f aca="false">Y48*0+0</f>
        <v>0</v>
      </c>
      <c r="AB48" s="55" t="n">
        <f aca="false">Y48+AA48</f>
        <v>4080</v>
      </c>
      <c r="AC48" s="56" t="n">
        <f aca="false">IF(Y48&gt;0,AA48/Y48,0)</f>
        <v>0</v>
      </c>
      <c r="AD48" s="57" t="n">
        <f aca="false">2_Market_Gross_USD!F46</f>
        <v>4080</v>
      </c>
      <c r="AE48" s="53" t="n">
        <f aca="false">AD48*(1-0.2571)</f>
        <v>3031.032</v>
      </c>
      <c r="AF48" s="54" t="n">
        <f aca="false">AD48*0.2038+500</f>
        <v>1331.504</v>
      </c>
      <c r="AG48" s="55" t="n">
        <f aca="false">AD48+AF48</f>
        <v>5411.504</v>
      </c>
      <c r="AH48" s="56" t="n">
        <f aca="false">IF(AD48&gt;0,AF48/AD48,0)</f>
        <v>0.326349019607843</v>
      </c>
      <c r="AI48" s="57" t="n">
        <f aca="false">2_Market_Gross_USD!G46</f>
        <v>5292</v>
      </c>
      <c r="AJ48" s="53" t="n">
        <f aca="false">AI48*(1-0.28)</f>
        <v>3810.24</v>
      </c>
      <c r="AK48" s="54" t="n">
        <f aca="false">AI48*0.15+0</f>
        <v>793.8</v>
      </c>
      <c r="AL48" s="55" t="n">
        <f aca="false">AI48+AK48</f>
        <v>6085.8</v>
      </c>
      <c r="AM48" s="56" t="n">
        <f aca="false">IF(AI48&gt;0,AK48/AI48,0)</f>
        <v>0.15</v>
      </c>
      <c r="AN48" s="57" t="n">
        <f aca="false">2_Market_Gross_USD!G46</f>
        <v>5292</v>
      </c>
      <c r="AO48" s="53" t="n">
        <f aca="false">AN48*(1-0.19)</f>
        <v>4286.52</v>
      </c>
      <c r="AP48" s="54" t="n">
        <f aca="false">AN48*0+0</f>
        <v>0</v>
      </c>
      <c r="AQ48" s="55" t="n">
        <f aca="false">AN48+AP48</f>
        <v>5292</v>
      </c>
      <c r="AR48" s="56" t="n">
        <f aca="false">IF(AN48&gt;0,AP48/AN48,0)</f>
        <v>0</v>
      </c>
      <c r="AS48" s="57" t="n">
        <f aca="false">2_Market_Gross_USD!G46</f>
        <v>5292</v>
      </c>
      <c r="AT48" s="53" t="n">
        <f aca="false">AS48*(1-0.28)</f>
        <v>3810.24</v>
      </c>
      <c r="AU48" s="54" t="n">
        <f aca="false">AS48*0.15+500</f>
        <v>1293.8</v>
      </c>
      <c r="AV48" s="55" t="n">
        <f aca="false">AS48+AU48</f>
        <v>6585.8</v>
      </c>
      <c r="AW48" s="56" t="n">
        <f aca="false">IF(AS48&gt;0,AU48/AS48,0)</f>
        <v>0.24448223733938</v>
      </c>
      <c r="AX48" s="57" t="n">
        <f aca="false">2_Market_Gross_USD!H46</f>
        <v>14000</v>
      </c>
      <c r="AY48" s="53" t="n">
        <f aca="false">AX48*(1-0.2965)</f>
        <v>9849</v>
      </c>
      <c r="AZ48" s="54" t="n">
        <f aca="false">AX48*0.11+0</f>
        <v>1540</v>
      </c>
      <c r="BA48" s="55" t="n">
        <f aca="false">AX48+AZ48</f>
        <v>15540</v>
      </c>
      <c r="BB48" s="56" t="n">
        <f aca="false">IF(AX48&gt;0,AZ48/AX48,0)</f>
        <v>0.11</v>
      </c>
      <c r="BC48" s="57" t="n">
        <f aca="false">2_Market_Gross_USD!H46</f>
        <v>14000</v>
      </c>
      <c r="BD48" s="53" t="n">
        <f aca="false">BC48*(1-0.373)</f>
        <v>8778</v>
      </c>
      <c r="BE48" s="54" t="n">
        <f aca="false">BC48*0+0</f>
        <v>0</v>
      </c>
      <c r="BF48" s="55" t="n">
        <f aca="false">BC48+BE48</f>
        <v>14000</v>
      </c>
      <c r="BG48" s="56" t="n">
        <f aca="false">IF(BC48&gt;0,BE48/BC48,0)</f>
        <v>0</v>
      </c>
      <c r="BH48" s="57" t="n">
        <f aca="false">2_Market_Gross_USD!H46</f>
        <v>14000</v>
      </c>
      <c r="BI48" s="53" t="n">
        <f aca="false">BH48*(1-0.2965)</f>
        <v>9849</v>
      </c>
      <c r="BJ48" s="54" t="n">
        <f aca="false">BH48*0.11+500</f>
        <v>2040</v>
      </c>
      <c r="BK48" s="55" t="n">
        <f aca="false">BH48+BJ48</f>
        <v>16040</v>
      </c>
      <c r="BL48" s="56" t="n">
        <f aca="false">IF(BH48&gt;0,BJ48/BH48,0)</f>
        <v>0.145714285714286</v>
      </c>
      <c r="BM48" s="57" t="n">
        <f aca="false">2_Market_Gross_USD!I46</f>
        <v>6121</v>
      </c>
      <c r="BN48" s="53" t="n">
        <f aca="false">BM48*(1-0.4785)</f>
        <v>3192.1015</v>
      </c>
      <c r="BO48" s="54" t="n">
        <f aca="false">BM48*0.21+0</f>
        <v>1285.41</v>
      </c>
      <c r="BP48" s="55" t="n">
        <f aca="false">BM48+BO48</f>
        <v>7406.41</v>
      </c>
      <c r="BQ48" s="56" t="n">
        <f aca="false">IF(BM48&gt;0,BO48/BM48,0)</f>
        <v>0.21</v>
      </c>
      <c r="BR48" s="57" t="n">
        <f aca="false">2_Market_Gross_USD!I46</f>
        <v>6121</v>
      </c>
      <c r="BS48" s="53" t="n">
        <f aca="false">BR48*(1-0.25)</f>
        <v>4590.75</v>
      </c>
      <c r="BT48" s="54" t="n">
        <f aca="false">BR48*0+0</f>
        <v>0</v>
      </c>
      <c r="BU48" s="55" t="n">
        <f aca="false">BR48+BT48</f>
        <v>6121</v>
      </c>
      <c r="BV48" s="56" t="n">
        <f aca="false">IF(BR48&gt;0,BT48/BR48,0)</f>
        <v>0</v>
      </c>
      <c r="BW48" s="57" t="n">
        <f aca="false">2_Market_Gross_USD!I46</f>
        <v>6121</v>
      </c>
      <c r="BX48" s="53" t="n">
        <f aca="false">BW48*(1-0.4785)</f>
        <v>3192.1015</v>
      </c>
      <c r="BY48" s="54" t="n">
        <f aca="false">BW48*0.21+500</f>
        <v>1785.41</v>
      </c>
      <c r="BZ48" s="55" t="n">
        <f aca="false">BW48+BY48</f>
        <v>7906.41</v>
      </c>
      <c r="CA48" s="56" t="n">
        <f aca="false">IF(BW48&gt;0,BY48/BW48,0)</f>
        <v>0.291685999019768</v>
      </c>
      <c r="CB48" s="57" t="n">
        <f aca="false">2_Market_Gross_USD!J46</f>
        <v>6591</v>
      </c>
      <c r="CC48" s="53" t="n">
        <f aca="false">CB48*(1-0.3697)</f>
        <v>4154.3073</v>
      </c>
      <c r="CD48" s="54" t="n">
        <f aca="false">CB48*0.2+0</f>
        <v>1318.2</v>
      </c>
      <c r="CE48" s="55" t="n">
        <f aca="false">CB48+CD48</f>
        <v>7909.2</v>
      </c>
      <c r="CF48" s="56" t="n">
        <f aca="false">IF(CB48&gt;0,CD48/CB48,0)</f>
        <v>0.2</v>
      </c>
      <c r="CG48" s="57" t="n">
        <f aca="false">2_Market_Gross_USD!J46</f>
        <v>6591</v>
      </c>
      <c r="CH48" s="53" t="n">
        <f aca="false">CG48*(1-0.3697)</f>
        <v>4154.3073</v>
      </c>
      <c r="CI48" s="54" t="n">
        <f aca="false">CG48*0+0</f>
        <v>0</v>
      </c>
      <c r="CJ48" s="55" t="n">
        <f aca="false">CG48+CI48</f>
        <v>6591</v>
      </c>
      <c r="CK48" s="56" t="n">
        <f aca="false">IF(CG48&gt;0,CI48/CG48,0)</f>
        <v>0</v>
      </c>
      <c r="CL48" s="57" t="n">
        <f aca="false">2_Market_Gross_USD!J46</f>
        <v>6591</v>
      </c>
      <c r="CM48" s="53" t="n">
        <f aca="false">CL48*(1-0.3697)</f>
        <v>4154.3073</v>
      </c>
      <c r="CN48" s="54" t="n">
        <f aca="false">CL48*0.2+500</f>
        <v>1818.2</v>
      </c>
      <c r="CO48" s="55" t="n">
        <f aca="false">CL48+CN48</f>
        <v>8409.2</v>
      </c>
      <c r="CP48" s="56" t="n">
        <f aca="false">IF(CL48&gt;0,CN48/CL48,0)</f>
        <v>0.275861022606585</v>
      </c>
      <c r="CQ48" s="57" t="n">
        <f aca="false">2_Market_Gross_USD!K46</f>
        <v>3202</v>
      </c>
      <c r="CR48" s="53" t="n">
        <f aca="false">CQ48*(1-0.26)</f>
        <v>2369.48</v>
      </c>
      <c r="CS48" s="54" t="n">
        <f aca="false">CQ48*0.338+0</f>
        <v>1082.276</v>
      </c>
      <c r="CT48" s="55" t="n">
        <f aca="false">CQ48+CS48</f>
        <v>4284.276</v>
      </c>
      <c r="CU48" s="56" t="n">
        <f aca="false">IF(CQ48&gt;0,CS48/CQ48,0)</f>
        <v>0.338</v>
      </c>
      <c r="CV48" s="57" t="n">
        <f aca="false">2_Market_Gross_USD!K46</f>
        <v>3202</v>
      </c>
      <c r="CW48" s="53" t="n">
        <f aca="false">CV48*(1-0.15)</f>
        <v>2721.7</v>
      </c>
      <c r="CX48" s="54" t="n">
        <f aca="false">CV48*0+0</f>
        <v>0</v>
      </c>
      <c r="CY48" s="55" t="n">
        <f aca="false">CV48+CX48</f>
        <v>3202</v>
      </c>
      <c r="CZ48" s="56" t="n">
        <f aca="false">IF(CV48&gt;0,CX48/CV48,0)</f>
        <v>0</v>
      </c>
      <c r="DA48" s="57" t="n">
        <f aca="false">2_Market_Gross_USD!K46</f>
        <v>3202</v>
      </c>
      <c r="DB48" s="53" t="n">
        <f aca="false">DA48*(1-0.26)</f>
        <v>2369.48</v>
      </c>
      <c r="DC48" s="54" t="n">
        <f aca="false">DA48*0.338+500</f>
        <v>1582.276</v>
      </c>
      <c r="DD48" s="55" t="n">
        <f aca="false">DA48+DC48</f>
        <v>4784.276</v>
      </c>
      <c r="DE48" s="56" t="n">
        <f aca="false">IF(DA48&gt;0,DC48/DA48,0)</f>
        <v>0.494152404747033</v>
      </c>
      <c r="DF48" s="57" t="n">
        <f aca="false">2_Market_Gross_USD!L46</f>
        <v>4144</v>
      </c>
      <c r="DG48" s="53" t="n">
        <f aca="false">DF48*(1-0.34)</f>
        <v>2735.04</v>
      </c>
      <c r="DH48" s="54" t="n">
        <f aca="false">DF48*0.2375+0</f>
        <v>984.2</v>
      </c>
      <c r="DI48" s="55" t="n">
        <f aca="false">DF48+DH48</f>
        <v>5128.2</v>
      </c>
      <c r="DJ48" s="56" t="n">
        <f aca="false">IF(DF48&gt;0,DH48/DF48,0)</f>
        <v>0.2375</v>
      </c>
      <c r="DK48" s="57" t="n">
        <f aca="false">2_Market_Gross_USD!L46</f>
        <v>4144</v>
      </c>
      <c r="DL48" s="53" t="n">
        <f aca="false">DK48*(1-0.2)</f>
        <v>3315.2</v>
      </c>
      <c r="DM48" s="54" t="n">
        <f aca="false">DK48*0+0</f>
        <v>0</v>
      </c>
      <c r="DN48" s="55" t="n">
        <f aca="false">DK48+DM48</f>
        <v>4144</v>
      </c>
      <c r="DO48" s="56" t="n">
        <f aca="false">IF(DK48&gt;0,DM48/DK48,0)</f>
        <v>0</v>
      </c>
      <c r="DP48" s="57" t="n">
        <f aca="false">2_Market_Gross_USD!L46</f>
        <v>4144</v>
      </c>
      <c r="DQ48" s="53" t="n">
        <f aca="false">DP48*(1-0.34)</f>
        <v>2735.04</v>
      </c>
      <c r="DR48" s="54" t="n">
        <f aca="false">DP48*0.2375+500</f>
        <v>1484.2</v>
      </c>
      <c r="DS48" s="55" t="n">
        <f aca="false">DP48+DR48</f>
        <v>5628.2</v>
      </c>
      <c r="DT48" s="56" t="n">
        <f aca="false">IF(DP48&gt;0,DR48/DP48,0)</f>
        <v>0.358156370656371</v>
      </c>
      <c r="DU48" s="57" t="n">
        <f aca="false">2_Market_Gross_USD!M46</f>
        <v>2750</v>
      </c>
      <c r="DV48" s="53" t="n">
        <f aca="false">DU48*0.65</f>
        <v>1787.5</v>
      </c>
      <c r="DW48" s="54" t="n">
        <f aca="false">DU48*0.0225+0</f>
        <v>61.875</v>
      </c>
      <c r="DX48" s="55" t="n">
        <f aca="false">DU48+DW48</f>
        <v>2811.875</v>
      </c>
      <c r="DY48" s="56" t="n">
        <f aca="false">IF(DU48&gt;0,DW48/DU48,0)</f>
        <v>0.0225</v>
      </c>
      <c r="DZ48" s="57" t="n">
        <f aca="false">2_Market_Gross_USD!M46</f>
        <v>2750</v>
      </c>
      <c r="EA48" s="53" t="n">
        <f aca="false">DZ48*(1-0.01)</f>
        <v>2722.5</v>
      </c>
      <c r="EB48" s="54" t="n">
        <f aca="false">DZ48*0+0</f>
        <v>0</v>
      </c>
      <c r="EC48" s="55" t="n">
        <f aca="false">DZ48+EB48</f>
        <v>2750</v>
      </c>
      <c r="ED48" s="56" t="n">
        <f aca="false">IF(DZ48&gt;0,EB48/DZ48,0)</f>
        <v>0</v>
      </c>
      <c r="EE48" s="57" t="n">
        <f aca="false">2_Market_Gross_USD!M46</f>
        <v>2750</v>
      </c>
      <c r="EF48" s="53" t="n">
        <f aca="false">EE48*0.65</f>
        <v>1787.5</v>
      </c>
      <c r="EG48" s="54" t="n">
        <f aca="false">EE48*0.0225+500</f>
        <v>561.875</v>
      </c>
      <c r="EH48" s="55" t="n">
        <f aca="false">EE48+EG48</f>
        <v>3311.875</v>
      </c>
      <c r="EI48" s="56" t="n">
        <f aca="false">IF(EE48&gt;0,EG48/EE48,0)</f>
        <v>0.204318181818182</v>
      </c>
    </row>
    <row r="49" customFormat="false" ht="15" hidden="false" customHeight="false" outlineLevel="0" collapsed="false">
      <c r="A49" s="41" t="n">
        <v>44</v>
      </c>
      <c r="B49" s="28" t="s">
        <v>278</v>
      </c>
      <c r="C49" s="8" t="s">
        <v>279</v>
      </c>
      <c r="D49" s="42" t="s">
        <v>249</v>
      </c>
      <c r="E49" s="52" t="n">
        <f aca="false">2_Market_Gross_USD!E47</f>
        <v>4600</v>
      </c>
      <c r="F49" s="53" t="n">
        <f aca="false">E49*(1-0.065)</f>
        <v>4301</v>
      </c>
      <c r="G49" s="58" t="n">
        <f aca="false">E49*0+35</f>
        <v>35</v>
      </c>
      <c r="H49" s="55" t="n">
        <f aca="false">E49+G49</f>
        <v>4635</v>
      </c>
      <c r="I49" s="59" t="n">
        <f aca="false">IF(E49&gt;0,G49/E49,0)</f>
        <v>0.00760869565217391</v>
      </c>
      <c r="J49" s="52" t="n">
        <f aca="false">2_Market_Gross_USD!E47</f>
        <v>4600</v>
      </c>
      <c r="K49" s="53" t="n">
        <f aca="false">J49*(1-0.065)</f>
        <v>4301</v>
      </c>
      <c r="L49" s="58" t="n">
        <f aca="false">J49*0+40</f>
        <v>40</v>
      </c>
      <c r="M49" s="55" t="n">
        <f aca="false">J49+L49</f>
        <v>4640</v>
      </c>
      <c r="N49" s="59" t="n">
        <f aca="false">IF(J49&gt;0,L49/J49,0)</f>
        <v>0.00869565217391304</v>
      </c>
      <c r="O49" s="52" t="n">
        <f aca="false">2_Market_Gross_USD!E47</f>
        <v>4600</v>
      </c>
      <c r="P49" s="53" t="n">
        <f aca="false">O49*(1-0.195)</f>
        <v>3703</v>
      </c>
      <c r="Q49" s="58" t="n">
        <f aca="false">IF(O49&gt;=3886,3886*0.22,O49*0.22)</f>
        <v>854.92</v>
      </c>
      <c r="R49" s="55" t="n">
        <f aca="false">O49+Q49</f>
        <v>5454.92</v>
      </c>
      <c r="S49" s="59" t="n">
        <f aca="false">IF(O49&gt;0,Q49/O49,0)</f>
        <v>0.185852173913043</v>
      </c>
      <c r="T49" s="60" t="n">
        <f aca="false">2_Market_Gross_USD!F47</f>
        <v>6630</v>
      </c>
      <c r="U49" s="53" t="n">
        <f aca="false">T49*(1-0.2571)</f>
        <v>4925.427</v>
      </c>
      <c r="V49" s="58" t="n">
        <f aca="false">T49*0.2038+0</f>
        <v>1351.194</v>
      </c>
      <c r="W49" s="55" t="n">
        <f aca="false">T49+V49</f>
        <v>7981.194</v>
      </c>
      <c r="X49" s="59" t="n">
        <f aca="false">IF(T49&gt;0,V49/T49,0)</f>
        <v>0.2038</v>
      </c>
      <c r="Y49" s="60" t="n">
        <f aca="false">2_Market_Gross_USD!F47</f>
        <v>6630</v>
      </c>
      <c r="Z49" s="53" t="n">
        <f aca="false">Y49*(1-0.12)</f>
        <v>5834.4</v>
      </c>
      <c r="AA49" s="58" t="n">
        <f aca="false">Y49*0+0</f>
        <v>0</v>
      </c>
      <c r="AB49" s="55" t="n">
        <f aca="false">Y49+AA49</f>
        <v>6630</v>
      </c>
      <c r="AC49" s="59" t="n">
        <f aca="false">IF(Y49&gt;0,AA49/Y49,0)</f>
        <v>0</v>
      </c>
      <c r="AD49" s="60" t="n">
        <f aca="false">2_Market_Gross_USD!F47</f>
        <v>6630</v>
      </c>
      <c r="AE49" s="53" t="n">
        <f aca="false">AD49*(1-0.2571)</f>
        <v>4925.427</v>
      </c>
      <c r="AF49" s="58" t="n">
        <f aca="false">AD49*0.2038+500</f>
        <v>1851.194</v>
      </c>
      <c r="AG49" s="55" t="n">
        <f aca="false">AD49+AF49</f>
        <v>8481.194</v>
      </c>
      <c r="AH49" s="59" t="n">
        <f aca="false">IF(AD49&gt;0,AF49/AD49,0)</f>
        <v>0.279214781297134</v>
      </c>
      <c r="AI49" s="60" t="n">
        <f aca="false">2_Market_Gross_USD!G47</f>
        <v>7938</v>
      </c>
      <c r="AJ49" s="53" t="n">
        <f aca="false">AI49*(1-0.28)</f>
        <v>5715.36</v>
      </c>
      <c r="AK49" s="58" t="n">
        <f aca="false">AI49*0.15+0</f>
        <v>1190.7</v>
      </c>
      <c r="AL49" s="55" t="n">
        <f aca="false">AI49+AK49</f>
        <v>9128.7</v>
      </c>
      <c r="AM49" s="59" t="n">
        <f aca="false">IF(AI49&gt;0,AK49/AI49,0)</f>
        <v>0.15</v>
      </c>
      <c r="AN49" s="60" t="n">
        <f aca="false">2_Market_Gross_USD!G47</f>
        <v>7938</v>
      </c>
      <c r="AO49" s="53" t="n">
        <f aca="false">AN49*(1-0.19)</f>
        <v>6429.78</v>
      </c>
      <c r="AP49" s="58" t="n">
        <f aca="false">AN49*0+0</f>
        <v>0</v>
      </c>
      <c r="AQ49" s="55" t="n">
        <f aca="false">AN49+AP49</f>
        <v>7938</v>
      </c>
      <c r="AR49" s="59" t="n">
        <f aca="false">IF(AN49&gt;0,AP49/AN49,0)</f>
        <v>0</v>
      </c>
      <c r="AS49" s="60" t="n">
        <f aca="false">2_Market_Gross_USD!G47</f>
        <v>7938</v>
      </c>
      <c r="AT49" s="53" t="n">
        <f aca="false">AS49*(1-0.28)</f>
        <v>5715.36</v>
      </c>
      <c r="AU49" s="58" t="n">
        <f aca="false">AS49*0.15+500</f>
        <v>1690.7</v>
      </c>
      <c r="AV49" s="55" t="n">
        <f aca="false">AS49+AU49</f>
        <v>9628.7</v>
      </c>
      <c r="AW49" s="59" t="n">
        <f aca="false">IF(AS49&gt;0,AU49/AS49,0)</f>
        <v>0.212988158226253</v>
      </c>
      <c r="AX49" s="60" t="n">
        <f aca="false">2_Market_Gross_USD!H47</f>
        <v>16150</v>
      </c>
      <c r="AY49" s="53" t="n">
        <f aca="false">AX49*(1-0.2965)</f>
        <v>11361.525</v>
      </c>
      <c r="AZ49" s="58" t="n">
        <f aca="false">AX49*0.11+0</f>
        <v>1776.5</v>
      </c>
      <c r="BA49" s="55" t="n">
        <f aca="false">AX49+AZ49</f>
        <v>17926.5</v>
      </c>
      <c r="BB49" s="59" t="n">
        <f aca="false">IF(AX49&gt;0,AZ49/AX49,0)</f>
        <v>0.11</v>
      </c>
      <c r="BC49" s="60" t="n">
        <f aca="false">2_Market_Gross_USD!H47</f>
        <v>16150</v>
      </c>
      <c r="BD49" s="53" t="n">
        <f aca="false">BC49*(1-0.373)</f>
        <v>10126.05</v>
      </c>
      <c r="BE49" s="58" t="n">
        <f aca="false">BC49*0+0</f>
        <v>0</v>
      </c>
      <c r="BF49" s="55" t="n">
        <f aca="false">BC49+BE49</f>
        <v>16150</v>
      </c>
      <c r="BG49" s="59" t="n">
        <f aca="false">IF(BC49&gt;0,BE49/BC49,0)</f>
        <v>0</v>
      </c>
      <c r="BH49" s="60" t="n">
        <f aca="false">2_Market_Gross_USD!H47</f>
        <v>16150</v>
      </c>
      <c r="BI49" s="53" t="n">
        <f aca="false">BH49*(1-0.2965)</f>
        <v>11361.525</v>
      </c>
      <c r="BJ49" s="58" t="n">
        <f aca="false">BH49*0.11+500</f>
        <v>2276.5</v>
      </c>
      <c r="BK49" s="55" t="n">
        <f aca="false">BH49+BJ49</f>
        <v>18426.5</v>
      </c>
      <c r="BL49" s="59" t="n">
        <f aca="false">IF(BH49&gt;0,BJ49/BH49,0)</f>
        <v>0.140959752321981</v>
      </c>
      <c r="BM49" s="60" t="n">
        <f aca="false">2_Market_Gross_USD!I47</f>
        <v>8475</v>
      </c>
      <c r="BN49" s="53" t="n">
        <f aca="false">BM49*(1-0.4785)</f>
        <v>4419.7125</v>
      </c>
      <c r="BO49" s="58" t="n">
        <f aca="false">BM49*0.21+0</f>
        <v>1779.75</v>
      </c>
      <c r="BP49" s="55" t="n">
        <f aca="false">BM49+BO49</f>
        <v>10254.75</v>
      </c>
      <c r="BQ49" s="59" t="n">
        <f aca="false">IF(BM49&gt;0,BO49/BM49,0)</f>
        <v>0.21</v>
      </c>
      <c r="BR49" s="60" t="n">
        <f aca="false">2_Market_Gross_USD!I47</f>
        <v>8475</v>
      </c>
      <c r="BS49" s="53" t="n">
        <f aca="false">BR49*(1-0.25)</f>
        <v>6356.25</v>
      </c>
      <c r="BT49" s="58" t="n">
        <f aca="false">BR49*0+0</f>
        <v>0</v>
      </c>
      <c r="BU49" s="55" t="n">
        <f aca="false">BR49+BT49</f>
        <v>8475</v>
      </c>
      <c r="BV49" s="59" t="n">
        <f aca="false">IF(BR49&gt;0,BT49/BR49,0)</f>
        <v>0</v>
      </c>
      <c r="BW49" s="60" t="n">
        <f aca="false">2_Market_Gross_USD!I47</f>
        <v>8475</v>
      </c>
      <c r="BX49" s="53" t="n">
        <f aca="false">BW49*(1-0.4785)</f>
        <v>4419.7125</v>
      </c>
      <c r="BY49" s="58" t="n">
        <f aca="false">BW49*0.21+500</f>
        <v>2279.75</v>
      </c>
      <c r="BZ49" s="55" t="n">
        <f aca="false">BW49+BY49</f>
        <v>10754.75</v>
      </c>
      <c r="CA49" s="59" t="n">
        <f aca="false">IF(BW49&gt;0,BY49/BW49,0)</f>
        <v>0.268997050147493</v>
      </c>
      <c r="CB49" s="60" t="n">
        <f aca="false">2_Market_Gross_USD!J47</f>
        <v>9511</v>
      </c>
      <c r="CC49" s="53" t="n">
        <f aca="false">CB49*(1-0.3697)</f>
        <v>5994.7833</v>
      </c>
      <c r="CD49" s="58" t="n">
        <f aca="false">CB49*0.2+0</f>
        <v>1902.2</v>
      </c>
      <c r="CE49" s="55" t="n">
        <f aca="false">CB49+CD49</f>
        <v>11413.2</v>
      </c>
      <c r="CF49" s="59" t="n">
        <f aca="false">IF(CB49&gt;0,CD49/CB49,0)</f>
        <v>0.2</v>
      </c>
      <c r="CG49" s="60" t="n">
        <f aca="false">2_Market_Gross_USD!J47</f>
        <v>9511</v>
      </c>
      <c r="CH49" s="53" t="n">
        <f aca="false">CG49*(1-0.3697)</f>
        <v>5994.7833</v>
      </c>
      <c r="CI49" s="58" t="n">
        <f aca="false">CG49*0+0</f>
        <v>0</v>
      </c>
      <c r="CJ49" s="55" t="n">
        <f aca="false">CG49+CI49</f>
        <v>9511</v>
      </c>
      <c r="CK49" s="59" t="n">
        <f aca="false">IF(CG49&gt;0,CI49/CG49,0)</f>
        <v>0</v>
      </c>
      <c r="CL49" s="60" t="n">
        <f aca="false">2_Market_Gross_USD!J47</f>
        <v>9511</v>
      </c>
      <c r="CM49" s="53" t="n">
        <f aca="false">CL49*(1-0.3697)</f>
        <v>5994.7833</v>
      </c>
      <c r="CN49" s="58" t="n">
        <f aca="false">CL49*0.2+500</f>
        <v>2402.2</v>
      </c>
      <c r="CO49" s="55" t="n">
        <f aca="false">CL49+CN49</f>
        <v>11913.2</v>
      </c>
      <c r="CP49" s="59" t="n">
        <f aca="false">IF(CL49&gt;0,CN49/CL49,0)</f>
        <v>0.252570707601724</v>
      </c>
      <c r="CQ49" s="60" t="n">
        <f aca="false">2_Market_Gross_USD!K47</f>
        <v>5009</v>
      </c>
      <c r="CR49" s="53" t="n">
        <f aca="false">CQ49*(1-0.26)</f>
        <v>3706.66</v>
      </c>
      <c r="CS49" s="58" t="n">
        <f aca="false">CQ49*0.338+0</f>
        <v>1693.042</v>
      </c>
      <c r="CT49" s="55" t="n">
        <f aca="false">CQ49+CS49</f>
        <v>6702.042</v>
      </c>
      <c r="CU49" s="59" t="n">
        <f aca="false">IF(CQ49&gt;0,CS49/CQ49,0)</f>
        <v>0.338</v>
      </c>
      <c r="CV49" s="60" t="n">
        <f aca="false">2_Market_Gross_USD!K47</f>
        <v>5009</v>
      </c>
      <c r="CW49" s="53" t="n">
        <f aca="false">CV49*(1-0.15)</f>
        <v>4257.65</v>
      </c>
      <c r="CX49" s="58" t="n">
        <f aca="false">CV49*0+0</f>
        <v>0</v>
      </c>
      <c r="CY49" s="55" t="n">
        <f aca="false">CV49+CX49</f>
        <v>5009</v>
      </c>
      <c r="CZ49" s="59" t="n">
        <f aca="false">IF(CV49&gt;0,CX49/CV49,0)</f>
        <v>0</v>
      </c>
      <c r="DA49" s="60" t="n">
        <f aca="false">2_Market_Gross_USD!K47</f>
        <v>5009</v>
      </c>
      <c r="DB49" s="53" t="n">
        <f aca="false">DA49*(1-0.26)</f>
        <v>3706.66</v>
      </c>
      <c r="DC49" s="58" t="n">
        <f aca="false">DA49*0.338+500</f>
        <v>2193.042</v>
      </c>
      <c r="DD49" s="55" t="n">
        <f aca="false">DA49+DC49</f>
        <v>7202.042</v>
      </c>
      <c r="DE49" s="59" t="n">
        <f aca="false">IF(DA49&gt;0,DC49/DA49,0)</f>
        <v>0.437820323417848</v>
      </c>
      <c r="DF49" s="60" t="n">
        <f aca="false">2_Market_Gross_USD!L47</f>
        <v>6404</v>
      </c>
      <c r="DG49" s="53" t="n">
        <f aca="false">DF49*(1-0.34)</f>
        <v>4226.64</v>
      </c>
      <c r="DH49" s="58" t="n">
        <f aca="false">DF49*0.2375+0</f>
        <v>1520.95</v>
      </c>
      <c r="DI49" s="55" t="n">
        <f aca="false">DF49+DH49</f>
        <v>7924.95</v>
      </c>
      <c r="DJ49" s="59" t="n">
        <f aca="false">IF(DF49&gt;0,DH49/DF49,0)</f>
        <v>0.2375</v>
      </c>
      <c r="DK49" s="60" t="n">
        <f aca="false">2_Market_Gross_USD!L47</f>
        <v>6404</v>
      </c>
      <c r="DL49" s="53" t="n">
        <f aca="false">DK49*(1-0.2)</f>
        <v>5123.2</v>
      </c>
      <c r="DM49" s="58" t="n">
        <f aca="false">DK49*0+0</f>
        <v>0</v>
      </c>
      <c r="DN49" s="55" t="n">
        <f aca="false">DK49+DM49</f>
        <v>6404</v>
      </c>
      <c r="DO49" s="59" t="n">
        <f aca="false">IF(DK49&gt;0,DM49/DK49,0)</f>
        <v>0</v>
      </c>
      <c r="DP49" s="60" t="n">
        <f aca="false">2_Market_Gross_USD!L47</f>
        <v>6404</v>
      </c>
      <c r="DQ49" s="53" t="n">
        <f aca="false">DP49*(1-0.34)</f>
        <v>4226.64</v>
      </c>
      <c r="DR49" s="58" t="n">
        <f aca="false">DP49*0.2375+500</f>
        <v>2020.95</v>
      </c>
      <c r="DS49" s="55" t="n">
        <f aca="false">DP49+DR49</f>
        <v>8424.95</v>
      </c>
      <c r="DT49" s="59" t="n">
        <f aca="false">IF(DP49&gt;0,DR49/DP49,0)</f>
        <v>0.315576202373517</v>
      </c>
      <c r="DU49" s="60" t="n">
        <f aca="false">2_Market_Gross_USD!M47</f>
        <v>4480</v>
      </c>
      <c r="DV49" s="53" t="n">
        <f aca="false">DU49*0.65</f>
        <v>2912</v>
      </c>
      <c r="DW49" s="58" t="n">
        <f aca="false">DU49*0.0225+0</f>
        <v>100.8</v>
      </c>
      <c r="DX49" s="55" t="n">
        <f aca="false">DU49+DW49</f>
        <v>4580.8</v>
      </c>
      <c r="DY49" s="59" t="n">
        <f aca="false">IF(DU49&gt;0,DW49/DU49,0)</f>
        <v>0.0225</v>
      </c>
      <c r="DZ49" s="60" t="n">
        <f aca="false">2_Market_Gross_USD!M47</f>
        <v>4480</v>
      </c>
      <c r="EA49" s="53" t="n">
        <f aca="false">DZ49*(1-0.01)</f>
        <v>4435.2</v>
      </c>
      <c r="EB49" s="58" t="n">
        <f aca="false">DZ49*0+0</f>
        <v>0</v>
      </c>
      <c r="EC49" s="55" t="n">
        <f aca="false">DZ49+EB49</f>
        <v>4480</v>
      </c>
      <c r="ED49" s="59" t="n">
        <f aca="false">IF(DZ49&gt;0,EB49/DZ49,0)</f>
        <v>0</v>
      </c>
      <c r="EE49" s="60" t="n">
        <f aca="false">2_Market_Gross_USD!M47</f>
        <v>4480</v>
      </c>
      <c r="EF49" s="53" t="n">
        <f aca="false">EE49*0.65</f>
        <v>2912</v>
      </c>
      <c r="EG49" s="58" t="n">
        <f aca="false">EE49*0.0225+500</f>
        <v>600.8</v>
      </c>
      <c r="EH49" s="55" t="n">
        <f aca="false">EE49+EG49</f>
        <v>5080.8</v>
      </c>
      <c r="EI49" s="59" t="n">
        <f aca="false">IF(EE49&gt;0,EG49/EE49,0)</f>
        <v>0.134107142857143</v>
      </c>
    </row>
    <row r="50" customFormat="false" ht="15" hidden="false" customHeight="false" outlineLevel="0" collapsed="false">
      <c r="A50" s="37" t="n">
        <v>45</v>
      </c>
      <c r="B50" s="32" t="s">
        <v>280</v>
      </c>
      <c r="C50" s="32" t="s">
        <v>281</v>
      </c>
      <c r="D50" s="38" t="s">
        <v>248</v>
      </c>
      <c r="E50" s="52" t="n">
        <f aca="false">2_Market_Gross_USD!E48</f>
        <v>1725</v>
      </c>
      <c r="F50" s="53" t="n">
        <f aca="false">E50*(1-0.065)</f>
        <v>1612.875</v>
      </c>
      <c r="G50" s="54" t="n">
        <f aca="false">E50*0+35</f>
        <v>35</v>
      </c>
      <c r="H50" s="55" t="n">
        <f aca="false">E50+G50</f>
        <v>1760</v>
      </c>
      <c r="I50" s="56" t="n">
        <f aca="false">IF(E50&gt;0,G50/E50,0)</f>
        <v>0.0202898550724638</v>
      </c>
      <c r="J50" s="52" t="n">
        <f aca="false">2_Market_Gross_USD!E48</f>
        <v>1725</v>
      </c>
      <c r="K50" s="53" t="n">
        <f aca="false">J50*(1-0.065)</f>
        <v>1612.875</v>
      </c>
      <c r="L50" s="54" t="n">
        <f aca="false">J50*0+40</f>
        <v>40</v>
      </c>
      <c r="M50" s="55" t="n">
        <f aca="false">J50+L50</f>
        <v>1765</v>
      </c>
      <c r="N50" s="56" t="n">
        <f aca="false">IF(J50&gt;0,L50/J50,0)</f>
        <v>0.0231884057971015</v>
      </c>
      <c r="O50" s="52" t="n">
        <f aca="false">2_Market_Gross_USD!E48</f>
        <v>1725</v>
      </c>
      <c r="P50" s="53" t="n">
        <f aca="false">O50*(1-0.195)</f>
        <v>1388.625</v>
      </c>
      <c r="Q50" s="54" t="n">
        <f aca="false">IF(O50&gt;=3886,3886*0.22,O50*0.22)</f>
        <v>379.5</v>
      </c>
      <c r="R50" s="55" t="n">
        <f aca="false">O50+Q50</f>
        <v>2104.5</v>
      </c>
      <c r="S50" s="56" t="n">
        <f aca="false">IF(O50&gt;0,Q50/O50,0)</f>
        <v>0.22</v>
      </c>
      <c r="T50" s="57" t="n">
        <f aca="false">2_Market_Gross_USD!F48</f>
        <v>3825</v>
      </c>
      <c r="U50" s="53" t="n">
        <f aca="false">T50*(1-0.2571)</f>
        <v>2841.5925</v>
      </c>
      <c r="V50" s="54" t="n">
        <f aca="false">T50*0.2038+0</f>
        <v>779.535</v>
      </c>
      <c r="W50" s="55" t="n">
        <f aca="false">T50+V50</f>
        <v>4604.535</v>
      </c>
      <c r="X50" s="56" t="n">
        <f aca="false">IF(T50&gt;0,V50/T50,0)</f>
        <v>0.2038</v>
      </c>
      <c r="Y50" s="57" t="n">
        <f aca="false">2_Market_Gross_USD!F48</f>
        <v>3825</v>
      </c>
      <c r="Z50" s="53" t="n">
        <f aca="false">Y50*(1-0.12)</f>
        <v>3366</v>
      </c>
      <c r="AA50" s="54" t="n">
        <f aca="false">Y50*0+0</f>
        <v>0</v>
      </c>
      <c r="AB50" s="55" t="n">
        <f aca="false">Y50+AA50</f>
        <v>3825</v>
      </c>
      <c r="AC50" s="56" t="n">
        <f aca="false">IF(Y50&gt;0,AA50/Y50,0)</f>
        <v>0</v>
      </c>
      <c r="AD50" s="57" t="n">
        <f aca="false">2_Market_Gross_USD!F48</f>
        <v>3825</v>
      </c>
      <c r="AE50" s="53" t="n">
        <f aca="false">AD50*(1-0.2571)</f>
        <v>2841.5925</v>
      </c>
      <c r="AF50" s="54" t="n">
        <f aca="false">AD50*0.2038+500</f>
        <v>1279.535</v>
      </c>
      <c r="AG50" s="55" t="n">
        <f aca="false">AD50+AF50</f>
        <v>5104.535</v>
      </c>
      <c r="AH50" s="56" t="n">
        <f aca="false">IF(AD50&gt;0,AF50/AD50,0)</f>
        <v>0.334518954248366</v>
      </c>
      <c r="AI50" s="57" t="n">
        <f aca="false">2_Market_Gross_USD!G48</f>
        <v>5820</v>
      </c>
      <c r="AJ50" s="53" t="n">
        <f aca="false">AI50*(1-0.28)</f>
        <v>4190.4</v>
      </c>
      <c r="AK50" s="54" t="n">
        <f aca="false">AI50*0.15+0</f>
        <v>873</v>
      </c>
      <c r="AL50" s="55" t="n">
        <f aca="false">AI50+AK50</f>
        <v>6693</v>
      </c>
      <c r="AM50" s="56" t="n">
        <f aca="false">IF(AI50&gt;0,AK50/AI50,0)</f>
        <v>0.15</v>
      </c>
      <c r="AN50" s="57" t="n">
        <f aca="false">2_Market_Gross_USD!G48</f>
        <v>5820</v>
      </c>
      <c r="AO50" s="53" t="n">
        <f aca="false">AN50*(1-0.19)</f>
        <v>4714.2</v>
      </c>
      <c r="AP50" s="54" t="n">
        <f aca="false">AN50*0+0</f>
        <v>0</v>
      </c>
      <c r="AQ50" s="55" t="n">
        <f aca="false">AN50+AP50</f>
        <v>5820</v>
      </c>
      <c r="AR50" s="56" t="n">
        <f aca="false">IF(AN50&gt;0,AP50/AN50,0)</f>
        <v>0</v>
      </c>
      <c r="AS50" s="57" t="n">
        <f aca="false">2_Market_Gross_USD!G48</f>
        <v>5820</v>
      </c>
      <c r="AT50" s="53" t="n">
        <f aca="false">AS50*(1-0.28)</f>
        <v>4190.4</v>
      </c>
      <c r="AU50" s="54" t="n">
        <f aca="false">AS50*0.15+500</f>
        <v>1373</v>
      </c>
      <c r="AV50" s="55" t="n">
        <f aca="false">AS50+AU50</f>
        <v>7193</v>
      </c>
      <c r="AW50" s="56" t="n">
        <f aca="false">IF(AS50&gt;0,AU50/AS50,0)</f>
        <v>0.235910652920962</v>
      </c>
      <c r="AX50" s="57" t="n">
        <f aca="false">2_Market_Gross_USD!H48</f>
        <v>15000</v>
      </c>
      <c r="AY50" s="53" t="n">
        <f aca="false">AX50*(1-0.2965)</f>
        <v>10552.5</v>
      </c>
      <c r="AZ50" s="54" t="n">
        <f aca="false">AX50*0.11+0</f>
        <v>1650</v>
      </c>
      <c r="BA50" s="55" t="n">
        <f aca="false">AX50+AZ50</f>
        <v>16650</v>
      </c>
      <c r="BB50" s="56" t="n">
        <f aca="false">IF(AX50&gt;0,AZ50/AX50,0)</f>
        <v>0.11</v>
      </c>
      <c r="BC50" s="57" t="n">
        <f aca="false">2_Market_Gross_USD!H48</f>
        <v>15000</v>
      </c>
      <c r="BD50" s="53" t="n">
        <f aca="false">BC50*(1-0.373)</f>
        <v>9405</v>
      </c>
      <c r="BE50" s="54" t="n">
        <f aca="false">BC50*0+0</f>
        <v>0</v>
      </c>
      <c r="BF50" s="55" t="n">
        <f aca="false">BC50+BE50</f>
        <v>15000</v>
      </c>
      <c r="BG50" s="56" t="n">
        <f aca="false">IF(BC50&gt;0,BE50/BC50,0)</f>
        <v>0</v>
      </c>
      <c r="BH50" s="57" t="n">
        <f aca="false">2_Market_Gross_USD!H48</f>
        <v>15000</v>
      </c>
      <c r="BI50" s="53" t="n">
        <f aca="false">BH50*(1-0.2965)</f>
        <v>10552.5</v>
      </c>
      <c r="BJ50" s="54" t="n">
        <f aca="false">BH50*0.11+500</f>
        <v>2150</v>
      </c>
      <c r="BK50" s="55" t="n">
        <f aca="false">BH50+BJ50</f>
        <v>17150</v>
      </c>
      <c r="BL50" s="56" t="n">
        <f aca="false">IF(BH50&gt;0,BJ50/BH50,0)</f>
        <v>0.143333333333333</v>
      </c>
      <c r="BM50" s="57" t="n">
        <f aca="false">2_Market_Gross_USD!I48</f>
        <v>5744</v>
      </c>
      <c r="BN50" s="53" t="n">
        <f aca="false">BM50*(1-0.4785)</f>
        <v>2995.496</v>
      </c>
      <c r="BO50" s="54" t="n">
        <f aca="false">BM50*0.21+0</f>
        <v>1206.24</v>
      </c>
      <c r="BP50" s="55" t="n">
        <f aca="false">BM50+BO50</f>
        <v>6950.24</v>
      </c>
      <c r="BQ50" s="56" t="n">
        <f aca="false">IF(BM50&gt;0,BO50/BM50,0)</f>
        <v>0.21</v>
      </c>
      <c r="BR50" s="57" t="n">
        <f aca="false">2_Market_Gross_USD!I48</f>
        <v>5744</v>
      </c>
      <c r="BS50" s="53" t="n">
        <f aca="false">BR50*(1-0.25)</f>
        <v>4308</v>
      </c>
      <c r="BT50" s="54" t="n">
        <f aca="false">BR50*0+0</f>
        <v>0</v>
      </c>
      <c r="BU50" s="55" t="n">
        <f aca="false">BR50+BT50</f>
        <v>5744</v>
      </c>
      <c r="BV50" s="56" t="n">
        <f aca="false">IF(BR50&gt;0,BT50/BR50,0)</f>
        <v>0</v>
      </c>
      <c r="BW50" s="57" t="n">
        <f aca="false">2_Market_Gross_USD!I48</f>
        <v>5744</v>
      </c>
      <c r="BX50" s="53" t="n">
        <f aca="false">BW50*(1-0.4785)</f>
        <v>2995.496</v>
      </c>
      <c r="BY50" s="54" t="n">
        <f aca="false">BW50*0.21+500</f>
        <v>1706.24</v>
      </c>
      <c r="BZ50" s="55" t="n">
        <f aca="false">BW50+BY50</f>
        <v>7450.24</v>
      </c>
      <c r="CA50" s="56" t="n">
        <f aca="false">IF(BW50&gt;0,BY50/BW50,0)</f>
        <v>0.297047353760446</v>
      </c>
      <c r="CB50" s="57" t="n">
        <f aca="false">2_Market_Gross_USD!J48</f>
        <v>6404</v>
      </c>
      <c r="CC50" s="53" t="n">
        <f aca="false">CB50*(1-0.3697)</f>
        <v>4036.4412</v>
      </c>
      <c r="CD50" s="54" t="n">
        <f aca="false">CB50*0.2+0</f>
        <v>1280.8</v>
      </c>
      <c r="CE50" s="55" t="n">
        <f aca="false">CB50+CD50</f>
        <v>7684.8</v>
      </c>
      <c r="CF50" s="56" t="n">
        <f aca="false">IF(CB50&gt;0,CD50/CB50,0)</f>
        <v>0.2</v>
      </c>
      <c r="CG50" s="57" t="n">
        <f aca="false">2_Market_Gross_USD!J48</f>
        <v>6404</v>
      </c>
      <c r="CH50" s="53" t="n">
        <f aca="false">CG50*(1-0.3697)</f>
        <v>4036.4412</v>
      </c>
      <c r="CI50" s="54" t="n">
        <f aca="false">CG50*0+0</f>
        <v>0</v>
      </c>
      <c r="CJ50" s="55" t="n">
        <f aca="false">CG50+CI50</f>
        <v>6404</v>
      </c>
      <c r="CK50" s="56" t="n">
        <f aca="false">IF(CG50&gt;0,CI50/CG50,0)</f>
        <v>0</v>
      </c>
      <c r="CL50" s="57" t="n">
        <f aca="false">2_Market_Gross_USD!J48</f>
        <v>6404</v>
      </c>
      <c r="CM50" s="53" t="n">
        <f aca="false">CL50*(1-0.3697)</f>
        <v>4036.4412</v>
      </c>
      <c r="CN50" s="54" t="n">
        <f aca="false">CL50*0.2+500</f>
        <v>1780.8</v>
      </c>
      <c r="CO50" s="55" t="n">
        <f aca="false">CL50+CN50</f>
        <v>8184.8</v>
      </c>
      <c r="CP50" s="56" t="n">
        <f aca="false">IF(CL50&gt;0,CN50/CL50,0)</f>
        <v>0.278076202373517</v>
      </c>
      <c r="CQ50" s="57" t="n">
        <f aca="false">2_Market_Gross_USD!K48</f>
        <v>3095</v>
      </c>
      <c r="CR50" s="53" t="n">
        <f aca="false">CQ50*(1-0.26)</f>
        <v>2290.3</v>
      </c>
      <c r="CS50" s="54" t="n">
        <f aca="false">CQ50*0.338+0</f>
        <v>1046.11</v>
      </c>
      <c r="CT50" s="55" t="n">
        <f aca="false">CQ50+CS50</f>
        <v>4141.11</v>
      </c>
      <c r="CU50" s="56" t="n">
        <f aca="false">IF(CQ50&gt;0,CS50/CQ50,0)</f>
        <v>0.338</v>
      </c>
      <c r="CV50" s="57" t="n">
        <f aca="false">2_Market_Gross_USD!K48</f>
        <v>3095</v>
      </c>
      <c r="CW50" s="53" t="n">
        <f aca="false">CV50*(1-0.15)</f>
        <v>2630.75</v>
      </c>
      <c r="CX50" s="54" t="n">
        <f aca="false">CV50*0+0</f>
        <v>0</v>
      </c>
      <c r="CY50" s="55" t="n">
        <f aca="false">CV50+CX50</f>
        <v>3095</v>
      </c>
      <c r="CZ50" s="56" t="n">
        <f aca="false">IF(CV50&gt;0,CX50/CV50,0)</f>
        <v>0</v>
      </c>
      <c r="DA50" s="57" t="n">
        <f aca="false">2_Market_Gross_USD!K48</f>
        <v>3095</v>
      </c>
      <c r="DB50" s="53" t="n">
        <f aca="false">DA50*(1-0.26)</f>
        <v>2290.3</v>
      </c>
      <c r="DC50" s="54" t="n">
        <f aca="false">DA50*0.338+500</f>
        <v>1546.11</v>
      </c>
      <c r="DD50" s="55" t="n">
        <f aca="false">DA50+DC50</f>
        <v>4641.11</v>
      </c>
      <c r="DE50" s="56" t="n">
        <f aca="false">IF(DA50&gt;0,DC50/DA50,0)</f>
        <v>0.499550888529887</v>
      </c>
      <c r="DF50" s="57" t="n">
        <f aca="false">2_Market_Gross_USD!L48</f>
        <v>3955</v>
      </c>
      <c r="DG50" s="53" t="n">
        <f aca="false">DF50*(1-0.34)</f>
        <v>2610.3</v>
      </c>
      <c r="DH50" s="54" t="n">
        <f aca="false">DF50*0.2375+0</f>
        <v>939.3125</v>
      </c>
      <c r="DI50" s="55" t="n">
        <f aca="false">DF50+DH50</f>
        <v>4894.3125</v>
      </c>
      <c r="DJ50" s="56" t="n">
        <f aca="false">IF(DF50&gt;0,DH50/DF50,0)</f>
        <v>0.2375</v>
      </c>
      <c r="DK50" s="57" t="n">
        <f aca="false">2_Market_Gross_USD!L48</f>
        <v>3955</v>
      </c>
      <c r="DL50" s="53" t="n">
        <f aca="false">DK50*(1-0.2)</f>
        <v>3164</v>
      </c>
      <c r="DM50" s="54" t="n">
        <f aca="false">DK50*0+0</f>
        <v>0</v>
      </c>
      <c r="DN50" s="55" t="n">
        <f aca="false">DK50+DM50</f>
        <v>3955</v>
      </c>
      <c r="DO50" s="56" t="n">
        <f aca="false">IF(DK50&gt;0,DM50/DK50,0)</f>
        <v>0</v>
      </c>
      <c r="DP50" s="57" t="n">
        <f aca="false">2_Market_Gross_USD!L48</f>
        <v>3955</v>
      </c>
      <c r="DQ50" s="53" t="n">
        <f aca="false">DP50*(1-0.34)</f>
        <v>2610.3</v>
      </c>
      <c r="DR50" s="54" t="n">
        <f aca="false">DP50*0.2375+500</f>
        <v>1439.3125</v>
      </c>
      <c r="DS50" s="55" t="n">
        <f aca="false">DP50+DR50</f>
        <v>5394.3125</v>
      </c>
      <c r="DT50" s="56" t="n">
        <f aca="false">IF(DP50&gt;0,DR50/DP50,0)</f>
        <v>0.363922250316056</v>
      </c>
      <c r="DU50" s="57" t="n">
        <f aca="false">2_Market_Gross_USD!M48</f>
        <v>2583</v>
      </c>
      <c r="DV50" s="53" t="n">
        <f aca="false">DU50*0.65</f>
        <v>1678.95</v>
      </c>
      <c r="DW50" s="54" t="n">
        <f aca="false">DU50*0.0225+0</f>
        <v>58.1175</v>
      </c>
      <c r="DX50" s="55" t="n">
        <f aca="false">DU50+DW50</f>
        <v>2641.1175</v>
      </c>
      <c r="DY50" s="56" t="n">
        <f aca="false">IF(DU50&gt;0,DW50/DU50,0)</f>
        <v>0.0225</v>
      </c>
      <c r="DZ50" s="57" t="n">
        <f aca="false">2_Market_Gross_USD!M48</f>
        <v>2583</v>
      </c>
      <c r="EA50" s="53" t="n">
        <f aca="false">DZ50*(1-0.01)</f>
        <v>2557.17</v>
      </c>
      <c r="EB50" s="54" t="n">
        <f aca="false">DZ50*0+0</f>
        <v>0</v>
      </c>
      <c r="EC50" s="55" t="n">
        <f aca="false">DZ50+EB50</f>
        <v>2583</v>
      </c>
      <c r="ED50" s="56" t="n">
        <f aca="false">IF(DZ50&gt;0,EB50/DZ50,0)</f>
        <v>0</v>
      </c>
      <c r="EE50" s="57" t="n">
        <f aca="false">2_Market_Gross_USD!M48</f>
        <v>2583</v>
      </c>
      <c r="EF50" s="53" t="n">
        <f aca="false">EE50*0.65</f>
        <v>1678.95</v>
      </c>
      <c r="EG50" s="54" t="n">
        <f aca="false">EE50*0.0225+500</f>
        <v>558.1175</v>
      </c>
      <c r="EH50" s="55" t="n">
        <f aca="false">EE50+EG50</f>
        <v>3141.1175</v>
      </c>
      <c r="EI50" s="56" t="n">
        <f aca="false">IF(EE50&gt;0,EG50/EE50,0)</f>
        <v>0.216073364305072</v>
      </c>
    </row>
    <row r="51" customFormat="false" ht="15" hidden="false" customHeight="false" outlineLevel="0" collapsed="false">
      <c r="A51" s="41" t="n">
        <v>46</v>
      </c>
      <c r="B51" s="28" t="s">
        <v>280</v>
      </c>
      <c r="C51" s="8" t="s">
        <v>281</v>
      </c>
      <c r="D51" s="42" t="s">
        <v>249</v>
      </c>
      <c r="E51" s="52" t="n">
        <f aca="false">2_Market_Gross_USD!E49</f>
        <v>4250</v>
      </c>
      <c r="F51" s="53" t="n">
        <f aca="false">E51*(1-0.065)</f>
        <v>3973.75</v>
      </c>
      <c r="G51" s="58" t="n">
        <f aca="false">E51*0+35</f>
        <v>35</v>
      </c>
      <c r="H51" s="55" t="n">
        <f aca="false">E51+G51</f>
        <v>4285</v>
      </c>
      <c r="I51" s="59" t="n">
        <f aca="false">IF(E51&gt;0,G51/E51,0)</f>
        <v>0.00823529411764706</v>
      </c>
      <c r="J51" s="52" t="n">
        <f aca="false">2_Market_Gross_USD!E49</f>
        <v>4250</v>
      </c>
      <c r="K51" s="53" t="n">
        <f aca="false">J51*(1-0.065)</f>
        <v>3973.75</v>
      </c>
      <c r="L51" s="58" t="n">
        <f aca="false">J51*0+40</f>
        <v>40</v>
      </c>
      <c r="M51" s="55" t="n">
        <f aca="false">J51+L51</f>
        <v>4290</v>
      </c>
      <c r="N51" s="59" t="n">
        <f aca="false">IF(J51&gt;0,L51/J51,0)</f>
        <v>0.00941176470588235</v>
      </c>
      <c r="O51" s="52" t="n">
        <f aca="false">2_Market_Gross_USD!E49</f>
        <v>4250</v>
      </c>
      <c r="P51" s="53" t="n">
        <f aca="false">O51*(1-0.195)</f>
        <v>3421.25</v>
      </c>
      <c r="Q51" s="58" t="n">
        <f aca="false">IF(O51&gt;=3886,3886*0.22,O51*0.22)</f>
        <v>854.92</v>
      </c>
      <c r="R51" s="55" t="n">
        <f aca="false">O51+Q51</f>
        <v>5104.92</v>
      </c>
      <c r="S51" s="59" t="n">
        <f aca="false">IF(O51&gt;0,Q51/O51,0)</f>
        <v>0.201157647058824</v>
      </c>
      <c r="T51" s="60" t="n">
        <f aca="false">2_Market_Gross_USD!F49</f>
        <v>6375</v>
      </c>
      <c r="U51" s="53" t="n">
        <f aca="false">T51*(1-0.2571)</f>
        <v>4735.9875</v>
      </c>
      <c r="V51" s="58" t="n">
        <f aca="false">T51*0.2038+0</f>
        <v>1299.225</v>
      </c>
      <c r="W51" s="55" t="n">
        <f aca="false">T51+V51</f>
        <v>7674.225</v>
      </c>
      <c r="X51" s="59" t="n">
        <f aca="false">IF(T51&gt;0,V51/T51,0)</f>
        <v>0.2038</v>
      </c>
      <c r="Y51" s="60" t="n">
        <f aca="false">2_Market_Gross_USD!F49</f>
        <v>6375</v>
      </c>
      <c r="Z51" s="53" t="n">
        <f aca="false">Y51*(1-0.12)</f>
        <v>5610</v>
      </c>
      <c r="AA51" s="58" t="n">
        <f aca="false">Y51*0+0</f>
        <v>0</v>
      </c>
      <c r="AB51" s="55" t="n">
        <f aca="false">Y51+AA51</f>
        <v>6375</v>
      </c>
      <c r="AC51" s="59" t="n">
        <f aca="false">IF(Y51&gt;0,AA51/Y51,0)</f>
        <v>0</v>
      </c>
      <c r="AD51" s="60" t="n">
        <f aca="false">2_Market_Gross_USD!F49</f>
        <v>6375</v>
      </c>
      <c r="AE51" s="53" t="n">
        <f aca="false">AD51*(1-0.2571)</f>
        <v>4735.9875</v>
      </c>
      <c r="AF51" s="58" t="n">
        <f aca="false">AD51*0.2038+500</f>
        <v>1799.225</v>
      </c>
      <c r="AG51" s="55" t="n">
        <f aca="false">AD51+AF51</f>
        <v>8174.225</v>
      </c>
      <c r="AH51" s="59" t="n">
        <f aca="false">IF(AD51&gt;0,AF51/AD51,0)</f>
        <v>0.28223137254902</v>
      </c>
      <c r="AI51" s="60" t="n">
        <f aca="false">2_Market_Gross_USD!G49</f>
        <v>8467</v>
      </c>
      <c r="AJ51" s="53" t="n">
        <f aca="false">AI51*(1-0.28)</f>
        <v>6096.24</v>
      </c>
      <c r="AK51" s="58" t="n">
        <f aca="false">AI51*0.15+0</f>
        <v>1270.05</v>
      </c>
      <c r="AL51" s="55" t="n">
        <f aca="false">AI51+AK51</f>
        <v>9737.05</v>
      </c>
      <c r="AM51" s="59" t="n">
        <f aca="false">IF(AI51&gt;0,AK51/AI51,0)</f>
        <v>0.15</v>
      </c>
      <c r="AN51" s="60" t="n">
        <f aca="false">2_Market_Gross_USD!G49</f>
        <v>8467</v>
      </c>
      <c r="AO51" s="53" t="n">
        <f aca="false">AN51*(1-0.19)</f>
        <v>6858.27</v>
      </c>
      <c r="AP51" s="58" t="n">
        <f aca="false">AN51*0+0</f>
        <v>0</v>
      </c>
      <c r="AQ51" s="55" t="n">
        <f aca="false">AN51+AP51</f>
        <v>8467</v>
      </c>
      <c r="AR51" s="59" t="n">
        <f aca="false">IF(AN51&gt;0,AP51/AN51,0)</f>
        <v>0</v>
      </c>
      <c r="AS51" s="60" t="n">
        <f aca="false">2_Market_Gross_USD!G49</f>
        <v>8467</v>
      </c>
      <c r="AT51" s="53" t="n">
        <f aca="false">AS51*(1-0.28)</f>
        <v>6096.24</v>
      </c>
      <c r="AU51" s="58" t="n">
        <f aca="false">AS51*0.15+500</f>
        <v>1770.05</v>
      </c>
      <c r="AV51" s="55" t="n">
        <f aca="false">AS51+AU51</f>
        <v>10237.05</v>
      </c>
      <c r="AW51" s="59" t="n">
        <f aca="false">IF(AS51&gt;0,AU51/AS51,0)</f>
        <v>0.209052793197118</v>
      </c>
      <c r="AX51" s="60" t="n">
        <f aca="false">2_Market_Gross_USD!H49</f>
        <v>17850</v>
      </c>
      <c r="AY51" s="53" t="n">
        <f aca="false">AX51*(1-0.2965)</f>
        <v>12557.475</v>
      </c>
      <c r="AZ51" s="58" t="n">
        <f aca="false">AX51*0.11+0</f>
        <v>1963.5</v>
      </c>
      <c r="BA51" s="55" t="n">
        <f aca="false">AX51+AZ51</f>
        <v>19813.5</v>
      </c>
      <c r="BB51" s="59" t="n">
        <f aca="false">IF(AX51&gt;0,AZ51/AX51,0)</f>
        <v>0.11</v>
      </c>
      <c r="BC51" s="60" t="n">
        <f aca="false">2_Market_Gross_USD!H49</f>
        <v>17850</v>
      </c>
      <c r="BD51" s="53" t="n">
        <f aca="false">BC51*(1-0.373)</f>
        <v>11191.95</v>
      </c>
      <c r="BE51" s="58" t="n">
        <f aca="false">BC51*0+0</f>
        <v>0</v>
      </c>
      <c r="BF51" s="55" t="n">
        <f aca="false">BC51+BE51</f>
        <v>17850</v>
      </c>
      <c r="BG51" s="59" t="n">
        <f aca="false">IF(BC51&gt;0,BE51/BC51,0)</f>
        <v>0</v>
      </c>
      <c r="BH51" s="60" t="n">
        <f aca="false">2_Market_Gross_USD!H49</f>
        <v>17850</v>
      </c>
      <c r="BI51" s="53" t="n">
        <f aca="false">BH51*(1-0.2965)</f>
        <v>12557.475</v>
      </c>
      <c r="BJ51" s="58" t="n">
        <f aca="false">BH51*0.11+500</f>
        <v>2463.5</v>
      </c>
      <c r="BK51" s="55" t="n">
        <f aca="false">BH51+BJ51</f>
        <v>20313.5</v>
      </c>
      <c r="BL51" s="59" t="n">
        <f aca="false">IF(BH51&gt;0,BJ51/BH51,0)</f>
        <v>0.138011204481793</v>
      </c>
      <c r="BM51" s="60" t="n">
        <f aca="false">2_Market_Gross_USD!I49</f>
        <v>7910</v>
      </c>
      <c r="BN51" s="53" t="n">
        <f aca="false">BM51*(1-0.4785)</f>
        <v>4125.065</v>
      </c>
      <c r="BO51" s="58" t="n">
        <f aca="false">BM51*0.21+0</f>
        <v>1661.1</v>
      </c>
      <c r="BP51" s="55" t="n">
        <f aca="false">BM51+BO51</f>
        <v>9571.1</v>
      </c>
      <c r="BQ51" s="59" t="n">
        <f aca="false">IF(BM51&gt;0,BO51/BM51,0)</f>
        <v>0.21</v>
      </c>
      <c r="BR51" s="60" t="n">
        <f aca="false">2_Market_Gross_USD!I49</f>
        <v>7910</v>
      </c>
      <c r="BS51" s="53" t="n">
        <f aca="false">BR51*(1-0.25)</f>
        <v>5932.5</v>
      </c>
      <c r="BT51" s="58" t="n">
        <f aca="false">BR51*0+0</f>
        <v>0</v>
      </c>
      <c r="BU51" s="55" t="n">
        <f aca="false">BR51+BT51</f>
        <v>7910</v>
      </c>
      <c r="BV51" s="59" t="n">
        <f aca="false">IF(BR51&gt;0,BT51/BR51,0)</f>
        <v>0</v>
      </c>
      <c r="BW51" s="60" t="n">
        <f aca="false">2_Market_Gross_USD!I49</f>
        <v>7910</v>
      </c>
      <c r="BX51" s="53" t="n">
        <f aca="false">BW51*(1-0.4785)</f>
        <v>4125.065</v>
      </c>
      <c r="BY51" s="58" t="n">
        <f aca="false">BW51*0.21+500</f>
        <v>2161.1</v>
      </c>
      <c r="BZ51" s="55" t="n">
        <f aca="false">BW51+BY51</f>
        <v>10071.1</v>
      </c>
      <c r="CA51" s="59" t="n">
        <f aca="false">IF(BW51&gt;0,BY51/BW51,0)</f>
        <v>0.273211125158028</v>
      </c>
      <c r="CB51" s="60" t="n">
        <f aca="false">2_Market_Gross_USD!J49</f>
        <v>9417</v>
      </c>
      <c r="CC51" s="53" t="n">
        <f aca="false">CB51*(1-0.3697)</f>
        <v>5935.5351</v>
      </c>
      <c r="CD51" s="58" t="n">
        <f aca="false">CB51*0.2+0</f>
        <v>1883.4</v>
      </c>
      <c r="CE51" s="55" t="n">
        <f aca="false">CB51+CD51</f>
        <v>11300.4</v>
      </c>
      <c r="CF51" s="59" t="n">
        <f aca="false">IF(CB51&gt;0,CD51/CB51,0)</f>
        <v>0.2</v>
      </c>
      <c r="CG51" s="60" t="n">
        <f aca="false">2_Market_Gross_USD!J49</f>
        <v>9417</v>
      </c>
      <c r="CH51" s="53" t="n">
        <f aca="false">CG51*(1-0.3697)</f>
        <v>5935.5351</v>
      </c>
      <c r="CI51" s="58" t="n">
        <f aca="false">CG51*0+0</f>
        <v>0</v>
      </c>
      <c r="CJ51" s="55" t="n">
        <f aca="false">CG51+CI51</f>
        <v>9417</v>
      </c>
      <c r="CK51" s="59" t="n">
        <f aca="false">IF(CG51&gt;0,CI51/CG51,0)</f>
        <v>0</v>
      </c>
      <c r="CL51" s="60" t="n">
        <f aca="false">2_Market_Gross_USD!J49</f>
        <v>9417</v>
      </c>
      <c r="CM51" s="53" t="n">
        <f aca="false">CL51*(1-0.3697)</f>
        <v>5935.5351</v>
      </c>
      <c r="CN51" s="58" t="n">
        <f aca="false">CL51*0.2+500</f>
        <v>2383.4</v>
      </c>
      <c r="CO51" s="55" t="n">
        <f aca="false">CL51+CN51</f>
        <v>11800.4</v>
      </c>
      <c r="CP51" s="59" t="n">
        <f aca="false">IF(CL51&gt;0,CN51/CL51,0)</f>
        <v>0.253095465647234</v>
      </c>
      <c r="CQ51" s="60" t="n">
        <f aca="false">2_Market_Gross_USD!K49</f>
        <v>4898</v>
      </c>
      <c r="CR51" s="53" t="n">
        <f aca="false">CQ51*(1-0.26)</f>
        <v>3624.52</v>
      </c>
      <c r="CS51" s="58" t="n">
        <f aca="false">CQ51*0.338+0</f>
        <v>1655.524</v>
      </c>
      <c r="CT51" s="55" t="n">
        <f aca="false">CQ51+CS51</f>
        <v>6553.524</v>
      </c>
      <c r="CU51" s="59" t="n">
        <f aca="false">IF(CQ51&gt;0,CS51/CQ51,0)</f>
        <v>0.338</v>
      </c>
      <c r="CV51" s="60" t="n">
        <f aca="false">2_Market_Gross_USD!K49</f>
        <v>4898</v>
      </c>
      <c r="CW51" s="53" t="n">
        <f aca="false">CV51*(1-0.15)</f>
        <v>4163.3</v>
      </c>
      <c r="CX51" s="58" t="n">
        <f aca="false">CV51*0+0</f>
        <v>0</v>
      </c>
      <c r="CY51" s="55" t="n">
        <f aca="false">CV51+CX51</f>
        <v>4898</v>
      </c>
      <c r="CZ51" s="59" t="n">
        <f aca="false">IF(CV51&gt;0,CX51/CV51,0)</f>
        <v>0</v>
      </c>
      <c r="DA51" s="60" t="n">
        <f aca="false">2_Market_Gross_USD!K49</f>
        <v>4898</v>
      </c>
      <c r="DB51" s="53" t="n">
        <f aca="false">DA51*(1-0.26)</f>
        <v>3624.52</v>
      </c>
      <c r="DC51" s="58" t="n">
        <f aca="false">DA51*0.338+500</f>
        <v>2155.524</v>
      </c>
      <c r="DD51" s="55" t="n">
        <f aca="false">DA51+DC51</f>
        <v>7053.524</v>
      </c>
      <c r="DE51" s="59" t="n">
        <f aca="false">IF(DA51&gt;0,DC51/DA51,0)</f>
        <v>0.440082482645978</v>
      </c>
      <c r="DF51" s="60" t="n">
        <f aca="false">2_Market_Gross_USD!L49</f>
        <v>6215</v>
      </c>
      <c r="DG51" s="53" t="n">
        <f aca="false">DF51*(1-0.34)</f>
        <v>4101.9</v>
      </c>
      <c r="DH51" s="58" t="n">
        <f aca="false">DF51*0.2375+0</f>
        <v>1476.0625</v>
      </c>
      <c r="DI51" s="55" t="n">
        <f aca="false">DF51+DH51</f>
        <v>7691.0625</v>
      </c>
      <c r="DJ51" s="59" t="n">
        <f aca="false">IF(DF51&gt;0,DH51/DF51,0)</f>
        <v>0.2375</v>
      </c>
      <c r="DK51" s="60" t="n">
        <f aca="false">2_Market_Gross_USD!L49</f>
        <v>6215</v>
      </c>
      <c r="DL51" s="53" t="n">
        <f aca="false">DK51*(1-0.2)</f>
        <v>4972</v>
      </c>
      <c r="DM51" s="58" t="n">
        <f aca="false">DK51*0+0</f>
        <v>0</v>
      </c>
      <c r="DN51" s="55" t="n">
        <f aca="false">DK51+DM51</f>
        <v>6215</v>
      </c>
      <c r="DO51" s="59" t="n">
        <f aca="false">IF(DK51&gt;0,DM51/DK51,0)</f>
        <v>0</v>
      </c>
      <c r="DP51" s="60" t="n">
        <f aca="false">2_Market_Gross_USD!L49</f>
        <v>6215</v>
      </c>
      <c r="DQ51" s="53" t="n">
        <f aca="false">DP51*(1-0.34)</f>
        <v>4101.9</v>
      </c>
      <c r="DR51" s="58" t="n">
        <f aca="false">DP51*0.2375+500</f>
        <v>1976.0625</v>
      </c>
      <c r="DS51" s="55" t="n">
        <f aca="false">DP51+DR51</f>
        <v>8191.0625</v>
      </c>
      <c r="DT51" s="59" t="n">
        <f aca="false">IF(DP51&gt;0,DR51/DP51,0)</f>
        <v>0.317950522928399</v>
      </c>
      <c r="DU51" s="60" t="n">
        <f aca="false">2_Market_Gross_USD!M49</f>
        <v>4293</v>
      </c>
      <c r="DV51" s="53" t="n">
        <f aca="false">DU51*0.65</f>
        <v>2790.45</v>
      </c>
      <c r="DW51" s="58" t="n">
        <f aca="false">DU51*0.0225+0</f>
        <v>96.5925</v>
      </c>
      <c r="DX51" s="55" t="n">
        <f aca="false">DU51+DW51</f>
        <v>4389.5925</v>
      </c>
      <c r="DY51" s="59" t="n">
        <f aca="false">IF(DU51&gt;0,DW51/DU51,0)</f>
        <v>0.0225</v>
      </c>
      <c r="DZ51" s="60" t="n">
        <f aca="false">2_Market_Gross_USD!M49</f>
        <v>4293</v>
      </c>
      <c r="EA51" s="53" t="n">
        <f aca="false">DZ51*(1-0.01)</f>
        <v>4250.07</v>
      </c>
      <c r="EB51" s="58" t="n">
        <f aca="false">DZ51*0+0</f>
        <v>0</v>
      </c>
      <c r="EC51" s="55" t="n">
        <f aca="false">DZ51+EB51</f>
        <v>4293</v>
      </c>
      <c r="ED51" s="59" t="n">
        <f aca="false">IF(DZ51&gt;0,EB51/DZ51,0)</f>
        <v>0</v>
      </c>
      <c r="EE51" s="60" t="n">
        <f aca="false">2_Market_Gross_USD!M49</f>
        <v>4293</v>
      </c>
      <c r="EF51" s="53" t="n">
        <f aca="false">EE51*0.65</f>
        <v>2790.45</v>
      </c>
      <c r="EG51" s="58" t="n">
        <f aca="false">EE51*0.0225+500</f>
        <v>596.5925</v>
      </c>
      <c r="EH51" s="55" t="n">
        <f aca="false">EE51+EG51</f>
        <v>4889.5925</v>
      </c>
      <c r="EI51" s="59" t="n">
        <f aca="false">IF(EE51&gt;0,EG51/EE51,0)</f>
        <v>0.138968669927789</v>
      </c>
    </row>
  </sheetData>
  <mergeCells count="38">
    <mergeCell ref="A1:EI1"/>
    <mergeCell ref="A2:EI2"/>
    <mergeCell ref="E3:S3"/>
    <mergeCell ref="T3:AH3"/>
    <mergeCell ref="AI3:AW3"/>
    <mergeCell ref="AX3:BL3"/>
    <mergeCell ref="BM3:CA3"/>
    <mergeCell ref="CB3:CP3"/>
    <mergeCell ref="CQ3:DE3"/>
    <mergeCell ref="DF3:DT3"/>
    <mergeCell ref="DU3:EI3"/>
    <mergeCell ref="E4:I4"/>
    <mergeCell ref="J4:N4"/>
    <mergeCell ref="O4:S4"/>
    <mergeCell ref="T4:X4"/>
    <mergeCell ref="Y4:AC4"/>
    <mergeCell ref="AD4:AH4"/>
    <mergeCell ref="AI4:AM4"/>
    <mergeCell ref="AN4:AR4"/>
    <mergeCell ref="AS4:AW4"/>
    <mergeCell ref="AX4:BB4"/>
    <mergeCell ref="BC4:BG4"/>
    <mergeCell ref="BH4:BL4"/>
    <mergeCell ref="BM4:BQ4"/>
    <mergeCell ref="BR4:BV4"/>
    <mergeCell ref="BW4:CA4"/>
    <mergeCell ref="CB4:CF4"/>
    <mergeCell ref="CG4:CK4"/>
    <mergeCell ref="CL4:CP4"/>
    <mergeCell ref="CQ4:CU4"/>
    <mergeCell ref="CV4:CZ4"/>
    <mergeCell ref="DA4:DE4"/>
    <mergeCell ref="DF4:DJ4"/>
    <mergeCell ref="DK4:DO4"/>
    <mergeCell ref="DP4:DT4"/>
    <mergeCell ref="DU4:DY4"/>
    <mergeCell ref="DZ4:ED4"/>
    <mergeCell ref="EE4:EI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R51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"/>
    <col collapsed="false" customWidth="true" hidden="false" outlineLevel="0" max="3" min="3" style="1" width="18"/>
    <col collapsed="false" customWidth="true" hidden="false" outlineLevel="0" max="4" min="4" style="1" width="9"/>
    <col collapsed="false" customWidth="true" hidden="false" outlineLevel="0" max="148" min="5" style="1" width="12"/>
  </cols>
  <sheetData>
    <row r="1" customFormat="false" ht="25.5" hidden="false" customHeight="true" outlineLevel="0" collapsed="false">
      <c r="A1" s="35" t="s">
        <v>310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5"/>
      <c r="DQ1" s="35"/>
      <c r="DR1" s="35"/>
      <c r="DS1" s="35"/>
      <c r="DT1" s="35"/>
      <c r="DU1" s="35"/>
      <c r="DV1" s="35"/>
      <c r="DW1" s="35"/>
      <c r="DX1" s="35"/>
      <c r="DY1" s="35"/>
      <c r="DZ1" s="35"/>
      <c r="EA1" s="35"/>
      <c r="EB1" s="35"/>
      <c r="EC1" s="35"/>
      <c r="ED1" s="35"/>
      <c r="EE1" s="35"/>
      <c r="EF1" s="35"/>
      <c r="EG1" s="35"/>
      <c r="EH1" s="35"/>
      <c r="EI1" s="35"/>
      <c r="EJ1" s="35"/>
      <c r="EK1" s="35"/>
      <c r="EL1" s="35"/>
      <c r="EM1" s="35"/>
      <c r="EN1" s="35"/>
      <c r="EO1" s="35"/>
      <c r="EP1" s="35"/>
      <c r="EQ1" s="35"/>
      <c r="ER1" s="35"/>
    </row>
    <row r="2" customFormat="false" ht="15" hidden="false" customHeight="true" outlineLevel="0" collapsed="false">
      <c r="A2" s="44" t="s">
        <v>311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</row>
    <row r="3" customFormat="false" ht="21.75" hidden="false" customHeight="true" outlineLevel="0" collapsed="false">
      <c r="A3" s="14" t="s">
        <v>233</v>
      </c>
      <c r="B3" s="14" t="s">
        <v>284</v>
      </c>
      <c r="C3" s="14" t="s">
        <v>235</v>
      </c>
      <c r="D3" s="14" t="s">
        <v>236</v>
      </c>
      <c r="E3" s="15" t="s">
        <v>238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 t="s">
        <v>239</v>
      </c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 t="s">
        <v>240</v>
      </c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 t="s">
        <v>241</v>
      </c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 t="s">
        <v>242</v>
      </c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 t="s">
        <v>243</v>
      </c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 t="s">
        <v>244</v>
      </c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 t="s">
        <v>245</v>
      </c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</row>
    <row r="4" customFormat="false" ht="21.75" hidden="false" customHeight="true" outlineLevel="0" collapsed="false">
      <c r="A4" s="14" t="s">
        <v>233</v>
      </c>
      <c r="B4" s="14" t="s">
        <v>284</v>
      </c>
      <c r="C4" s="14" t="s">
        <v>235</v>
      </c>
      <c r="D4" s="14" t="s">
        <v>236</v>
      </c>
      <c r="E4" s="45" t="s">
        <v>288</v>
      </c>
      <c r="F4" s="45"/>
      <c r="G4" s="45"/>
      <c r="H4" s="45"/>
      <c r="I4" s="45"/>
      <c r="J4" s="45"/>
      <c r="K4" s="46" t="s">
        <v>289</v>
      </c>
      <c r="L4" s="46"/>
      <c r="M4" s="46"/>
      <c r="N4" s="46"/>
      <c r="O4" s="46"/>
      <c r="P4" s="46"/>
      <c r="Q4" s="47" t="s">
        <v>290</v>
      </c>
      <c r="R4" s="47"/>
      <c r="S4" s="47"/>
      <c r="T4" s="47"/>
      <c r="U4" s="47"/>
      <c r="V4" s="47"/>
      <c r="W4" s="45" t="s">
        <v>291</v>
      </c>
      <c r="X4" s="45"/>
      <c r="Y4" s="45"/>
      <c r="Z4" s="45"/>
      <c r="AA4" s="45"/>
      <c r="AB4" s="45"/>
      <c r="AC4" s="46" t="s">
        <v>292</v>
      </c>
      <c r="AD4" s="46"/>
      <c r="AE4" s="46"/>
      <c r="AF4" s="46"/>
      <c r="AG4" s="46"/>
      <c r="AH4" s="46"/>
      <c r="AI4" s="47" t="s">
        <v>290</v>
      </c>
      <c r="AJ4" s="47"/>
      <c r="AK4" s="47"/>
      <c r="AL4" s="47"/>
      <c r="AM4" s="47"/>
      <c r="AN4" s="47"/>
      <c r="AO4" s="45" t="s">
        <v>293</v>
      </c>
      <c r="AP4" s="45"/>
      <c r="AQ4" s="45"/>
      <c r="AR4" s="45"/>
      <c r="AS4" s="45"/>
      <c r="AT4" s="45"/>
      <c r="AU4" s="46" t="s">
        <v>294</v>
      </c>
      <c r="AV4" s="46"/>
      <c r="AW4" s="46"/>
      <c r="AX4" s="46"/>
      <c r="AY4" s="46"/>
      <c r="AZ4" s="46"/>
      <c r="BA4" s="47" t="s">
        <v>290</v>
      </c>
      <c r="BB4" s="47"/>
      <c r="BC4" s="47"/>
      <c r="BD4" s="47"/>
      <c r="BE4" s="47"/>
      <c r="BF4" s="47"/>
      <c r="BG4" s="45" t="s">
        <v>295</v>
      </c>
      <c r="BH4" s="45"/>
      <c r="BI4" s="45"/>
      <c r="BJ4" s="45"/>
      <c r="BK4" s="45"/>
      <c r="BL4" s="45"/>
      <c r="BM4" s="46" t="s">
        <v>296</v>
      </c>
      <c r="BN4" s="46"/>
      <c r="BO4" s="46"/>
      <c r="BP4" s="46"/>
      <c r="BQ4" s="46"/>
      <c r="BR4" s="46"/>
      <c r="BS4" s="47" t="s">
        <v>290</v>
      </c>
      <c r="BT4" s="47"/>
      <c r="BU4" s="47"/>
      <c r="BV4" s="47"/>
      <c r="BW4" s="47"/>
      <c r="BX4" s="47"/>
      <c r="BY4" s="45" t="s">
        <v>297</v>
      </c>
      <c r="BZ4" s="45"/>
      <c r="CA4" s="45"/>
      <c r="CB4" s="45"/>
      <c r="CC4" s="45"/>
      <c r="CD4" s="45"/>
      <c r="CE4" s="46" t="s">
        <v>298</v>
      </c>
      <c r="CF4" s="46"/>
      <c r="CG4" s="46"/>
      <c r="CH4" s="46"/>
      <c r="CI4" s="46"/>
      <c r="CJ4" s="46"/>
      <c r="CK4" s="47" t="s">
        <v>290</v>
      </c>
      <c r="CL4" s="47"/>
      <c r="CM4" s="47"/>
      <c r="CN4" s="47"/>
      <c r="CO4" s="47"/>
      <c r="CP4" s="47"/>
      <c r="CQ4" s="45" t="s">
        <v>299</v>
      </c>
      <c r="CR4" s="45"/>
      <c r="CS4" s="45"/>
      <c r="CT4" s="45"/>
      <c r="CU4" s="45"/>
      <c r="CV4" s="45"/>
      <c r="CW4" s="46" t="s">
        <v>300</v>
      </c>
      <c r="CX4" s="46"/>
      <c r="CY4" s="46"/>
      <c r="CZ4" s="46"/>
      <c r="DA4" s="46"/>
      <c r="DB4" s="46"/>
      <c r="DC4" s="47" t="s">
        <v>290</v>
      </c>
      <c r="DD4" s="47"/>
      <c r="DE4" s="47"/>
      <c r="DF4" s="47"/>
      <c r="DG4" s="47"/>
      <c r="DH4" s="47"/>
      <c r="DI4" s="45" t="s">
        <v>301</v>
      </c>
      <c r="DJ4" s="45"/>
      <c r="DK4" s="45"/>
      <c r="DL4" s="45"/>
      <c r="DM4" s="45"/>
      <c r="DN4" s="45"/>
      <c r="DO4" s="46" t="s">
        <v>302</v>
      </c>
      <c r="DP4" s="46"/>
      <c r="DQ4" s="46"/>
      <c r="DR4" s="46"/>
      <c r="DS4" s="46"/>
      <c r="DT4" s="46"/>
      <c r="DU4" s="47" t="s">
        <v>290</v>
      </c>
      <c r="DV4" s="47"/>
      <c r="DW4" s="47"/>
      <c r="DX4" s="47"/>
      <c r="DY4" s="47"/>
      <c r="DZ4" s="47"/>
      <c r="EA4" s="45" t="s">
        <v>303</v>
      </c>
      <c r="EB4" s="45"/>
      <c r="EC4" s="45"/>
      <c r="ED4" s="45"/>
      <c r="EE4" s="45"/>
      <c r="EF4" s="45"/>
      <c r="EG4" s="46" t="s">
        <v>304</v>
      </c>
      <c r="EH4" s="46"/>
      <c r="EI4" s="46"/>
      <c r="EJ4" s="46"/>
      <c r="EK4" s="46"/>
      <c r="EL4" s="46"/>
      <c r="EM4" s="47" t="s">
        <v>290</v>
      </c>
      <c r="EN4" s="47"/>
      <c r="EO4" s="47"/>
      <c r="EP4" s="47"/>
      <c r="EQ4" s="47"/>
      <c r="ER4" s="47"/>
    </row>
    <row r="5" customFormat="false" ht="21.75" hidden="false" customHeight="true" outlineLevel="0" collapsed="false">
      <c r="A5" s="14" t="s">
        <v>233</v>
      </c>
      <c r="B5" s="14" t="s">
        <v>284</v>
      </c>
      <c r="C5" s="14" t="s">
        <v>235</v>
      </c>
      <c r="D5" s="14" t="s">
        <v>236</v>
      </c>
      <c r="E5" s="49" t="s">
        <v>312</v>
      </c>
      <c r="F5" s="49" t="s">
        <v>313</v>
      </c>
      <c r="G5" s="48" t="s">
        <v>307</v>
      </c>
      <c r="H5" s="50" t="s">
        <v>308</v>
      </c>
      <c r="I5" s="51" t="s">
        <v>314</v>
      </c>
      <c r="J5" s="61" t="s">
        <v>315</v>
      </c>
      <c r="K5" s="49" t="s">
        <v>312</v>
      </c>
      <c r="L5" s="49" t="s">
        <v>313</v>
      </c>
      <c r="M5" s="48" t="s">
        <v>307</v>
      </c>
      <c r="N5" s="50" t="s">
        <v>308</v>
      </c>
      <c r="O5" s="51" t="s">
        <v>314</v>
      </c>
      <c r="P5" s="61" t="s">
        <v>315</v>
      </c>
      <c r="Q5" s="49" t="s">
        <v>312</v>
      </c>
      <c r="R5" s="49" t="s">
        <v>313</v>
      </c>
      <c r="S5" s="48" t="s">
        <v>307</v>
      </c>
      <c r="T5" s="50" t="s">
        <v>308</v>
      </c>
      <c r="U5" s="51" t="s">
        <v>314</v>
      </c>
      <c r="V5" s="61" t="s">
        <v>315</v>
      </c>
      <c r="W5" s="49" t="s">
        <v>312</v>
      </c>
      <c r="X5" s="49" t="s">
        <v>313</v>
      </c>
      <c r="Y5" s="48" t="s">
        <v>307</v>
      </c>
      <c r="Z5" s="50" t="s">
        <v>308</v>
      </c>
      <c r="AA5" s="51" t="s">
        <v>314</v>
      </c>
      <c r="AB5" s="61" t="s">
        <v>315</v>
      </c>
      <c r="AC5" s="49" t="s">
        <v>312</v>
      </c>
      <c r="AD5" s="49" t="s">
        <v>313</v>
      </c>
      <c r="AE5" s="48" t="s">
        <v>307</v>
      </c>
      <c r="AF5" s="50" t="s">
        <v>308</v>
      </c>
      <c r="AG5" s="51" t="s">
        <v>314</v>
      </c>
      <c r="AH5" s="61" t="s">
        <v>315</v>
      </c>
      <c r="AI5" s="49" t="s">
        <v>312</v>
      </c>
      <c r="AJ5" s="49" t="s">
        <v>313</v>
      </c>
      <c r="AK5" s="48" t="s">
        <v>307</v>
      </c>
      <c r="AL5" s="50" t="s">
        <v>308</v>
      </c>
      <c r="AM5" s="51" t="s">
        <v>314</v>
      </c>
      <c r="AN5" s="61" t="s">
        <v>315</v>
      </c>
      <c r="AO5" s="49" t="s">
        <v>312</v>
      </c>
      <c r="AP5" s="49" t="s">
        <v>313</v>
      </c>
      <c r="AQ5" s="48" t="s">
        <v>307</v>
      </c>
      <c r="AR5" s="50" t="s">
        <v>308</v>
      </c>
      <c r="AS5" s="51" t="s">
        <v>314</v>
      </c>
      <c r="AT5" s="61" t="s">
        <v>315</v>
      </c>
      <c r="AU5" s="49" t="s">
        <v>312</v>
      </c>
      <c r="AV5" s="49" t="s">
        <v>313</v>
      </c>
      <c r="AW5" s="48" t="s">
        <v>307</v>
      </c>
      <c r="AX5" s="50" t="s">
        <v>308</v>
      </c>
      <c r="AY5" s="51" t="s">
        <v>314</v>
      </c>
      <c r="AZ5" s="61" t="s">
        <v>315</v>
      </c>
      <c r="BA5" s="49" t="s">
        <v>312</v>
      </c>
      <c r="BB5" s="49" t="s">
        <v>313</v>
      </c>
      <c r="BC5" s="48" t="s">
        <v>307</v>
      </c>
      <c r="BD5" s="50" t="s">
        <v>308</v>
      </c>
      <c r="BE5" s="51" t="s">
        <v>314</v>
      </c>
      <c r="BF5" s="61" t="s">
        <v>315</v>
      </c>
      <c r="BG5" s="49" t="s">
        <v>312</v>
      </c>
      <c r="BH5" s="49" t="s">
        <v>313</v>
      </c>
      <c r="BI5" s="48" t="s">
        <v>307</v>
      </c>
      <c r="BJ5" s="50" t="s">
        <v>308</v>
      </c>
      <c r="BK5" s="51" t="s">
        <v>314</v>
      </c>
      <c r="BL5" s="61" t="s">
        <v>315</v>
      </c>
      <c r="BM5" s="49" t="s">
        <v>312</v>
      </c>
      <c r="BN5" s="49" t="s">
        <v>313</v>
      </c>
      <c r="BO5" s="48" t="s">
        <v>307</v>
      </c>
      <c r="BP5" s="50" t="s">
        <v>308</v>
      </c>
      <c r="BQ5" s="51" t="s">
        <v>314</v>
      </c>
      <c r="BR5" s="61" t="s">
        <v>315</v>
      </c>
      <c r="BS5" s="49" t="s">
        <v>312</v>
      </c>
      <c r="BT5" s="49" t="s">
        <v>313</v>
      </c>
      <c r="BU5" s="48" t="s">
        <v>307</v>
      </c>
      <c r="BV5" s="50" t="s">
        <v>308</v>
      </c>
      <c r="BW5" s="51" t="s">
        <v>314</v>
      </c>
      <c r="BX5" s="61" t="s">
        <v>315</v>
      </c>
      <c r="BY5" s="49" t="s">
        <v>312</v>
      </c>
      <c r="BZ5" s="49" t="s">
        <v>313</v>
      </c>
      <c r="CA5" s="48" t="s">
        <v>307</v>
      </c>
      <c r="CB5" s="50" t="s">
        <v>308</v>
      </c>
      <c r="CC5" s="51" t="s">
        <v>314</v>
      </c>
      <c r="CD5" s="61" t="s">
        <v>315</v>
      </c>
      <c r="CE5" s="49" t="s">
        <v>312</v>
      </c>
      <c r="CF5" s="49" t="s">
        <v>313</v>
      </c>
      <c r="CG5" s="48" t="s">
        <v>307</v>
      </c>
      <c r="CH5" s="50" t="s">
        <v>308</v>
      </c>
      <c r="CI5" s="51" t="s">
        <v>314</v>
      </c>
      <c r="CJ5" s="61" t="s">
        <v>315</v>
      </c>
      <c r="CK5" s="49" t="s">
        <v>312</v>
      </c>
      <c r="CL5" s="49" t="s">
        <v>313</v>
      </c>
      <c r="CM5" s="48" t="s">
        <v>307</v>
      </c>
      <c r="CN5" s="50" t="s">
        <v>308</v>
      </c>
      <c r="CO5" s="51" t="s">
        <v>314</v>
      </c>
      <c r="CP5" s="61" t="s">
        <v>315</v>
      </c>
      <c r="CQ5" s="49" t="s">
        <v>312</v>
      </c>
      <c r="CR5" s="49" t="s">
        <v>313</v>
      </c>
      <c r="CS5" s="48" t="s">
        <v>307</v>
      </c>
      <c r="CT5" s="50" t="s">
        <v>308</v>
      </c>
      <c r="CU5" s="51" t="s">
        <v>314</v>
      </c>
      <c r="CV5" s="61" t="s">
        <v>315</v>
      </c>
      <c r="CW5" s="49" t="s">
        <v>312</v>
      </c>
      <c r="CX5" s="49" t="s">
        <v>313</v>
      </c>
      <c r="CY5" s="48" t="s">
        <v>307</v>
      </c>
      <c r="CZ5" s="50" t="s">
        <v>308</v>
      </c>
      <c r="DA5" s="51" t="s">
        <v>314</v>
      </c>
      <c r="DB5" s="61" t="s">
        <v>315</v>
      </c>
      <c r="DC5" s="49" t="s">
        <v>312</v>
      </c>
      <c r="DD5" s="49" t="s">
        <v>313</v>
      </c>
      <c r="DE5" s="48" t="s">
        <v>307</v>
      </c>
      <c r="DF5" s="50" t="s">
        <v>308</v>
      </c>
      <c r="DG5" s="51" t="s">
        <v>314</v>
      </c>
      <c r="DH5" s="61" t="s">
        <v>315</v>
      </c>
      <c r="DI5" s="49" t="s">
        <v>312</v>
      </c>
      <c r="DJ5" s="49" t="s">
        <v>313</v>
      </c>
      <c r="DK5" s="48" t="s">
        <v>307</v>
      </c>
      <c r="DL5" s="50" t="s">
        <v>308</v>
      </c>
      <c r="DM5" s="51" t="s">
        <v>314</v>
      </c>
      <c r="DN5" s="61" t="s">
        <v>315</v>
      </c>
      <c r="DO5" s="49" t="s">
        <v>312</v>
      </c>
      <c r="DP5" s="49" t="s">
        <v>313</v>
      </c>
      <c r="DQ5" s="48" t="s">
        <v>307</v>
      </c>
      <c r="DR5" s="50" t="s">
        <v>308</v>
      </c>
      <c r="DS5" s="51" t="s">
        <v>314</v>
      </c>
      <c r="DT5" s="61" t="s">
        <v>315</v>
      </c>
      <c r="DU5" s="49" t="s">
        <v>312</v>
      </c>
      <c r="DV5" s="49" t="s">
        <v>313</v>
      </c>
      <c r="DW5" s="48" t="s">
        <v>307</v>
      </c>
      <c r="DX5" s="50" t="s">
        <v>308</v>
      </c>
      <c r="DY5" s="51" t="s">
        <v>314</v>
      </c>
      <c r="DZ5" s="61" t="s">
        <v>315</v>
      </c>
      <c r="EA5" s="49" t="s">
        <v>312</v>
      </c>
      <c r="EB5" s="49" t="s">
        <v>313</v>
      </c>
      <c r="EC5" s="48" t="s">
        <v>307</v>
      </c>
      <c r="ED5" s="50" t="s">
        <v>308</v>
      </c>
      <c r="EE5" s="51" t="s">
        <v>314</v>
      </c>
      <c r="EF5" s="61" t="s">
        <v>315</v>
      </c>
      <c r="EG5" s="49" t="s">
        <v>312</v>
      </c>
      <c r="EH5" s="49" t="s">
        <v>313</v>
      </c>
      <c r="EI5" s="48" t="s">
        <v>307</v>
      </c>
      <c r="EJ5" s="50" t="s">
        <v>308</v>
      </c>
      <c r="EK5" s="51" t="s">
        <v>314</v>
      </c>
      <c r="EL5" s="61" t="s">
        <v>315</v>
      </c>
      <c r="EM5" s="49" t="s">
        <v>312</v>
      </c>
      <c r="EN5" s="49" t="s">
        <v>313</v>
      </c>
      <c r="EO5" s="48" t="s">
        <v>307</v>
      </c>
      <c r="EP5" s="50" t="s">
        <v>308</v>
      </c>
      <c r="EQ5" s="51" t="s">
        <v>314</v>
      </c>
      <c r="ER5" s="61" t="s">
        <v>315</v>
      </c>
    </row>
    <row r="6" customFormat="false" ht="15" hidden="false" customHeight="false" outlineLevel="0" collapsed="false">
      <c r="A6" s="37" t="n">
        <v>1</v>
      </c>
      <c r="B6" s="32" t="s">
        <v>246</v>
      </c>
      <c r="C6" s="32" t="s">
        <v>247</v>
      </c>
      <c r="D6" s="62" t="s">
        <v>248</v>
      </c>
      <c r="E6" s="63" t="n">
        <f aca="false">2_Market_Gross_USD!E4*(1-0.065)</f>
        <v>1402.5</v>
      </c>
      <c r="F6" s="53" t="n">
        <f aca="false">E6/0.7429</f>
        <v>1887.87185354691</v>
      </c>
      <c r="G6" s="54" t="n">
        <f aca="false">F6*0.2038+0</f>
        <v>384.74828375286</v>
      </c>
      <c r="H6" s="55" t="n">
        <f aca="false">F6+G6</f>
        <v>2272.62013729977</v>
      </c>
      <c r="I6" s="54" t="n">
        <f aca="false">H6-(2_Market_Gross_USD!E4+35)</f>
        <v>737.620137299771</v>
      </c>
      <c r="J6" s="64" t="n">
        <f aca="false">IFERROR(H6/(2_Market_Gross_USD!E4+35),0)</f>
        <v>1.4805342914005</v>
      </c>
      <c r="K6" s="63" t="n">
        <f aca="false">2_Market_Gross_USD!E4*(1-0.065)</f>
        <v>1402.5</v>
      </c>
      <c r="L6" s="53" t="n">
        <f aca="false">K6/0.88</f>
        <v>1593.75</v>
      </c>
      <c r="M6" s="54" t="n">
        <f aca="false">L6*0+0</f>
        <v>0</v>
      </c>
      <c r="N6" s="55" t="n">
        <f aca="false">L6+M6</f>
        <v>1593.75</v>
      </c>
      <c r="O6" s="54" t="n">
        <f aca="false">N6-(2_Market_Gross_USD!E4+35)</f>
        <v>58.75</v>
      </c>
      <c r="P6" s="64" t="n">
        <f aca="false">IFERROR(N6/(2_Market_Gross_USD!E4+35),0)</f>
        <v>1.03827361563518</v>
      </c>
      <c r="Q6" s="63" t="n">
        <f aca="false">2_Market_Gross_USD!E4*(1-0.065)</f>
        <v>1402.5</v>
      </c>
      <c r="R6" s="53" t="n">
        <f aca="false">Q6/0.7429</f>
        <v>1887.87185354691</v>
      </c>
      <c r="S6" s="54" t="n">
        <f aca="false">R6*0.2038+500</f>
        <v>884.74828375286</v>
      </c>
      <c r="T6" s="55" t="n">
        <f aca="false">R6+S6</f>
        <v>2772.62013729977</v>
      </c>
      <c r="U6" s="54" t="n">
        <f aca="false">T6-(2_Market_Gross_USD!E4+35)</f>
        <v>1237.62013729977</v>
      </c>
      <c r="V6" s="64" t="n">
        <f aca="false">IFERROR(T6/(2_Market_Gross_USD!E4+35),0)</f>
        <v>1.8062671904233</v>
      </c>
      <c r="W6" s="63" t="n">
        <f aca="false">2_Market_Gross_USD!E4*(1-0.065)</f>
        <v>1402.5</v>
      </c>
      <c r="X6" s="53" t="n">
        <f aca="false">W6/0.72</f>
        <v>1947.91666666667</v>
      </c>
      <c r="Y6" s="54" t="n">
        <f aca="false">X6*0.15+0</f>
        <v>292.1875</v>
      </c>
      <c r="Z6" s="55" t="n">
        <f aca="false">X6+Y6</f>
        <v>2240.10416666667</v>
      </c>
      <c r="AA6" s="54" t="n">
        <f aca="false">Z6-(2_Market_Gross_USD!E4+35)</f>
        <v>705.104166666667</v>
      </c>
      <c r="AB6" s="64" t="n">
        <f aca="false">IFERROR(Z6/(2_Market_Gross_USD!E4+35),0)</f>
        <v>1.45935124864278</v>
      </c>
      <c r="AC6" s="63" t="n">
        <f aca="false">2_Market_Gross_USD!E4*(1-0.065)</f>
        <v>1402.5</v>
      </c>
      <c r="AD6" s="53" t="n">
        <f aca="false">AC6/0.81</f>
        <v>1731.48148148148</v>
      </c>
      <c r="AE6" s="54" t="n">
        <f aca="false">AD6*0+0</f>
        <v>0</v>
      </c>
      <c r="AF6" s="55" t="n">
        <f aca="false">AD6+AE6</f>
        <v>1731.48148148148</v>
      </c>
      <c r="AG6" s="54" t="n">
        <f aca="false">AF6-(2_Market_Gross_USD!E4+35)</f>
        <v>196.481481481481</v>
      </c>
      <c r="AH6" s="64" t="n">
        <f aca="false">IFERROR(AF6/(2_Market_Gross_USD!E4+35),0)</f>
        <v>1.12800096513452</v>
      </c>
      <c r="AI6" s="63" t="n">
        <f aca="false">2_Market_Gross_USD!E4*(1-0.065)</f>
        <v>1402.5</v>
      </c>
      <c r="AJ6" s="53" t="n">
        <f aca="false">AI6/0.72</f>
        <v>1947.91666666667</v>
      </c>
      <c r="AK6" s="54" t="n">
        <f aca="false">AJ6*0.15+500</f>
        <v>792.1875</v>
      </c>
      <c r="AL6" s="55" t="n">
        <f aca="false">AJ6+AK6</f>
        <v>2740.10416666667</v>
      </c>
      <c r="AM6" s="54" t="n">
        <f aca="false">AL6-(2_Market_Gross_USD!E4+35)</f>
        <v>1205.10416666667</v>
      </c>
      <c r="AN6" s="64" t="n">
        <f aca="false">IFERROR(AL6/(2_Market_Gross_USD!E4+35),0)</f>
        <v>1.78508414766558</v>
      </c>
      <c r="AO6" s="63" t="n">
        <f aca="false">2_Market_Gross_USD!E4*(1-0.065)</f>
        <v>1402.5</v>
      </c>
      <c r="AP6" s="53" t="n">
        <f aca="false">AO6/0.7035</f>
        <v>1993.60341151386</v>
      </c>
      <c r="AQ6" s="54" t="n">
        <f aca="false">AP6*0.11+0</f>
        <v>219.296375266525</v>
      </c>
      <c r="AR6" s="55" t="n">
        <f aca="false">AP6+AQ6</f>
        <v>2212.89978678038</v>
      </c>
      <c r="AS6" s="54" t="n">
        <f aca="false">AR6-(2_Market_Gross_USD!E4+35)</f>
        <v>677.899786780384</v>
      </c>
      <c r="AT6" s="64" t="n">
        <f aca="false">IFERROR(AR6/(2_Market_Gross_USD!E4+35),0)</f>
        <v>1.44162852558983</v>
      </c>
      <c r="AU6" s="63" t="n">
        <f aca="false">2_Market_Gross_USD!E4*(1-0.065)</f>
        <v>1402.5</v>
      </c>
      <c r="AV6" s="53" t="n">
        <f aca="false">AU6/0.627</f>
        <v>2236.84210526316</v>
      </c>
      <c r="AW6" s="54" t="n">
        <f aca="false">AV6*0+0</f>
        <v>0</v>
      </c>
      <c r="AX6" s="55" t="n">
        <f aca="false">AV6+AW6</f>
        <v>2236.84210526316</v>
      </c>
      <c r="AY6" s="54" t="n">
        <f aca="false">AX6-(2_Market_Gross_USD!E4+35)</f>
        <v>701.842105263158</v>
      </c>
      <c r="AZ6" s="64" t="n">
        <f aca="false">IFERROR(AX6/(2_Market_Gross_USD!E4+35),0)</f>
        <v>1.45722612720727</v>
      </c>
      <c r="BA6" s="63" t="n">
        <f aca="false">2_Market_Gross_USD!E4*(1-0.065)</f>
        <v>1402.5</v>
      </c>
      <c r="BB6" s="53" t="n">
        <f aca="false">BA6/0.7035</f>
        <v>1993.60341151386</v>
      </c>
      <c r="BC6" s="54" t="n">
        <f aca="false">BB6*0.11+500</f>
        <v>719.296375266525</v>
      </c>
      <c r="BD6" s="55" t="n">
        <f aca="false">BB6+BC6</f>
        <v>2712.89978678038</v>
      </c>
      <c r="BE6" s="54" t="n">
        <f aca="false">BD6-(2_Market_Gross_USD!E4+35)</f>
        <v>1177.89978678038</v>
      </c>
      <c r="BF6" s="64" t="n">
        <f aca="false">IFERROR(BD6/(2_Market_Gross_USD!E4+35),0)</f>
        <v>1.76736142461263</v>
      </c>
      <c r="BG6" s="63" t="n">
        <f aca="false">2_Market_Gross_USD!E4*(1-0.065)</f>
        <v>1402.5</v>
      </c>
      <c r="BH6" s="53" t="n">
        <f aca="false">BG6/0.5215</f>
        <v>2689.35762224353</v>
      </c>
      <c r="BI6" s="54" t="n">
        <f aca="false">BH6*0.21+0</f>
        <v>564.765100671141</v>
      </c>
      <c r="BJ6" s="55" t="n">
        <f aca="false">BH6+BI6</f>
        <v>3254.12272291467</v>
      </c>
      <c r="BK6" s="54" t="n">
        <f aca="false">BJ6-(2_Market_Gross_USD!E4+35)</f>
        <v>1719.12272291467</v>
      </c>
      <c r="BL6" s="64" t="n">
        <f aca="false">IFERROR(BJ6/(2_Market_Gross_USD!E4+35),0)</f>
        <v>2.11994965662193</v>
      </c>
      <c r="BM6" s="63" t="n">
        <f aca="false">2_Market_Gross_USD!E4*(1-0.065)</f>
        <v>1402.5</v>
      </c>
      <c r="BN6" s="53" t="n">
        <f aca="false">BM6/0.75</f>
        <v>1870</v>
      </c>
      <c r="BO6" s="54" t="n">
        <f aca="false">BN6*0+0</f>
        <v>0</v>
      </c>
      <c r="BP6" s="55" t="n">
        <f aca="false">BN6+BO6</f>
        <v>1870</v>
      </c>
      <c r="BQ6" s="54" t="n">
        <f aca="false">BP6-(2_Market_Gross_USD!E4+35)</f>
        <v>335</v>
      </c>
      <c r="BR6" s="64" t="n">
        <f aca="false">IFERROR(BP6/(2_Market_Gross_USD!E4+35),0)</f>
        <v>1.21824104234528</v>
      </c>
      <c r="BS6" s="63" t="n">
        <f aca="false">2_Market_Gross_USD!E4*(1-0.065)</f>
        <v>1402.5</v>
      </c>
      <c r="BT6" s="53" t="n">
        <f aca="false">BS6/0.5215</f>
        <v>2689.35762224353</v>
      </c>
      <c r="BU6" s="54" t="n">
        <f aca="false">BT6*0.21+500</f>
        <v>1064.76510067114</v>
      </c>
      <c r="BV6" s="55" t="n">
        <f aca="false">BT6+BU6</f>
        <v>3754.12272291467</v>
      </c>
      <c r="BW6" s="54" t="n">
        <f aca="false">BV6-(2_Market_Gross_USD!E4+35)</f>
        <v>2219.12272291467</v>
      </c>
      <c r="BX6" s="64" t="n">
        <f aca="false">IFERROR(BV6/(2_Market_Gross_USD!E4+35),0)</f>
        <v>2.44568255564474</v>
      </c>
      <c r="BY6" s="63" t="n">
        <f aca="false">2_Market_Gross_USD!E4*(1-0.065)</f>
        <v>1402.5</v>
      </c>
      <c r="BZ6" s="53" t="n">
        <f aca="false">BY6/0.6303</f>
        <v>2225.13089005236</v>
      </c>
      <c r="CA6" s="54" t="n">
        <f aca="false">BZ6*0.2+0</f>
        <v>445.026178010471</v>
      </c>
      <c r="CB6" s="55" t="n">
        <f aca="false">BZ6+CA6</f>
        <v>2670.15706806283</v>
      </c>
      <c r="CC6" s="54" t="n">
        <f aca="false">CB6-(2_Market_Gross_USD!E4+35)</f>
        <v>1135.15706806283</v>
      </c>
      <c r="CD6" s="64" t="n">
        <f aca="false">IFERROR(CB6/(2_Market_Gross_USD!E4+35),0)</f>
        <v>1.73951600525266</v>
      </c>
      <c r="CE6" s="63" t="n">
        <f aca="false">2_Market_Gross_USD!E4*(1-0.065)</f>
        <v>1402.5</v>
      </c>
      <c r="CF6" s="53" t="n">
        <f aca="false">CE6/0.6303</f>
        <v>2225.13089005236</v>
      </c>
      <c r="CG6" s="54" t="n">
        <f aca="false">CF6*0+0</f>
        <v>0</v>
      </c>
      <c r="CH6" s="55" t="n">
        <f aca="false">CF6+CG6</f>
        <v>2225.13089005236</v>
      </c>
      <c r="CI6" s="54" t="n">
        <f aca="false">CH6-(2_Market_Gross_USD!E4+35)</f>
        <v>690.130890052356</v>
      </c>
      <c r="CJ6" s="64" t="n">
        <f aca="false">IFERROR(CH6/(2_Market_Gross_USD!E4+35),0)</f>
        <v>1.44959667104388</v>
      </c>
      <c r="CK6" s="63" t="n">
        <f aca="false">2_Market_Gross_USD!E4*(1-0.065)</f>
        <v>1402.5</v>
      </c>
      <c r="CL6" s="53" t="n">
        <f aca="false">CK6/0.6303</f>
        <v>2225.13089005236</v>
      </c>
      <c r="CM6" s="54" t="n">
        <f aca="false">CL6*0.2+500</f>
        <v>945.026178010471</v>
      </c>
      <c r="CN6" s="55" t="n">
        <f aca="false">CL6+CM6</f>
        <v>3170.15706806283</v>
      </c>
      <c r="CO6" s="54" t="n">
        <f aca="false">CN6-(2_Market_Gross_USD!E4+35)</f>
        <v>1635.15706806283</v>
      </c>
      <c r="CP6" s="64" t="n">
        <f aca="false">IFERROR(CN6/(2_Market_Gross_USD!E4+35),0)</f>
        <v>2.06524890427546</v>
      </c>
      <c r="CQ6" s="63" t="n">
        <f aca="false">2_Market_Gross_USD!E4*(1-0.065)</f>
        <v>1402.5</v>
      </c>
      <c r="CR6" s="53" t="n">
        <f aca="false">CQ6/0.74</f>
        <v>1895.27027027027</v>
      </c>
      <c r="CS6" s="54" t="n">
        <f aca="false">CR6*0.338+0</f>
        <v>640.601351351351</v>
      </c>
      <c r="CT6" s="55" t="n">
        <f aca="false">CR6+CS6</f>
        <v>2535.87162162162</v>
      </c>
      <c r="CU6" s="54" t="n">
        <f aca="false">CT6-(2_Market_Gross_USD!E4+35)</f>
        <v>1000.87162162162</v>
      </c>
      <c r="CV6" s="64" t="n">
        <f aca="false">IFERROR(CT6/(2_Market_Gross_USD!E4+35),0)</f>
        <v>1.65203362972093</v>
      </c>
      <c r="CW6" s="63" t="n">
        <f aca="false">2_Market_Gross_USD!E4*(1-0.065)</f>
        <v>1402.5</v>
      </c>
      <c r="CX6" s="53" t="n">
        <f aca="false">CW6/0.85</f>
        <v>1650</v>
      </c>
      <c r="CY6" s="54" t="n">
        <f aca="false">CX6*0+0</f>
        <v>0</v>
      </c>
      <c r="CZ6" s="55" t="n">
        <f aca="false">CX6+CY6</f>
        <v>1650</v>
      </c>
      <c r="DA6" s="54" t="n">
        <f aca="false">CZ6-(2_Market_Gross_USD!E4+35)</f>
        <v>115</v>
      </c>
      <c r="DB6" s="64" t="n">
        <f aca="false">IFERROR(CZ6/(2_Market_Gross_USD!E4+35),0)</f>
        <v>1.07491856677524</v>
      </c>
      <c r="DC6" s="63" t="n">
        <f aca="false">2_Market_Gross_USD!E4*(1-0.065)</f>
        <v>1402.5</v>
      </c>
      <c r="DD6" s="53" t="n">
        <f aca="false">DC6/0.74</f>
        <v>1895.27027027027</v>
      </c>
      <c r="DE6" s="54" t="n">
        <f aca="false">DD6*0.338+500</f>
        <v>1140.60135135135</v>
      </c>
      <c r="DF6" s="55" t="n">
        <f aca="false">DD6+DE6</f>
        <v>3035.87162162162</v>
      </c>
      <c r="DG6" s="54" t="n">
        <f aca="false">DF6-(2_Market_Gross_USD!E4+35)</f>
        <v>1500.87162162162</v>
      </c>
      <c r="DH6" s="64" t="n">
        <f aca="false">IFERROR(DF6/(2_Market_Gross_USD!E4+35),0)</f>
        <v>1.97776652874373</v>
      </c>
      <c r="DI6" s="63" t="n">
        <f aca="false">2_Market_Gross_USD!E4*(1-0.065)</f>
        <v>1402.5</v>
      </c>
      <c r="DJ6" s="53" t="n">
        <f aca="false">DI6/0.66</f>
        <v>2125</v>
      </c>
      <c r="DK6" s="54" t="n">
        <f aca="false">DJ6*0.2375+0</f>
        <v>504.6875</v>
      </c>
      <c r="DL6" s="55" t="n">
        <f aca="false">DJ6+DK6</f>
        <v>2629.6875</v>
      </c>
      <c r="DM6" s="54" t="n">
        <f aca="false">DL6-(2_Market_Gross_USD!E4+35)</f>
        <v>1094.6875</v>
      </c>
      <c r="DN6" s="64" t="n">
        <f aca="false">IFERROR(DL6/(2_Market_Gross_USD!E4+35),0)</f>
        <v>1.71315146579805</v>
      </c>
      <c r="DO6" s="63" t="n">
        <f aca="false">2_Market_Gross_USD!E4*(1-0.065)</f>
        <v>1402.5</v>
      </c>
      <c r="DP6" s="53" t="n">
        <f aca="false">DO6/0.8</f>
        <v>1753.125</v>
      </c>
      <c r="DQ6" s="54" t="n">
        <f aca="false">DP6*0+0</f>
        <v>0</v>
      </c>
      <c r="DR6" s="55" t="n">
        <f aca="false">DP6+DQ6</f>
        <v>1753.125</v>
      </c>
      <c r="DS6" s="54" t="n">
        <f aca="false">DR6-(2_Market_Gross_USD!E4+35)</f>
        <v>218.125</v>
      </c>
      <c r="DT6" s="64" t="n">
        <f aca="false">IFERROR(DR6/(2_Market_Gross_USD!E4+35),0)</f>
        <v>1.1421009771987</v>
      </c>
      <c r="DU6" s="63" t="n">
        <f aca="false">2_Market_Gross_USD!E4*(1-0.065)</f>
        <v>1402.5</v>
      </c>
      <c r="DV6" s="53" t="n">
        <f aca="false">DU6/0.66</f>
        <v>2125</v>
      </c>
      <c r="DW6" s="54" t="n">
        <f aca="false">DV6*0.2375+500</f>
        <v>1004.6875</v>
      </c>
      <c r="DX6" s="55" t="n">
        <f aca="false">DV6+DW6</f>
        <v>3129.6875</v>
      </c>
      <c r="DY6" s="54" t="n">
        <f aca="false">DX6-(2_Market_Gross_USD!E4+35)</f>
        <v>1594.6875</v>
      </c>
      <c r="DZ6" s="64" t="n">
        <f aca="false">IFERROR(DX6/(2_Market_Gross_USD!E4+35),0)</f>
        <v>2.03888436482085</v>
      </c>
      <c r="EA6" s="63" t="n">
        <f aca="false">2_Market_Gross_USD!E4*(1-0.065)</f>
        <v>1402.5</v>
      </c>
      <c r="EB6" s="53" t="n">
        <f aca="false">EA6/0.65</f>
        <v>2157.69230769231</v>
      </c>
      <c r="EC6" s="54" t="n">
        <f aca="false">EB6*0.0225+0</f>
        <v>48.5480769230769</v>
      </c>
      <c r="ED6" s="55" t="n">
        <f aca="false">EB6+EC6</f>
        <v>2206.24038461538</v>
      </c>
      <c r="EE6" s="54" t="n">
        <f aca="false">ED6-(2_Market_Gross_USD!E4+35)</f>
        <v>671.240384615385</v>
      </c>
      <c r="EF6" s="64" t="n">
        <f aca="false">IFERROR(ED6/(2_Market_Gross_USD!E4+35),0)</f>
        <v>1.4372901528439</v>
      </c>
      <c r="EG6" s="63" t="n">
        <f aca="false">2_Market_Gross_USD!E4*(1-0.065)</f>
        <v>1402.5</v>
      </c>
      <c r="EH6" s="53" t="n">
        <f aca="false">EG6/0.99</f>
        <v>1416.66666666667</v>
      </c>
      <c r="EI6" s="54" t="n">
        <f aca="false">EH6*0+0</f>
        <v>0</v>
      </c>
      <c r="EJ6" s="55" t="n">
        <f aca="false">EH6+EI6</f>
        <v>1416.66666666667</v>
      </c>
      <c r="EK6" s="54" t="n">
        <f aca="false">EJ6-(2_Market_Gross_USD!E4+35)</f>
        <v>-118.333333333333</v>
      </c>
      <c r="EL6" s="64" t="n">
        <f aca="false">IFERROR(EJ6/(2_Market_Gross_USD!E4+35),0)</f>
        <v>0.922909880564604</v>
      </c>
      <c r="EM6" s="63" t="n">
        <f aca="false">2_Market_Gross_USD!E4*(1-0.065)</f>
        <v>1402.5</v>
      </c>
      <c r="EN6" s="53" t="n">
        <f aca="false">EM6/0.65</f>
        <v>2157.69230769231</v>
      </c>
      <c r="EO6" s="54" t="n">
        <f aca="false">EN6*0.0225+500</f>
        <v>548.548076923077</v>
      </c>
      <c r="EP6" s="55" t="n">
        <f aca="false">EN6+EO6</f>
        <v>2706.24038461538</v>
      </c>
      <c r="EQ6" s="54" t="n">
        <f aca="false">EP6-(2_Market_Gross_USD!E4+35)</f>
        <v>1171.24038461538</v>
      </c>
      <c r="ER6" s="64" t="n">
        <f aca="false">IFERROR(EP6/(2_Market_Gross_USD!E4+35),0)</f>
        <v>1.7630230518667</v>
      </c>
    </row>
    <row r="7" customFormat="false" ht="15" hidden="false" customHeight="false" outlineLevel="0" collapsed="false">
      <c r="A7" s="41" t="n">
        <v>2</v>
      </c>
      <c r="B7" s="28" t="s">
        <v>246</v>
      </c>
      <c r="C7" s="8" t="s">
        <v>247</v>
      </c>
      <c r="D7" s="65" t="s">
        <v>249</v>
      </c>
      <c r="E7" s="63" t="n">
        <f aca="false">2_Market_Gross_USD!E5*(1-0.065)</f>
        <v>4441.25</v>
      </c>
      <c r="F7" s="53" t="n">
        <f aca="false">E7/0.7429</f>
        <v>5978.26086956522</v>
      </c>
      <c r="G7" s="58" t="n">
        <f aca="false">F7*0.2038+0</f>
        <v>1218.36956521739</v>
      </c>
      <c r="H7" s="55" t="n">
        <f aca="false">F7+G7</f>
        <v>7196.63043478261</v>
      </c>
      <c r="I7" s="58" t="n">
        <f aca="false">H7-(2_Market_Gross_USD!E5+35)</f>
        <v>2411.63043478261</v>
      </c>
      <c r="J7" s="66" t="n">
        <f aca="false">IFERROR(H7/(2_Market_Gross_USD!E5+35),0)</f>
        <v>1.5039980009995</v>
      </c>
      <c r="K7" s="63" t="n">
        <f aca="false">2_Market_Gross_USD!E5*(1-0.065)</f>
        <v>4441.25</v>
      </c>
      <c r="L7" s="53" t="n">
        <f aca="false">K7/0.88</f>
        <v>5046.875</v>
      </c>
      <c r="M7" s="58" t="n">
        <f aca="false">L7*0+0</f>
        <v>0</v>
      </c>
      <c r="N7" s="55" t="n">
        <f aca="false">L7+M7</f>
        <v>5046.875</v>
      </c>
      <c r="O7" s="58" t="n">
        <f aca="false">N7-(2_Market_Gross_USD!E5+35)</f>
        <v>261.875</v>
      </c>
      <c r="P7" s="66" t="n">
        <f aca="false">IFERROR(N7/(2_Market_Gross_USD!E5+35),0)</f>
        <v>1.05472831765935</v>
      </c>
      <c r="Q7" s="63" t="n">
        <f aca="false">2_Market_Gross_USD!E5*(1-0.065)</f>
        <v>4441.25</v>
      </c>
      <c r="R7" s="53" t="n">
        <f aca="false">Q7/0.7429</f>
        <v>5978.26086956522</v>
      </c>
      <c r="S7" s="58" t="n">
        <f aca="false">R7*0.2038+500</f>
        <v>1718.36956521739</v>
      </c>
      <c r="T7" s="55" t="n">
        <f aca="false">R7+S7</f>
        <v>7696.63043478261</v>
      </c>
      <c r="U7" s="58" t="n">
        <f aca="false">T7-(2_Market_Gross_USD!E5+35)</f>
        <v>2911.63043478261</v>
      </c>
      <c r="V7" s="66" t="n">
        <f aca="false">IFERROR(T7/(2_Market_Gross_USD!E5+35),0)</f>
        <v>1.60849120894098</v>
      </c>
      <c r="W7" s="63" t="n">
        <f aca="false">2_Market_Gross_USD!E5*(1-0.065)</f>
        <v>4441.25</v>
      </c>
      <c r="X7" s="53" t="n">
        <f aca="false">W7/0.72</f>
        <v>6168.40277777778</v>
      </c>
      <c r="Y7" s="58" t="n">
        <f aca="false">X7*0.15+0</f>
        <v>925.260416666667</v>
      </c>
      <c r="Z7" s="55" t="n">
        <f aca="false">X7+Y7</f>
        <v>7093.66319444445</v>
      </c>
      <c r="AA7" s="58" t="n">
        <f aca="false">Z7-(2_Market_Gross_USD!E5+35)</f>
        <v>2308.66319444445</v>
      </c>
      <c r="AB7" s="66" t="n">
        <f aca="false">IFERROR(Z7/(2_Market_Gross_USD!E5+35),0)</f>
        <v>1.48247924648787</v>
      </c>
      <c r="AC7" s="63" t="n">
        <f aca="false">2_Market_Gross_USD!E5*(1-0.065)</f>
        <v>4441.25</v>
      </c>
      <c r="AD7" s="53" t="n">
        <f aca="false">AC7/0.81</f>
        <v>5483.02469135802</v>
      </c>
      <c r="AE7" s="58" t="n">
        <f aca="false">AD7*0+0</f>
        <v>0</v>
      </c>
      <c r="AF7" s="55" t="n">
        <f aca="false">AD7+AE7</f>
        <v>5483.02469135802</v>
      </c>
      <c r="AG7" s="58" t="n">
        <f aca="false">AF7-(2_Market_Gross_USD!E5+35)</f>
        <v>698.024691358024</v>
      </c>
      <c r="AH7" s="66" t="n">
        <f aca="false">IFERROR(AF7/(2_Market_Gross_USD!E5+35),0)</f>
        <v>1.14587767844473</v>
      </c>
      <c r="AI7" s="63" t="n">
        <f aca="false">2_Market_Gross_USD!E5*(1-0.065)</f>
        <v>4441.25</v>
      </c>
      <c r="AJ7" s="53" t="n">
        <f aca="false">AI7/0.72</f>
        <v>6168.40277777778</v>
      </c>
      <c r="AK7" s="58" t="n">
        <f aca="false">AJ7*0.15+500</f>
        <v>1425.26041666667</v>
      </c>
      <c r="AL7" s="55" t="n">
        <f aca="false">AJ7+AK7</f>
        <v>7593.66319444445</v>
      </c>
      <c r="AM7" s="58" t="n">
        <f aca="false">AL7-(2_Market_Gross_USD!E5+35)</f>
        <v>2808.66319444445</v>
      </c>
      <c r="AN7" s="66" t="n">
        <f aca="false">IFERROR(AL7/(2_Market_Gross_USD!E5+35),0)</f>
        <v>1.58697245442935</v>
      </c>
      <c r="AO7" s="63" t="n">
        <f aca="false">2_Market_Gross_USD!E5*(1-0.065)</f>
        <v>4441.25</v>
      </c>
      <c r="AP7" s="53" t="n">
        <f aca="false">AO7/0.7035</f>
        <v>6313.07746979389</v>
      </c>
      <c r="AQ7" s="58" t="n">
        <f aca="false">AP7*0.11+0</f>
        <v>694.438521677328</v>
      </c>
      <c r="AR7" s="55" t="n">
        <f aca="false">AP7+AQ7</f>
        <v>7007.51599147122</v>
      </c>
      <c r="AS7" s="58" t="n">
        <f aca="false">AR7-(2_Market_Gross_USD!E5+35)</f>
        <v>2222.51599147122</v>
      </c>
      <c r="AT7" s="66" t="n">
        <f aca="false">IFERROR(AR7/(2_Market_Gross_USD!E5+35),0)</f>
        <v>1.46447565130015</v>
      </c>
      <c r="AU7" s="63" t="n">
        <f aca="false">2_Market_Gross_USD!E5*(1-0.065)</f>
        <v>4441.25</v>
      </c>
      <c r="AV7" s="53" t="n">
        <f aca="false">AU7/0.627</f>
        <v>7083.33333333333</v>
      </c>
      <c r="AW7" s="58" t="n">
        <f aca="false">AV7*0+0</f>
        <v>0</v>
      </c>
      <c r="AX7" s="55" t="n">
        <f aca="false">AV7+AW7</f>
        <v>7083.33333333333</v>
      </c>
      <c r="AY7" s="58" t="n">
        <f aca="false">AX7-(2_Market_Gross_USD!E5+35)</f>
        <v>2298.33333333333</v>
      </c>
      <c r="AZ7" s="66" t="n">
        <f aca="false">IFERROR(AX7/(2_Market_Gross_USD!E5+35),0)</f>
        <v>1.48032044583769</v>
      </c>
      <c r="BA7" s="63" t="n">
        <f aca="false">2_Market_Gross_USD!E5*(1-0.065)</f>
        <v>4441.25</v>
      </c>
      <c r="BB7" s="53" t="n">
        <f aca="false">BA7/0.7035</f>
        <v>6313.07746979389</v>
      </c>
      <c r="BC7" s="58" t="n">
        <f aca="false">BB7*0.11+500</f>
        <v>1194.43852167733</v>
      </c>
      <c r="BD7" s="55" t="n">
        <f aca="false">BB7+BC7</f>
        <v>7507.51599147122</v>
      </c>
      <c r="BE7" s="58" t="n">
        <f aca="false">BD7-(2_Market_Gross_USD!E5+35)</f>
        <v>2722.51599147122</v>
      </c>
      <c r="BF7" s="66" t="n">
        <f aca="false">IFERROR(BD7/(2_Market_Gross_USD!E5+35),0)</f>
        <v>1.56896885924163</v>
      </c>
      <c r="BG7" s="63" t="n">
        <f aca="false">2_Market_Gross_USD!E5*(1-0.065)</f>
        <v>4441.25</v>
      </c>
      <c r="BH7" s="53" t="n">
        <f aca="false">BG7/0.5215</f>
        <v>8516.29913710451</v>
      </c>
      <c r="BI7" s="58" t="n">
        <f aca="false">BH7*0.21+0</f>
        <v>1788.42281879195</v>
      </c>
      <c r="BJ7" s="55" t="n">
        <f aca="false">BH7+BI7</f>
        <v>10304.7219558965</v>
      </c>
      <c r="BK7" s="58" t="n">
        <f aca="false">BJ7-(2_Market_Gross_USD!E5+35)</f>
        <v>5519.72195589645</v>
      </c>
      <c r="BL7" s="66" t="n">
        <f aca="false">IFERROR(BJ7/(2_Market_Gross_USD!E5+35),0)</f>
        <v>2.15354690823332</v>
      </c>
      <c r="BM7" s="63" t="n">
        <f aca="false">2_Market_Gross_USD!E5*(1-0.065)</f>
        <v>4441.25</v>
      </c>
      <c r="BN7" s="53" t="n">
        <f aca="false">BM7/0.75</f>
        <v>5921.66666666667</v>
      </c>
      <c r="BO7" s="58" t="n">
        <f aca="false">BN7*0+0</f>
        <v>0</v>
      </c>
      <c r="BP7" s="55" t="n">
        <f aca="false">BN7+BO7</f>
        <v>5921.66666666667</v>
      </c>
      <c r="BQ7" s="58" t="n">
        <f aca="false">BP7-(2_Market_Gross_USD!E5+35)</f>
        <v>1136.66666666667</v>
      </c>
      <c r="BR7" s="66" t="n">
        <f aca="false">IFERROR(BP7/(2_Market_Gross_USD!E5+35),0)</f>
        <v>1.23754789272031</v>
      </c>
      <c r="BS7" s="63" t="n">
        <f aca="false">2_Market_Gross_USD!E5*(1-0.065)</f>
        <v>4441.25</v>
      </c>
      <c r="BT7" s="53" t="n">
        <f aca="false">BS7/0.5215</f>
        <v>8516.29913710451</v>
      </c>
      <c r="BU7" s="58" t="n">
        <f aca="false">BT7*0.21+500</f>
        <v>2288.42281879195</v>
      </c>
      <c r="BV7" s="55" t="n">
        <f aca="false">BT7+BU7</f>
        <v>10804.7219558965</v>
      </c>
      <c r="BW7" s="58" t="n">
        <f aca="false">BV7-(2_Market_Gross_USD!E5+35)</f>
        <v>6019.72195589645</v>
      </c>
      <c r="BX7" s="66" t="n">
        <f aca="false">IFERROR(BV7/(2_Market_Gross_USD!E5+35),0)</f>
        <v>2.25804011617481</v>
      </c>
      <c r="BY7" s="63" t="n">
        <f aca="false">2_Market_Gross_USD!E5*(1-0.065)</f>
        <v>4441.25</v>
      </c>
      <c r="BZ7" s="53" t="n">
        <f aca="false">BY7/0.6303</f>
        <v>7046.24781849913</v>
      </c>
      <c r="CA7" s="58" t="n">
        <f aca="false">BZ7*0.2+0</f>
        <v>1409.24956369983</v>
      </c>
      <c r="CB7" s="55" t="n">
        <f aca="false">BZ7+CA7</f>
        <v>8455.49738219895</v>
      </c>
      <c r="CC7" s="58" t="n">
        <f aca="false">CB7-(2_Market_Gross_USD!E5+35)</f>
        <v>3670.49738219895</v>
      </c>
      <c r="CD7" s="66" t="n">
        <f aca="false">IFERROR(CB7/(2_Market_Gross_USD!E5+35),0)</f>
        <v>1.76708409241357</v>
      </c>
      <c r="CE7" s="63" t="n">
        <f aca="false">2_Market_Gross_USD!E5*(1-0.065)</f>
        <v>4441.25</v>
      </c>
      <c r="CF7" s="53" t="n">
        <f aca="false">CE7/0.6303</f>
        <v>7046.24781849913</v>
      </c>
      <c r="CG7" s="58" t="n">
        <f aca="false">CF7*0+0</f>
        <v>0</v>
      </c>
      <c r="CH7" s="55" t="n">
        <f aca="false">CF7+CG7</f>
        <v>7046.24781849913</v>
      </c>
      <c r="CI7" s="58" t="n">
        <f aca="false">CH7-(2_Market_Gross_USD!E5+35)</f>
        <v>2261.24781849913</v>
      </c>
      <c r="CJ7" s="66" t="n">
        <f aca="false">IFERROR(CH7/(2_Market_Gross_USD!E5+35),0)</f>
        <v>1.47257007701131</v>
      </c>
      <c r="CK7" s="63" t="n">
        <f aca="false">2_Market_Gross_USD!E5*(1-0.065)</f>
        <v>4441.25</v>
      </c>
      <c r="CL7" s="53" t="n">
        <f aca="false">CK7/0.6303</f>
        <v>7046.24781849913</v>
      </c>
      <c r="CM7" s="58" t="n">
        <f aca="false">CL7*0.2+500</f>
        <v>1909.24956369983</v>
      </c>
      <c r="CN7" s="55" t="n">
        <f aca="false">CL7+CM7</f>
        <v>8955.49738219895</v>
      </c>
      <c r="CO7" s="58" t="n">
        <f aca="false">CN7-(2_Market_Gross_USD!E5+35)</f>
        <v>4170.49738219895</v>
      </c>
      <c r="CP7" s="66" t="n">
        <f aca="false">IFERROR(CN7/(2_Market_Gross_USD!E5+35),0)</f>
        <v>1.87157730035506</v>
      </c>
      <c r="CQ7" s="63" t="n">
        <f aca="false">2_Market_Gross_USD!E5*(1-0.065)</f>
        <v>4441.25</v>
      </c>
      <c r="CR7" s="53" t="n">
        <f aca="false">CQ7/0.74</f>
        <v>6001.68918918919</v>
      </c>
      <c r="CS7" s="58" t="n">
        <f aca="false">CR7*0.338+0</f>
        <v>2028.57094594595</v>
      </c>
      <c r="CT7" s="55" t="n">
        <f aca="false">CR7+CS7</f>
        <v>8030.26013513514</v>
      </c>
      <c r="CU7" s="58" t="n">
        <f aca="false">CT7-(2_Market_Gross_USD!E5+35)</f>
        <v>3245.26013513514</v>
      </c>
      <c r="CV7" s="66" t="n">
        <f aca="false">IFERROR(CT7/(2_Market_Gross_USD!E5+35),0)</f>
        <v>1.67821528424977</v>
      </c>
      <c r="CW7" s="63" t="n">
        <f aca="false">2_Market_Gross_USD!E5*(1-0.065)</f>
        <v>4441.25</v>
      </c>
      <c r="CX7" s="53" t="n">
        <f aca="false">CW7/0.85</f>
        <v>5225</v>
      </c>
      <c r="CY7" s="58" t="n">
        <f aca="false">CX7*0+0</f>
        <v>0</v>
      </c>
      <c r="CZ7" s="55" t="n">
        <f aca="false">CX7+CY7</f>
        <v>5225</v>
      </c>
      <c r="DA7" s="58" t="n">
        <f aca="false">CZ7-(2_Market_Gross_USD!E5+35)</f>
        <v>440</v>
      </c>
      <c r="DB7" s="66" t="n">
        <f aca="false">IFERROR(CZ7/(2_Market_Gross_USD!E5+35),0)</f>
        <v>1.09195402298851</v>
      </c>
      <c r="DC7" s="63" t="n">
        <f aca="false">2_Market_Gross_USD!E5*(1-0.065)</f>
        <v>4441.25</v>
      </c>
      <c r="DD7" s="53" t="n">
        <f aca="false">DC7/0.74</f>
        <v>6001.68918918919</v>
      </c>
      <c r="DE7" s="58" t="n">
        <f aca="false">DD7*0.338+500</f>
        <v>2528.57094594595</v>
      </c>
      <c r="DF7" s="55" t="n">
        <f aca="false">DD7+DE7</f>
        <v>8530.26013513514</v>
      </c>
      <c r="DG7" s="58" t="n">
        <f aca="false">DF7-(2_Market_Gross_USD!E5+35)</f>
        <v>3745.26013513514</v>
      </c>
      <c r="DH7" s="66" t="n">
        <f aca="false">IFERROR(DF7/(2_Market_Gross_USD!E5+35),0)</f>
        <v>1.78270849219125</v>
      </c>
      <c r="DI7" s="63" t="n">
        <f aca="false">2_Market_Gross_USD!E5*(1-0.065)</f>
        <v>4441.25</v>
      </c>
      <c r="DJ7" s="53" t="n">
        <f aca="false">DI7/0.66</f>
        <v>6729.16666666667</v>
      </c>
      <c r="DK7" s="58" t="n">
        <f aca="false">DJ7*0.2375+0</f>
        <v>1598.17708333333</v>
      </c>
      <c r="DL7" s="55" t="n">
        <f aca="false">DJ7+DK7</f>
        <v>8327.34375</v>
      </c>
      <c r="DM7" s="58" t="n">
        <f aca="false">DL7-(2_Market_Gross_USD!E5+35)</f>
        <v>3542.34375</v>
      </c>
      <c r="DN7" s="66" t="n">
        <f aca="false">IFERROR(DL7/(2_Market_Gross_USD!E5+35),0)</f>
        <v>1.74030172413793</v>
      </c>
      <c r="DO7" s="63" t="n">
        <f aca="false">2_Market_Gross_USD!E5*(1-0.065)</f>
        <v>4441.25</v>
      </c>
      <c r="DP7" s="53" t="n">
        <f aca="false">DO7/0.8</f>
        <v>5551.5625</v>
      </c>
      <c r="DQ7" s="58" t="n">
        <f aca="false">DP7*0+0</f>
        <v>0</v>
      </c>
      <c r="DR7" s="55" t="n">
        <f aca="false">DP7+DQ7</f>
        <v>5551.5625</v>
      </c>
      <c r="DS7" s="58" t="n">
        <f aca="false">DR7-(2_Market_Gross_USD!E5+35)</f>
        <v>766.5625</v>
      </c>
      <c r="DT7" s="66" t="n">
        <f aca="false">IFERROR(DR7/(2_Market_Gross_USD!E5+35),0)</f>
        <v>1.16020114942529</v>
      </c>
      <c r="DU7" s="63" t="n">
        <f aca="false">2_Market_Gross_USD!E5*(1-0.065)</f>
        <v>4441.25</v>
      </c>
      <c r="DV7" s="53" t="n">
        <f aca="false">DU7/0.66</f>
        <v>6729.16666666667</v>
      </c>
      <c r="DW7" s="58" t="n">
        <f aca="false">DV7*0.2375+500</f>
        <v>2098.17708333333</v>
      </c>
      <c r="DX7" s="55" t="n">
        <f aca="false">DV7+DW7</f>
        <v>8827.34375</v>
      </c>
      <c r="DY7" s="58" t="n">
        <f aca="false">DX7-(2_Market_Gross_USD!E5+35)</f>
        <v>4042.34375</v>
      </c>
      <c r="DZ7" s="66" t="n">
        <f aca="false">IFERROR(DX7/(2_Market_Gross_USD!E5+35),0)</f>
        <v>1.84479493207941</v>
      </c>
      <c r="EA7" s="63" t="n">
        <f aca="false">2_Market_Gross_USD!E5*(1-0.065)</f>
        <v>4441.25</v>
      </c>
      <c r="EB7" s="53" t="n">
        <f aca="false">EA7/0.65</f>
        <v>6832.69230769231</v>
      </c>
      <c r="EC7" s="58" t="n">
        <f aca="false">EB7*0.0225+0</f>
        <v>153.735576923077</v>
      </c>
      <c r="ED7" s="55" t="n">
        <f aca="false">EB7+EC7</f>
        <v>6986.42788461539</v>
      </c>
      <c r="EE7" s="58" t="n">
        <f aca="false">ED7-(2_Market_Gross_USD!E5+35)</f>
        <v>2201.42788461538</v>
      </c>
      <c r="EF7" s="66" t="n">
        <f aca="false">IFERROR(ED7/(2_Market_Gross_USD!E5+35),0)</f>
        <v>1.46006852343059</v>
      </c>
      <c r="EG7" s="63" t="n">
        <f aca="false">2_Market_Gross_USD!E5*(1-0.065)</f>
        <v>4441.25</v>
      </c>
      <c r="EH7" s="53" t="n">
        <f aca="false">EG7/0.99</f>
        <v>4486.11111111111</v>
      </c>
      <c r="EI7" s="58" t="n">
        <f aca="false">EH7*0+0</f>
        <v>0</v>
      </c>
      <c r="EJ7" s="55" t="n">
        <f aca="false">EH7+EI7</f>
        <v>4486.11111111111</v>
      </c>
      <c r="EK7" s="58" t="n">
        <f aca="false">EJ7-(2_Market_Gross_USD!E5+35)</f>
        <v>-298.888888888889</v>
      </c>
      <c r="EL7" s="66" t="n">
        <f aca="false">IFERROR(EJ7/(2_Market_Gross_USD!E5+35),0)</f>
        <v>0.937536282363869</v>
      </c>
      <c r="EM7" s="63" t="n">
        <f aca="false">2_Market_Gross_USD!E5*(1-0.065)</f>
        <v>4441.25</v>
      </c>
      <c r="EN7" s="53" t="n">
        <f aca="false">EM7/0.65</f>
        <v>6832.69230769231</v>
      </c>
      <c r="EO7" s="58" t="n">
        <f aca="false">EN7*0.0225+500</f>
        <v>653.735576923077</v>
      </c>
      <c r="EP7" s="55" t="n">
        <f aca="false">EN7+EO7</f>
        <v>7486.42788461539</v>
      </c>
      <c r="EQ7" s="58" t="n">
        <f aca="false">EP7-(2_Market_Gross_USD!E5+35)</f>
        <v>2701.42788461538</v>
      </c>
      <c r="ER7" s="66" t="n">
        <f aca="false">IFERROR(EP7/(2_Market_Gross_USD!E5+35),0)</f>
        <v>1.56456173137208</v>
      </c>
    </row>
    <row r="8" customFormat="false" ht="15" hidden="false" customHeight="false" outlineLevel="0" collapsed="false">
      <c r="A8" s="37" t="n">
        <v>3</v>
      </c>
      <c r="B8" s="32" t="s">
        <v>246</v>
      </c>
      <c r="C8" s="32" t="s">
        <v>250</v>
      </c>
      <c r="D8" s="62" t="s">
        <v>248</v>
      </c>
      <c r="E8" s="63" t="n">
        <f aca="false">2_Market_Gross_USD!E6*(1-0.065)</f>
        <v>1496</v>
      </c>
      <c r="F8" s="53" t="n">
        <f aca="false">E8/0.7429</f>
        <v>2013.7299771167</v>
      </c>
      <c r="G8" s="54" t="n">
        <f aca="false">F8*0.2038+0</f>
        <v>410.398169336384</v>
      </c>
      <c r="H8" s="55" t="n">
        <f aca="false">F8+G8</f>
        <v>2424.12814645309</v>
      </c>
      <c r="I8" s="54" t="n">
        <f aca="false">H8-(2_Market_Gross_USD!E6+35)</f>
        <v>789.128146453089</v>
      </c>
      <c r="J8" s="64" t="n">
        <f aca="false">IFERROR(H8/(2_Market_Gross_USD!E6+35),0)</f>
        <v>1.48264718437498</v>
      </c>
      <c r="K8" s="63" t="n">
        <f aca="false">2_Market_Gross_USD!E6*(1-0.065)</f>
        <v>1496</v>
      </c>
      <c r="L8" s="53" t="n">
        <f aca="false">K8/0.88</f>
        <v>1700</v>
      </c>
      <c r="M8" s="54" t="n">
        <f aca="false">L8*0+0</f>
        <v>0</v>
      </c>
      <c r="N8" s="55" t="n">
        <f aca="false">L8+M8</f>
        <v>1700</v>
      </c>
      <c r="O8" s="54" t="n">
        <f aca="false">N8-(2_Market_Gross_USD!E6+35)</f>
        <v>65</v>
      </c>
      <c r="P8" s="64" t="n">
        <f aca="false">IFERROR(N8/(2_Market_Gross_USD!E6+35),0)</f>
        <v>1.03975535168196</v>
      </c>
      <c r="Q8" s="63" t="n">
        <f aca="false">2_Market_Gross_USD!E6*(1-0.065)</f>
        <v>1496</v>
      </c>
      <c r="R8" s="53" t="n">
        <f aca="false">Q8/0.7429</f>
        <v>2013.7299771167</v>
      </c>
      <c r="S8" s="54" t="n">
        <f aca="false">R8*0.2038+500</f>
        <v>910.398169336384</v>
      </c>
      <c r="T8" s="55" t="n">
        <f aca="false">R8+S8</f>
        <v>2924.12814645309</v>
      </c>
      <c r="U8" s="54" t="n">
        <f aca="false">T8-(2_Market_Gross_USD!E6+35)</f>
        <v>1289.12814645309</v>
      </c>
      <c r="V8" s="64" t="n">
        <f aca="false">IFERROR(T8/(2_Market_Gross_USD!E6+35),0)</f>
        <v>1.7884575819285</v>
      </c>
      <c r="W8" s="63" t="n">
        <f aca="false">2_Market_Gross_USD!E6*(1-0.065)</f>
        <v>1496</v>
      </c>
      <c r="X8" s="53" t="n">
        <f aca="false">W8/0.72</f>
        <v>2077.77777777778</v>
      </c>
      <c r="Y8" s="54" t="n">
        <f aca="false">X8*0.15+0</f>
        <v>311.666666666667</v>
      </c>
      <c r="Z8" s="55" t="n">
        <f aca="false">X8+Y8</f>
        <v>2389.44444444444</v>
      </c>
      <c r="AA8" s="54" t="n">
        <f aca="false">Z8-(2_Market_Gross_USD!E6+35)</f>
        <v>754.444444444444</v>
      </c>
      <c r="AB8" s="64" t="n">
        <f aca="false">IFERROR(Z8/(2_Market_Gross_USD!E6+35),0)</f>
        <v>1.4614339109752</v>
      </c>
      <c r="AC8" s="63" t="n">
        <f aca="false">2_Market_Gross_USD!E6*(1-0.065)</f>
        <v>1496</v>
      </c>
      <c r="AD8" s="53" t="n">
        <f aca="false">AC8/0.81</f>
        <v>1846.91358024691</v>
      </c>
      <c r="AE8" s="54" t="n">
        <f aca="false">AD8*0+0</f>
        <v>0</v>
      </c>
      <c r="AF8" s="55" t="n">
        <f aca="false">AD8+AE8</f>
        <v>1846.91358024691</v>
      </c>
      <c r="AG8" s="54" t="n">
        <f aca="false">AF8-(2_Market_Gross_USD!E6+35)</f>
        <v>211.913580246913</v>
      </c>
      <c r="AH8" s="64" t="n">
        <f aca="false">IFERROR(AF8/(2_Market_Gross_USD!E6+35),0)</f>
        <v>1.1296107524446</v>
      </c>
      <c r="AI8" s="63" t="n">
        <f aca="false">2_Market_Gross_USD!E6*(1-0.065)</f>
        <v>1496</v>
      </c>
      <c r="AJ8" s="53" t="n">
        <f aca="false">AI8/0.72</f>
        <v>2077.77777777778</v>
      </c>
      <c r="AK8" s="54" t="n">
        <f aca="false">AJ8*0.15+500</f>
        <v>811.666666666667</v>
      </c>
      <c r="AL8" s="55" t="n">
        <f aca="false">AJ8+AK8</f>
        <v>2889.44444444444</v>
      </c>
      <c r="AM8" s="54" t="n">
        <f aca="false">AL8-(2_Market_Gross_USD!E6+35)</f>
        <v>1254.44444444444</v>
      </c>
      <c r="AN8" s="64" t="n">
        <f aca="false">IFERROR(AL8/(2_Market_Gross_USD!E6+35),0)</f>
        <v>1.76724430852871</v>
      </c>
      <c r="AO8" s="63" t="n">
        <f aca="false">2_Market_Gross_USD!E6*(1-0.065)</f>
        <v>1496</v>
      </c>
      <c r="AP8" s="53" t="n">
        <f aca="false">AO8/0.7035</f>
        <v>2126.51030561478</v>
      </c>
      <c r="AQ8" s="54" t="n">
        <f aca="false">AP8*0.11+0</f>
        <v>233.916133617626</v>
      </c>
      <c r="AR8" s="55" t="n">
        <f aca="false">AP8+AQ8</f>
        <v>2360.42643923241</v>
      </c>
      <c r="AS8" s="54" t="n">
        <f aca="false">AR8-(2_Market_Gross_USD!E6+35)</f>
        <v>725.426439232409</v>
      </c>
      <c r="AT8" s="64" t="n">
        <f aca="false">IFERROR(AR8/(2_Market_Gross_USD!E6+35),0)</f>
        <v>1.44368589555499</v>
      </c>
      <c r="AU8" s="63" t="n">
        <f aca="false">2_Market_Gross_USD!E6*(1-0.065)</f>
        <v>1496</v>
      </c>
      <c r="AV8" s="53" t="n">
        <f aca="false">AU8/0.627</f>
        <v>2385.9649122807</v>
      </c>
      <c r="AW8" s="54" t="n">
        <f aca="false">AV8*0+0</f>
        <v>0</v>
      </c>
      <c r="AX8" s="55" t="n">
        <f aca="false">AV8+AW8</f>
        <v>2385.9649122807</v>
      </c>
      <c r="AY8" s="54" t="n">
        <f aca="false">AX8-(2_Market_Gross_USD!E6+35)</f>
        <v>750.964912280702</v>
      </c>
      <c r="AZ8" s="64" t="n">
        <f aca="false">IFERROR(AX8/(2_Market_Gross_USD!E6+35),0)</f>
        <v>1.45930575674661</v>
      </c>
      <c r="BA8" s="63" t="n">
        <f aca="false">2_Market_Gross_USD!E6*(1-0.065)</f>
        <v>1496</v>
      </c>
      <c r="BB8" s="53" t="n">
        <f aca="false">BA8/0.7035</f>
        <v>2126.51030561478</v>
      </c>
      <c r="BC8" s="54" t="n">
        <f aca="false">BB8*0.11+500</f>
        <v>733.916133617626</v>
      </c>
      <c r="BD8" s="55" t="n">
        <f aca="false">BB8+BC8</f>
        <v>2860.42643923241</v>
      </c>
      <c r="BE8" s="54" t="n">
        <f aca="false">BD8-(2_Market_Gross_USD!E6+35)</f>
        <v>1225.42643923241</v>
      </c>
      <c r="BF8" s="64" t="n">
        <f aca="false">IFERROR(BD8/(2_Market_Gross_USD!E6+35),0)</f>
        <v>1.74949629310851</v>
      </c>
      <c r="BG8" s="63" t="n">
        <f aca="false">2_Market_Gross_USD!E6*(1-0.065)</f>
        <v>1496</v>
      </c>
      <c r="BH8" s="53" t="n">
        <f aca="false">BG8/0.5215</f>
        <v>2868.6481303931</v>
      </c>
      <c r="BI8" s="54" t="n">
        <f aca="false">BH8*0.21+0</f>
        <v>602.41610738255</v>
      </c>
      <c r="BJ8" s="55" t="n">
        <f aca="false">BH8+BI8</f>
        <v>3471.06423777565</v>
      </c>
      <c r="BK8" s="54" t="n">
        <f aca="false">BJ8-(2_Market_Gross_USD!E6+35)</f>
        <v>1836.06423777565</v>
      </c>
      <c r="BL8" s="64" t="n">
        <f aca="false">IFERROR(BJ8/(2_Market_Gross_USD!E6+35),0)</f>
        <v>2.12297506897593</v>
      </c>
      <c r="BM8" s="63" t="n">
        <f aca="false">2_Market_Gross_USD!E6*(1-0.065)</f>
        <v>1496</v>
      </c>
      <c r="BN8" s="53" t="n">
        <f aca="false">BM8/0.75</f>
        <v>1994.66666666667</v>
      </c>
      <c r="BO8" s="54" t="n">
        <f aca="false">BN8*0+0</f>
        <v>0</v>
      </c>
      <c r="BP8" s="55" t="n">
        <f aca="false">BN8+BO8</f>
        <v>1994.66666666667</v>
      </c>
      <c r="BQ8" s="54" t="n">
        <f aca="false">BP8-(2_Market_Gross_USD!E6+35)</f>
        <v>359.666666666667</v>
      </c>
      <c r="BR8" s="64" t="n">
        <f aca="false">IFERROR(BP8/(2_Market_Gross_USD!E6+35),0)</f>
        <v>1.21997961264016</v>
      </c>
      <c r="BS8" s="63" t="n">
        <f aca="false">2_Market_Gross_USD!E6*(1-0.065)</f>
        <v>1496</v>
      </c>
      <c r="BT8" s="53" t="n">
        <f aca="false">BS8/0.5215</f>
        <v>2868.6481303931</v>
      </c>
      <c r="BU8" s="54" t="n">
        <f aca="false">BT8*0.21+500</f>
        <v>1102.41610738255</v>
      </c>
      <c r="BV8" s="55" t="n">
        <f aca="false">BT8+BU8</f>
        <v>3971.06423777565</v>
      </c>
      <c r="BW8" s="54" t="n">
        <f aca="false">BV8-(2_Market_Gross_USD!E6+35)</f>
        <v>2336.06423777565</v>
      </c>
      <c r="BX8" s="64" t="n">
        <f aca="false">IFERROR(BV8/(2_Market_Gross_USD!E6+35),0)</f>
        <v>2.42878546652945</v>
      </c>
      <c r="BY8" s="63" t="n">
        <f aca="false">2_Market_Gross_USD!E6*(1-0.065)</f>
        <v>1496</v>
      </c>
      <c r="BZ8" s="53" t="n">
        <f aca="false">BY8/0.6303</f>
        <v>2373.47294938918</v>
      </c>
      <c r="CA8" s="54" t="n">
        <f aca="false">BZ8*0.2+0</f>
        <v>474.694589877836</v>
      </c>
      <c r="CB8" s="55" t="n">
        <f aca="false">BZ8+CA8</f>
        <v>2848.16753926702</v>
      </c>
      <c r="CC8" s="54" t="n">
        <f aca="false">CB8-(2_Market_Gross_USD!E6+35)</f>
        <v>1213.16753926702</v>
      </c>
      <c r="CD8" s="64" t="n">
        <f aca="false">IFERROR(CB8/(2_Market_Gross_USD!E6+35),0)</f>
        <v>1.74199849496454</v>
      </c>
      <c r="CE8" s="63" t="n">
        <f aca="false">2_Market_Gross_USD!E6*(1-0.065)</f>
        <v>1496</v>
      </c>
      <c r="CF8" s="53" t="n">
        <f aca="false">CE8/0.6303</f>
        <v>2373.47294938918</v>
      </c>
      <c r="CG8" s="54" t="n">
        <f aca="false">CF8*0+0</f>
        <v>0</v>
      </c>
      <c r="CH8" s="55" t="n">
        <f aca="false">CF8+CG8</f>
        <v>2373.47294938918</v>
      </c>
      <c r="CI8" s="54" t="n">
        <f aca="false">CH8-(2_Market_Gross_USD!E6+35)</f>
        <v>738.47294938918</v>
      </c>
      <c r="CJ8" s="64" t="n">
        <f aca="false">IFERROR(CH8/(2_Market_Gross_USD!E6+35),0)</f>
        <v>1.45166541247045</v>
      </c>
      <c r="CK8" s="63" t="n">
        <f aca="false">2_Market_Gross_USD!E6*(1-0.065)</f>
        <v>1496</v>
      </c>
      <c r="CL8" s="53" t="n">
        <f aca="false">CK8/0.6303</f>
        <v>2373.47294938918</v>
      </c>
      <c r="CM8" s="54" t="n">
        <f aca="false">CL8*0.2+500</f>
        <v>974.694589877836</v>
      </c>
      <c r="CN8" s="55" t="n">
        <f aca="false">CL8+CM8</f>
        <v>3348.16753926702</v>
      </c>
      <c r="CO8" s="54" t="n">
        <f aca="false">CN8-(2_Market_Gross_USD!E6+35)</f>
        <v>1713.16753926702</v>
      </c>
      <c r="CP8" s="64" t="n">
        <f aca="false">IFERROR(CN8/(2_Market_Gross_USD!E6+35),0)</f>
        <v>2.04780889251805</v>
      </c>
      <c r="CQ8" s="63" t="n">
        <f aca="false">2_Market_Gross_USD!E6*(1-0.065)</f>
        <v>1496</v>
      </c>
      <c r="CR8" s="53" t="n">
        <f aca="false">CQ8/0.74</f>
        <v>2021.62162162162</v>
      </c>
      <c r="CS8" s="54" t="n">
        <f aca="false">CR8*0.338+0</f>
        <v>683.308108108108</v>
      </c>
      <c r="CT8" s="55" t="n">
        <f aca="false">CR8+CS8</f>
        <v>2704.92972972973</v>
      </c>
      <c r="CU8" s="54" t="n">
        <f aca="false">CT8-(2_Market_Gross_USD!E6+35)</f>
        <v>1069.92972972973</v>
      </c>
      <c r="CV8" s="64" t="n">
        <f aca="false">IFERROR(CT8/(2_Market_Gross_USD!E6+35),0)</f>
        <v>1.65439127200595</v>
      </c>
      <c r="CW8" s="63" t="n">
        <f aca="false">2_Market_Gross_USD!E6*(1-0.065)</f>
        <v>1496</v>
      </c>
      <c r="CX8" s="53" t="n">
        <f aca="false">CW8/0.85</f>
        <v>1760</v>
      </c>
      <c r="CY8" s="54" t="n">
        <f aca="false">CX8*0+0</f>
        <v>0</v>
      </c>
      <c r="CZ8" s="55" t="n">
        <f aca="false">CX8+CY8</f>
        <v>1760</v>
      </c>
      <c r="DA8" s="54" t="n">
        <f aca="false">CZ8-(2_Market_Gross_USD!E6+35)</f>
        <v>125</v>
      </c>
      <c r="DB8" s="64" t="n">
        <f aca="false">IFERROR(CZ8/(2_Market_Gross_USD!E6+35),0)</f>
        <v>1.07645259938838</v>
      </c>
      <c r="DC8" s="63" t="n">
        <f aca="false">2_Market_Gross_USD!E6*(1-0.065)</f>
        <v>1496</v>
      </c>
      <c r="DD8" s="53" t="n">
        <f aca="false">DC8/0.74</f>
        <v>2021.62162162162</v>
      </c>
      <c r="DE8" s="54" t="n">
        <f aca="false">DD8*0.338+500</f>
        <v>1183.30810810811</v>
      </c>
      <c r="DF8" s="55" t="n">
        <f aca="false">DD8+DE8</f>
        <v>3204.92972972973</v>
      </c>
      <c r="DG8" s="54" t="n">
        <f aca="false">DF8-(2_Market_Gross_USD!E6+35)</f>
        <v>1569.92972972973</v>
      </c>
      <c r="DH8" s="64" t="n">
        <f aca="false">IFERROR(DF8/(2_Market_Gross_USD!E6+35),0)</f>
        <v>1.96020166955947</v>
      </c>
      <c r="DI8" s="63" t="n">
        <f aca="false">2_Market_Gross_USD!E6*(1-0.065)</f>
        <v>1496</v>
      </c>
      <c r="DJ8" s="53" t="n">
        <f aca="false">DI8/0.66</f>
        <v>2266.66666666667</v>
      </c>
      <c r="DK8" s="54" t="n">
        <f aca="false">DJ8*0.2375+0</f>
        <v>538.333333333333</v>
      </c>
      <c r="DL8" s="55" t="n">
        <f aca="false">DJ8+DK8</f>
        <v>2805</v>
      </c>
      <c r="DM8" s="54" t="n">
        <f aca="false">DL8-(2_Market_Gross_USD!E6+35)</f>
        <v>1170</v>
      </c>
      <c r="DN8" s="64" t="n">
        <f aca="false">IFERROR(DL8/(2_Market_Gross_USD!E6+35),0)</f>
        <v>1.71559633027523</v>
      </c>
      <c r="DO8" s="63" t="n">
        <f aca="false">2_Market_Gross_USD!E6*(1-0.065)</f>
        <v>1496</v>
      </c>
      <c r="DP8" s="53" t="n">
        <f aca="false">DO8/0.8</f>
        <v>1870</v>
      </c>
      <c r="DQ8" s="54" t="n">
        <f aca="false">DP8*0+0</f>
        <v>0</v>
      </c>
      <c r="DR8" s="55" t="n">
        <f aca="false">DP8+DQ8</f>
        <v>1870</v>
      </c>
      <c r="DS8" s="54" t="n">
        <f aca="false">DR8-(2_Market_Gross_USD!E6+35)</f>
        <v>235</v>
      </c>
      <c r="DT8" s="64" t="n">
        <f aca="false">IFERROR(DR8/(2_Market_Gross_USD!E6+35),0)</f>
        <v>1.14373088685015</v>
      </c>
      <c r="DU8" s="63" t="n">
        <f aca="false">2_Market_Gross_USD!E6*(1-0.065)</f>
        <v>1496</v>
      </c>
      <c r="DV8" s="53" t="n">
        <f aca="false">DU8/0.66</f>
        <v>2266.66666666667</v>
      </c>
      <c r="DW8" s="54" t="n">
        <f aca="false">DV8*0.2375+500</f>
        <v>1038.33333333333</v>
      </c>
      <c r="DX8" s="55" t="n">
        <f aca="false">DV8+DW8</f>
        <v>3305</v>
      </c>
      <c r="DY8" s="54" t="n">
        <f aca="false">DX8-(2_Market_Gross_USD!E6+35)</f>
        <v>1670</v>
      </c>
      <c r="DZ8" s="64" t="n">
        <f aca="false">IFERROR(DX8/(2_Market_Gross_USD!E6+35),0)</f>
        <v>2.02140672782875</v>
      </c>
      <c r="EA8" s="63" t="n">
        <f aca="false">2_Market_Gross_USD!E6*(1-0.065)</f>
        <v>1496</v>
      </c>
      <c r="EB8" s="53" t="n">
        <f aca="false">EA8/0.65</f>
        <v>2301.53846153846</v>
      </c>
      <c r="EC8" s="54" t="n">
        <f aca="false">EB8*0.0225+0</f>
        <v>51.7846153846154</v>
      </c>
      <c r="ED8" s="55" t="n">
        <f aca="false">EB8+EC8</f>
        <v>2353.32307692308</v>
      </c>
      <c r="EE8" s="54" t="n">
        <f aca="false">ED8-(2_Market_Gross_USD!E6+35)</f>
        <v>718.323076923077</v>
      </c>
      <c r="EF8" s="64" t="n">
        <f aca="false">IFERROR(ED8/(2_Market_Gross_USD!E6+35),0)</f>
        <v>1.43934133145142</v>
      </c>
      <c r="EG8" s="63" t="n">
        <f aca="false">2_Market_Gross_USD!E6*(1-0.065)</f>
        <v>1496</v>
      </c>
      <c r="EH8" s="53" t="n">
        <f aca="false">EG8/0.99</f>
        <v>1511.11111111111</v>
      </c>
      <c r="EI8" s="54" t="n">
        <f aca="false">EH8*0+0</f>
        <v>0</v>
      </c>
      <c r="EJ8" s="55" t="n">
        <f aca="false">EH8+EI8</f>
        <v>1511.11111111111</v>
      </c>
      <c r="EK8" s="54" t="n">
        <f aca="false">EJ8-(2_Market_Gross_USD!E6+35)</f>
        <v>-123.888888888889</v>
      </c>
      <c r="EL8" s="64" t="n">
        <f aca="false">IFERROR(EJ8/(2_Market_Gross_USD!E6+35),0)</f>
        <v>0.924226979272851</v>
      </c>
      <c r="EM8" s="63" t="n">
        <f aca="false">2_Market_Gross_USD!E6*(1-0.065)</f>
        <v>1496</v>
      </c>
      <c r="EN8" s="53" t="n">
        <f aca="false">EM8/0.65</f>
        <v>2301.53846153846</v>
      </c>
      <c r="EO8" s="54" t="n">
        <f aca="false">EN8*0.0225+500</f>
        <v>551.784615384615</v>
      </c>
      <c r="EP8" s="55" t="n">
        <f aca="false">EN8+EO8</f>
        <v>2853.32307692308</v>
      </c>
      <c r="EQ8" s="54" t="n">
        <f aca="false">EP8-(2_Market_Gross_USD!E6+35)</f>
        <v>1218.32307692308</v>
      </c>
      <c r="ER8" s="64" t="n">
        <f aca="false">IFERROR(EP8/(2_Market_Gross_USD!E6+35),0)</f>
        <v>1.74515172900494</v>
      </c>
    </row>
    <row r="9" customFormat="false" ht="15" hidden="false" customHeight="false" outlineLevel="0" collapsed="false">
      <c r="A9" s="41" t="n">
        <v>4</v>
      </c>
      <c r="B9" s="28" t="s">
        <v>246</v>
      </c>
      <c r="C9" s="8" t="s">
        <v>250</v>
      </c>
      <c r="D9" s="65" t="s">
        <v>249</v>
      </c>
      <c r="E9" s="63" t="n">
        <f aca="false">2_Market_Gross_USD!E7*(1-0.065)</f>
        <v>4207.5</v>
      </c>
      <c r="F9" s="53" t="n">
        <f aca="false">E9/0.7429</f>
        <v>5663.61556064073</v>
      </c>
      <c r="G9" s="58" t="n">
        <f aca="false">F9*0.2038+0</f>
        <v>1154.24485125858</v>
      </c>
      <c r="H9" s="55" t="n">
        <f aca="false">F9+G9</f>
        <v>6817.86041189931</v>
      </c>
      <c r="I9" s="58" t="n">
        <f aca="false">H9-(2_Market_Gross_USD!E7+35)</f>
        <v>2282.86041189931</v>
      </c>
      <c r="J9" s="66" t="n">
        <f aca="false">IFERROR(H9/(2_Market_Gross_USD!E7+35),0)</f>
        <v>1.50338708090393</v>
      </c>
      <c r="K9" s="63" t="n">
        <f aca="false">2_Market_Gross_USD!E7*(1-0.065)</f>
        <v>4207.5</v>
      </c>
      <c r="L9" s="53" t="n">
        <f aca="false">K9/0.88</f>
        <v>4781.25</v>
      </c>
      <c r="M9" s="58" t="n">
        <f aca="false">L9*0+0</f>
        <v>0</v>
      </c>
      <c r="N9" s="55" t="n">
        <f aca="false">L9+M9</f>
        <v>4781.25</v>
      </c>
      <c r="O9" s="58" t="n">
        <f aca="false">N9-(2_Market_Gross_USD!E7+35)</f>
        <v>246.25</v>
      </c>
      <c r="P9" s="66" t="n">
        <f aca="false">IFERROR(N9/(2_Market_Gross_USD!E7+35),0)</f>
        <v>1.05429988974642</v>
      </c>
      <c r="Q9" s="63" t="n">
        <f aca="false">2_Market_Gross_USD!E7*(1-0.065)</f>
        <v>4207.5</v>
      </c>
      <c r="R9" s="53" t="n">
        <f aca="false">Q9/0.7429</f>
        <v>5663.61556064073</v>
      </c>
      <c r="S9" s="58" t="n">
        <f aca="false">R9*0.2038+500</f>
        <v>1654.24485125858</v>
      </c>
      <c r="T9" s="55" t="n">
        <f aca="false">R9+S9</f>
        <v>7317.86041189931</v>
      </c>
      <c r="U9" s="58" t="n">
        <f aca="false">T9-(2_Market_Gross_USD!E7+35)</f>
        <v>2782.86041189931</v>
      </c>
      <c r="V9" s="66" t="n">
        <f aca="false">IFERROR(T9/(2_Market_Gross_USD!E7+35),0)</f>
        <v>1.61364066414538</v>
      </c>
      <c r="W9" s="63" t="n">
        <f aca="false">2_Market_Gross_USD!E7*(1-0.065)</f>
        <v>4207.5</v>
      </c>
      <c r="X9" s="53" t="n">
        <f aca="false">W9/0.72</f>
        <v>5843.75</v>
      </c>
      <c r="Y9" s="58" t="n">
        <f aca="false">X9*0.15+0</f>
        <v>876.5625</v>
      </c>
      <c r="Z9" s="55" t="n">
        <f aca="false">X9+Y9</f>
        <v>6720.3125</v>
      </c>
      <c r="AA9" s="58" t="n">
        <f aca="false">Z9-(2_Market_Gross_USD!E7+35)</f>
        <v>2185.3125</v>
      </c>
      <c r="AB9" s="66" t="n">
        <f aca="false">IFERROR(Z9/(2_Market_Gross_USD!E7+35),0)</f>
        <v>1.48187706725469</v>
      </c>
      <c r="AC9" s="63" t="n">
        <f aca="false">2_Market_Gross_USD!E7*(1-0.065)</f>
        <v>4207.5</v>
      </c>
      <c r="AD9" s="53" t="n">
        <f aca="false">AC9/0.81</f>
        <v>5194.44444444444</v>
      </c>
      <c r="AE9" s="58" t="n">
        <f aca="false">AD9*0+0</f>
        <v>0</v>
      </c>
      <c r="AF9" s="55" t="n">
        <f aca="false">AD9+AE9</f>
        <v>5194.44444444444</v>
      </c>
      <c r="AG9" s="58" t="n">
        <f aca="false">AF9-(2_Market_Gross_USD!E7+35)</f>
        <v>659.444444444444</v>
      </c>
      <c r="AH9" s="66" t="n">
        <f aca="false">IFERROR(AF9/(2_Market_Gross_USD!E7+35),0)</f>
        <v>1.14541222589734</v>
      </c>
      <c r="AI9" s="63" t="n">
        <f aca="false">2_Market_Gross_USD!E7*(1-0.065)</f>
        <v>4207.5</v>
      </c>
      <c r="AJ9" s="53" t="n">
        <f aca="false">AI9/0.72</f>
        <v>5843.75</v>
      </c>
      <c r="AK9" s="58" t="n">
        <f aca="false">AJ9*0.15+500</f>
        <v>1376.5625</v>
      </c>
      <c r="AL9" s="55" t="n">
        <f aca="false">AJ9+AK9</f>
        <v>7220.3125</v>
      </c>
      <c r="AM9" s="58" t="n">
        <f aca="false">AL9-(2_Market_Gross_USD!E7+35)</f>
        <v>2685.3125</v>
      </c>
      <c r="AN9" s="66" t="n">
        <f aca="false">IFERROR(AL9/(2_Market_Gross_USD!E7+35),0)</f>
        <v>1.59213065049614</v>
      </c>
      <c r="AO9" s="63" t="n">
        <f aca="false">2_Market_Gross_USD!E7*(1-0.065)</f>
        <v>4207.5</v>
      </c>
      <c r="AP9" s="53" t="n">
        <f aca="false">AO9/0.7035</f>
        <v>5980.81023454158</v>
      </c>
      <c r="AQ9" s="58" t="n">
        <f aca="false">AP9*0.11+0</f>
        <v>657.889125799574</v>
      </c>
      <c r="AR9" s="55" t="n">
        <f aca="false">AP9+AQ9</f>
        <v>6638.69936034115</v>
      </c>
      <c r="AS9" s="58" t="n">
        <f aca="false">AR9-(2_Market_Gross_USD!E7+35)</f>
        <v>2103.69936034115</v>
      </c>
      <c r="AT9" s="66" t="n">
        <f aca="false">IFERROR(AR9/(2_Market_Gross_USD!E7+35),0)</f>
        <v>1.46388078508074</v>
      </c>
      <c r="AU9" s="63" t="n">
        <f aca="false">2_Market_Gross_USD!E7*(1-0.065)</f>
        <v>4207.5</v>
      </c>
      <c r="AV9" s="53" t="n">
        <f aca="false">AU9/0.627</f>
        <v>6710.52631578947</v>
      </c>
      <c r="AW9" s="58" t="n">
        <f aca="false">AV9*0+0</f>
        <v>0</v>
      </c>
      <c r="AX9" s="55" t="n">
        <f aca="false">AV9+AW9</f>
        <v>6710.52631578947</v>
      </c>
      <c r="AY9" s="58" t="n">
        <f aca="false">AX9-(2_Market_Gross_USD!E7+35)</f>
        <v>2175.52631578947</v>
      </c>
      <c r="AZ9" s="66" t="n">
        <f aca="false">IFERROR(AX9/(2_Market_Gross_USD!E7+35),0)</f>
        <v>1.47971914350374</v>
      </c>
      <c r="BA9" s="63" t="n">
        <f aca="false">2_Market_Gross_USD!E7*(1-0.065)</f>
        <v>4207.5</v>
      </c>
      <c r="BB9" s="53" t="n">
        <f aca="false">BA9/0.7035</f>
        <v>5980.81023454158</v>
      </c>
      <c r="BC9" s="58" t="n">
        <f aca="false">BB9*0.11+500</f>
        <v>1157.88912579957</v>
      </c>
      <c r="BD9" s="55" t="n">
        <f aca="false">BB9+BC9</f>
        <v>7138.69936034115</v>
      </c>
      <c r="BE9" s="58" t="n">
        <f aca="false">BD9-(2_Market_Gross_USD!E7+35)</f>
        <v>2603.69936034115</v>
      </c>
      <c r="BF9" s="66" t="n">
        <f aca="false">IFERROR(BD9/(2_Market_Gross_USD!E7+35),0)</f>
        <v>1.57413436832219</v>
      </c>
      <c r="BG9" s="63" t="n">
        <f aca="false">2_Market_Gross_USD!E7*(1-0.065)</f>
        <v>4207.5</v>
      </c>
      <c r="BH9" s="53" t="n">
        <f aca="false">BG9/0.5215</f>
        <v>8068.07286673059</v>
      </c>
      <c r="BI9" s="58" t="n">
        <f aca="false">BH9*0.21+0</f>
        <v>1694.29530201342</v>
      </c>
      <c r="BJ9" s="55" t="n">
        <f aca="false">BH9+BI9</f>
        <v>9762.36816874401</v>
      </c>
      <c r="BK9" s="58" t="n">
        <f aca="false">BJ9-(2_Market_Gross_USD!E7+35)</f>
        <v>5227.36816874401</v>
      </c>
      <c r="BL9" s="66" t="n">
        <f aca="false">IFERROR(BJ9/(2_Market_Gross_USD!E7+35),0)</f>
        <v>2.1526721430527</v>
      </c>
      <c r="BM9" s="63" t="n">
        <f aca="false">2_Market_Gross_USD!E7*(1-0.065)</f>
        <v>4207.5</v>
      </c>
      <c r="BN9" s="53" t="n">
        <f aca="false">BM9/0.75</f>
        <v>5610</v>
      </c>
      <c r="BO9" s="58" t="n">
        <f aca="false">BN9*0+0</f>
        <v>0</v>
      </c>
      <c r="BP9" s="55" t="n">
        <f aca="false">BN9+BO9</f>
        <v>5610</v>
      </c>
      <c r="BQ9" s="58" t="n">
        <f aca="false">BP9-(2_Market_Gross_USD!E7+35)</f>
        <v>1075</v>
      </c>
      <c r="BR9" s="66" t="n">
        <f aca="false">IFERROR(BP9/(2_Market_Gross_USD!E7+35),0)</f>
        <v>1.23704520396913</v>
      </c>
      <c r="BS9" s="63" t="n">
        <f aca="false">2_Market_Gross_USD!E7*(1-0.065)</f>
        <v>4207.5</v>
      </c>
      <c r="BT9" s="53" t="n">
        <f aca="false">BS9/0.5215</f>
        <v>8068.07286673059</v>
      </c>
      <c r="BU9" s="58" t="n">
        <f aca="false">BT9*0.21+500</f>
        <v>2194.29530201342</v>
      </c>
      <c r="BV9" s="55" t="n">
        <f aca="false">BT9+BU9</f>
        <v>10262.368168744</v>
      </c>
      <c r="BW9" s="58" t="n">
        <f aca="false">BV9-(2_Market_Gross_USD!E7+35)</f>
        <v>5727.36816874401</v>
      </c>
      <c r="BX9" s="66" t="n">
        <f aca="false">IFERROR(BV9/(2_Market_Gross_USD!E7+35),0)</f>
        <v>2.26292572629416</v>
      </c>
      <c r="BY9" s="63" t="n">
        <f aca="false">2_Market_Gross_USD!E7*(1-0.065)</f>
        <v>4207.5</v>
      </c>
      <c r="BZ9" s="53" t="n">
        <f aca="false">BY9/0.6303</f>
        <v>6675.39267015707</v>
      </c>
      <c r="CA9" s="58" t="n">
        <f aca="false">BZ9*0.2+0</f>
        <v>1335.07853403141</v>
      </c>
      <c r="CB9" s="55" t="n">
        <f aca="false">BZ9+CA9</f>
        <v>8010.47120418848</v>
      </c>
      <c r="CC9" s="58" t="n">
        <f aca="false">CB9-(2_Market_Gross_USD!E7+35)</f>
        <v>3475.47120418848</v>
      </c>
      <c r="CD9" s="66" t="n">
        <f aca="false">IFERROR(CB9/(2_Market_Gross_USD!E7+35),0)</f>
        <v>1.76636630742855</v>
      </c>
      <c r="CE9" s="63" t="n">
        <f aca="false">2_Market_Gross_USD!E7*(1-0.065)</f>
        <v>4207.5</v>
      </c>
      <c r="CF9" s="53" t="n">
        <f aca="false">CE9/0.6303</f>
        <v>6675.39267015707</v>
      </c>
      <c r="CG9" s="58" t="n">
        <f aca="false">CF9*0+0</f>
        <v>0</v>
      </c>
      <c r="CH9" s="55" t="n">
        <f aca="false">CF9+CG9</f>
        <v>6675.39267015707</v>
      </c>
      <c r="CI9" s="58" t="n">
        <f aca="false">CH9-(2_Market_Gross_USD!E7+35)</f>
        <v>2140.39267015707</v>
      </c>
      <c r="CJ9" s="66" t="n">
        <f aca="false">IFERROR(CH9/(2_Market_Gross_USD!E7+35),0)</f>
        <v>1.47197192285713</v>
      </c>
      <c r="CK9" s="63" t="n">
        <f aca="false">2_Market_Gross_USD!E7*(1-0.065)</f>
        <v>4207.5</v>
      </c>
      <c r="CL9" s="53" t="n">
        <f aca="false">CK9/0.6303</f>
        <v>6675.39267015707</v>
      </c>
      <c r="CM9" s="58" t="n">
        <f aca="false">CL9*0.2+500</f>
        <v>1835.07853403141</v>
      </c>
      <c r="CN9" s="55" t="n">
        <f aca="false">CL9+CM9</f>
        <v>8510.47120418848</v>
      </c>
      <c r="CO9" s="58" t="n">
        <f aca="false">CN9-(2_Market_Gross_USD!E7+35)</f>
        <v>3975.47120418848</v>
      </c>
      <c r="CP9" s="66" t="n">
        <f aca="false">IFERROR(CN9/(2_Market_Gross_USD!E7+35),0)</f>
        <v>1.87661989067001</v>
      </c>
      <c r="CQ9" s="63" t="n">
        <f aca="false">2_Market_Gross_USD!E7*(1-0.065)</f>
        <v>4207.5</v>
      </c>
      <c r="CR9" s="53" t="n">
        <f aca="false">CQ9/0.74</f>
        <v>5685.81081081081</v>
      </c>
      <c r="CS9" s="58" t="n">
        <f aca="false">CR9*0.338+0</f>
        <v>1921.80405405405</v>
      </c>
      <c r="CT9" s="55" t="n">
        <f aca="false">CR9+CS9</f>
        <v>7607.61486486487</v>
      </c>
      <c r="CU9" s="58" t="n">
        <f aca="false">CT9-(2_Market_Gross_USD!E7+35)</f>
        <v>3072.61486486487</v>
      </c>
      <c r="CV9" s="66" t="n">
        <f aca="false">IFERROR(CT9/(2_Market_Gross_USD!E7+35),0)</f>
        <v>1.67753359754462</v>
      </c>
      <c r="CW9" s="63" t="n">
        <f aca="false">2_Market_Gross_USD!E7*(1-0.065)</f>
        <v>4207.5</v>
      </c>
      <c r="CX9" s="53" t="n">
        <f aca="false">CW9/0.85</f>
        <v>4950</v>
      </c>
      <c r="CY9" s="58" t="n">
        <f aca="false">CX9*0+0</f>
        <v>0</v>
      </c>
      <c r="CZ9" s="55" t="n">
        <f aca="false">CX9+CY9</f>
        <v>4950</v>
      </c>
      <c r="DA9" s="58" t="n">
        <f aca="false">CZ9-(2_Market_Gross_USD!E7+35)</f>
        <v>415</v>
      </c>
      <c r="DB9" s="66" t="n">
        <f aca="false">IFERROR(CZ9/(2_Market_Gross_USD!E7+35),0)</f>
        <v>1.09151047409041</v>
      </c>
      <c r="DC9" s="63" t="n">
        <f aca="false">2_Market_Gross_USD!E7*(1-0.065)</f>
        <v>4207.5</v>
      </c>
      <c r="DD9" s="53" t="n">
        <f aca="false">DC9/0.74</f>
        <v>5685.81081081081</v>
      </c>
      <c r="DE9" s="58" t="n">
        <f aca="false">DD9*0.338+500</f>
        <v>2421.80405405405</v>
      </c>
      <c r="DF9" s="55" t="n">
        <f aca="false">DD9+DE9</f>
        <v>8107.61486486487</v>
      </c>
      <c r="DG9" s="58" t="n">
        <f aca="false">DF9-(2_Market_Gross_USD!E7+35)</f>
        <v>3572.61486486487</v>
      </c>
      <c r="DH9" s="66" t="n">
        <f aca="false">IFERROR(DF9/(2_Market_Gross_USD!E7+35),0)</f>
        <v>1.78778718078608</v>
      </c>
      <c r="DI9" s="63" t="n">
        <f aca="false">2_Market_Gross_USD!E7*(1-0.065)</f>
        <v>4207.5</v>
      </c>
      <c r="DJ9" s="53" t="n">
        <f aca="false">DI9/0.66</f>
        <v>6375</v>
      </c>
      <c r="DK9" s="58" t="n">
        <f aca="false">DJ9*0.2375+0</f>
        <v>1514.0625</v>
      </c>
      <c r="DL9" s="55" t="n">
        <f aca="false">DJ9+DK9</f>
        <v>7889.0625</v>
      </c>
      <c r="DM9" s="58" t="n">
        <f aca="false">DL9-(2_Market_Gross_USD!E7+35)</f>
        <v>3354.0625</v>
      </c>
      <c r="DN9" s="66" t="n">
        <f aca="false">IFERROR(DL9/(2_Market_Gross_USD!E7+35),0)</f>
        <v>1.73959481808159</v>
      </c>
      <c r="DO9" s="63" t="n">
        <f aca="false">2_Market_Gross_USD!E7*(1-0.065)</f>
        <v>4207.5</v>
      </c>
      <c r="DP9" s="53" t="n">
        <f aca="false">DO9/0.8</f>
        <v>5259.375</v>
      </c>
      <c r="DQ9" s="58" t="n">
        <f aca="false">DP9*0+0</f>
        <v>0</v>
      </c>
      <c r="DR9" s="55" t="n">
        <f aca="false">DP9+DQ9</f>
        <v>5259.375</v>
      </c>
      <c r="DS9" s="58" t="n">
        <f aca="false">DR9-(2_Market_Gross_USD!E7+35)</f>
        <v>724.375</v>
      </c>
      <c r="DT9" s="66" t="n">
        <f aca="false">IFERROR(DR9/(2_Market_Gross_USD!E7+35),0)</f>
        <v>1.15972987872106</v>
      </c>
      <c r="DU9" s="63" t="n">
        <f aca="false">2_Market_Gross_USD!E7*(1-0.065)</f>
        <v>4207.5</v>
      </c>
      <c r="DV9" s="53" t="n">
        <f aca="false">DU9/0.66</f>
        <v>6375</v>
      </c>
      <c r="DW9" s="58" t="n">
        <f aca="false">DV9*0.2375+500</f>
        <v>2014.0625</v>
      </c>
      <c r="DX9" s="55" t="n">
        <f aca="false">DV9+DW9</f>
        <v>8389.0625</v>
      </c>
      <c r="DY9" s="58" t="n">
        <f aca="false">DX9-(2_Market_Gross_USD!E7+35)</f>
        <v>3854.0625</v>
      </c>
      <c r="DZ9" s="66" t="n">
        <f aca="false">IFERROR(DX9/(2_Market_Gross_USD!E7+35),0)</f>
        <v>1.84984840132304</v>
      </c>
      <c r="EA9" s="63" t="n">
        <f aca="false">2_Market_Gross_USD!E7*(1-0.065)</f>
        <v>4207.5</v>
      </c>
      <c r="EB9" s="53" t="n">
        <f aca="false">EA9/0.65</f>
        <v>6473.07692307692</v>
      </c>
      <c r="EC9" s="58" t="n">
        <f aca="false">EB9*0.0225+0</f>
        <v>145.644230769231</v>
      </c>
      <c r="ED9" s="55" t="n">
        <f aca="false">EB9+EC9</f>
        <v>6618.72115384615</v>
      </c>
      <c r="EE9" s="58" t="n">
        <f aca="false">ED9-(2_Market_Gross_USD!E7+35)</f>
        <v>2083.72115384615</v>
      </c>
      <c r="EF9" s="66" t="n">
        <f aca="false">IFERROR(ED9/(2_Market_Gross_USD!E7+35),0)</f>
        <v>1.45947544737512</v>
      </c>
      <c r="EG9" s="63" t="n">
        <f aca="false">2_Market_Gross_USD!E7*(1-0.065)</f>
        <v>4207.5</v>
      </c>
      <c r="EH9" s="53" t="n">
        <f aca="false">EG9/0.99</f>
        <v>4250</v>
      </c>
      <c r="EI9" s="58" t="n">
        <f aca="false">EH9*0+0</f>
        <v>0</v>
      </c>
      <c r="EJ9" s="55" t="n">
        <f aca="false">EH9+EI9</f>
        <v>4250</v>
      </c>
      <c r="EK9" s="58" t="n">
        <f aca="false">EJ9-(2_Market_Gross_USD!E7+35)</f>
        <v>-285</v>
      </c>
      <c r="EL9" s="66" t="n">
        <f aca="false">IFERROR(EJ9/(2_Market_Gross_USD!E7+35),0)</f>
        <v>0.93715545755237</v>
      </c>
      <c r="EM9" s="63" t="n">
        <f aca="false">2_Market_Gross_USD!E7*(1-0.065)</f>
        <v>4207.5</v>
      </c>
      <c r="EN9" s="53" t="n">
        <f aca="false">EM9/0.65</f>
        <v>6473.07692307692</v>
      </c>
      <c r="EO9" s="58" t="n">
        <f aca="false">EN9*0.0225+500</f>
        <v>645.644230769231</v>
      </c>
      <c r="EP9" s="55" t="n">
        <f aca="false">EN9+EO9</f>
        <v>7118.72115384615</v>
      </c>
      <c r="EQ9" s="58" t="n">
        <f aca="false">EP9-(2_Market_Gross_USD!E7+35)</f>
        <v>2583.72115384615</v>
      </c>
      <c r="ER9" s="66" t="n">
        <f aca="false">IFERROR(EP9/(2_Market_Gross_USD!E7+35),0)</f>
        <v>1.56972903061657</v>
      </c>
    </row>
    <row r="10" customFormat="false" ht="15" hidden="false" customHeight="false" outlineLevel="0" collapsed="false">
      <c r="A10" s="37" t="n">
        <v>5</v>
      </c>
      <c r="B10" s="32" t="s">
        <v>246</v>
      </c>
      <c r="C10" s="32" t="s">
        <v>251</v>
      </c>
      <c r="D10" s="62" t="s">
        <v>248</v>
      </c>
      <c r="E10" s="63" t="n">
        <f aca="false">2_Market_Gross_USD!E8*(1-0.065)</f>
        <v>1391.28</v>
      </c>
      <c r="F10" s="53" t="n">
        <f aca="false">E10/0.7429</f>
        <v>1872.76887871854</v>
      </c>
      <c r="G10" s="54" t="n">
        <f aca="false">F10*0.2038+0</f>
        <v>381.670297482838</v>
      </c>
      <c r="H10" s="55" t="n">
        <f aca="false">F10+G10</f>
        <v>2254.43917620137</v>
      </c>
      <c r="I10" s="54" t="n">
        <f aca="false">H10-(2_Market_Gross_USD!E8+35)</f>
        <v>731.439176201373</v>
      </c>
      <c r="J10" s="64" t="n">
        <f aca="false">IFERROR(H10/(2_Market_Gross_USD!E8+35),0)</f>
        <v>1.48026209862204</v>
      </c>
      <c r="K10" s="63" t="n">
        <f aca="false">2_Market_Gross_USD!E8*(1-0.065)</f>
        <v>1391.28</v>
      </c>
      <c r="L10" s="53" t="n">
        <f aca="false">K10/0.88</f>
        <v>1581</v>
      </c>
      <c r="M10" s="54" t="n">
        <f aca="false">L10*0+0</f>
        <v>0</v>
      </c>
      <c r="N10" s="55" t="n">
        <f aca="false">L10+M10</f>
        <v>1581</v>
      </c>
      <c r="O10" s="54" t="n">
        <f aca="false">N10-(2_Market_Gross_USD!E8+35)</f>
        <v>58</v>
      </c>
      <c r="P10" s="64" t="n">
        <f aca="false">IFERROR(N10/(2_Market_Gross_USD!E8+35),0)</f>
        <v>1.03808273145108</v>
      </c>
      <c r="Q10" s="63" t="n">
        <f aca="false">2_Market_Gross_USD!E8*(1-0.065)</f>
        <v>1391.28</v>
      </c>
      <c r="R10" s="53" t="n">
        <f aca="false">Q10/0.7429</f>
        <v>1872.76887871854</v>
      </c>
      <c r="S10" s="54" t="n">
        <f aca="false">R10*0.2038+500</f>
        <v>881.670297482838</v>
      </c>
      <c r="T10" s="55" t="n">
        <f aca="false">R10+S10</f>
        <v>2754.43917620137</v>
      </c>
      <c r="U10" s="54" t="n">
        <f aca="false">T10-(2_Market_Gross_USD!E8+35)</f>
        <v>1231.43917620137</v>
      </c>
      <c r="V10" s="64" t="n">
        <f aca="false">IFERROR(T10/(2_Market_Gross_USD!E8+35),0)</f>
        <v>1.80856150768311</v>
      </c>
      <c r="W10" s="63" t="n">
        <f aca="false">2_Market_Gross_USD!E8*(1-0.065)</f>
        <v>1391.28</v>
      </c>
      <c r="X10" s="53" t="n">
        <f aca="false">W10/0.72</f>
        <v>1932.33333333333</v>
      </c>
      <c r="Y10" s="54" t="n">
        <f aca="false">X10*0.15+0</f>
        <v>289.85</v>
      </c>
      <c r="Z10" s="55" t="n">
        <f aca="false">X10+Y10</f>
        <v>2222.18333333333</v>
      </c>
      <c r="AA10" s="54" t="n">
        <f aca="false">Z10-(2_Market_Gross_USD!E8+35)</f>
        <v>699.183333333333</v>
      </c>
      <c r="AB10" s="64" t="n">
        <f aca="false">IFERROR(Z10/(2_Market_Gross_USD!E8+35),0)</f>
        <v>1.45908295031736</v>
      </c>
      <c r="AC10" s="63" t="n">
        <f aca="false">2_Market_Gross_USD!E8*(1-0.065)</f>
        <v>1391.28</v>
      </c>
      <c r="AD10" s="53" t="n">
        <f aca="false">AC10/0.81</f>
        <v>1717.62962962963</v>
      </c>
      <c r="AE10" s="54" t="n">
        <f aca="false">AD10*0+0</f>
        <v>0</v>
      </c>
      <c r="AF10" s="55" t="n">
        <f aca="false">AD10+AE10</f>
        <v>1717.62962962963</v>
      </c>
      <c r="AG10" s="54" t="n">
        <f aca="false">AF10-(2_Market_Gross_USD!E8+35)</f>
        <v>194.62962962963</v>
      </c>
      <c r="AH10" s="64" t="n">
        <f aca="false">IFERROR(AF10/(2_Market_Gross_USD!E8+35),0)</f>
        <v>1.12779358478636</v>
      </c>
      <c r="AI10" s="63" t="n">
        <f aca="false">2_Market_Gross_USD!E8*(1-0.065)</f>
        <v>1391.28</v>
      </c>
      <c r="AJ10" s="53" t="n">
        <f aca="false">AI10/0.72</f>
        <v>1932.33333333333</v>
      </c>
      <c r="AK10" s="54" t="n">
        <f aca="false">AJ10*0.15+500</f>
        <v>789.85</v>
      </c>
      <c r="AL10" s="55" t="n">
        <f aca="false">AJ10+AK10</f>
        <v>2722.18333333333</v>
      </c>
      <c r="AM10" s="54" t="n">
        <f aca="false">AL10-(2_Market_Gross_USD!E8+35)</f>
        <v>1199.18333333333</v>
      </c>
      <c r="AN10" s="64" t="n">
        <f aca="false">IFERROR(AL10/(2_Market_Gross_USD!E8+35),0)</f>
        <v>1.78738235937842</v>
      </c>
      <c r="AO10" s="63" t="n">
        <f aca="false">2_Market_Gross_USD!E8*(1-0.065)</f>
        <v>1391.28</v>
      </c>
      <c r="AP10" s="53" t="n">
        <f aca="false">AO10/0.7035</f>
        <v>1977.65458422175</v>
      </c>
      <c r="AQ10" s="54" t="n">
        <f aca="false">AP10*0.11+0</f>
        <v>217.542004264392</v>
      </c>
      <c r="AR10" s="55" t="n">
        <f aca="false">AP10+AQ10</f>
        <v>2195.19658848614</v>
      </c>
      <c r="AS10" s="54" t="n">
        <f aca="false">AR10-(2_Market_Gross_USD!E8+35)</f>
        <v>672.196588486141</v>
      </c>
      <c r="AT10" s="64" t="n">
        <f aca="false">IFERROR(AR10/(2_Market_Gross_USD!E8+35),0)</f>
        <v>1.44136348554573</v>
      </c>
      <c r="AU10" s="63" t="n">
        <f aca="false">2_Market_Gross_USD!E8*(1-0.065)</f>
        <v>1391.28</v>
      </c>
      <c r="AV10" s="53" t="n">
        <f aca="false">AU10/0.627</f>
        <v>2218.94736842105</v>
      </c>
      <c r="AW10" s="54" t="n">
        <f aca="false">AV10*0+0</f>
        <v>0</v>
      </c>
      <c r="AX10" s="55" t="n">
        <f aca="false">AV10+AW10</f>
        <v>2218.94736842105</v>
      </c>
      <c r="AY10" s="54" t="n">
        <f aca="false">AX10-(2_Market_Gross_USD!E8+35)</f>
        <v>695.947368421053</v>
      </c>
      <c r="AZ10" s="64" t="n">
        <f aca="false">IFERROR(AX10/(2_Market_Gross_USD!E8+35),0)</f>
        <v>1.45695821958047</v>
      </c>
      <c r="BA10" s="63" t="n">
        <f aca="false">2_Market_Gross_USD!E8*(1-0.065)</f>
        <v>1391.28</v>
      </c>
      <c r="BB10" s="53" t="n">
        <f aca="false">BA10/0.7035</f>
        <v>1977.65458422175</v>
      </c>
      <c r="BC10" s="54" t="n">
        <f aca="false">BB10*0.11+500</f>
        <v>717.542004264392</v>
      </c>
      <c r="BD10" s="55" t="n">
        <f aca="false">BB10+BC10</f>
        <v>2695.19658848614</v>
      </c>
      <c r="BE10" s="54" t="n">
        <f aca="false">BD10-(2_Market_Gross_USD!E8+35)</f>
        <v>1172.19658848614</v>
      </c>
      <c r="BF10" s="64" t="n">
        <f aca="false">IFERROR(BD10/(2_Market_Gross_USD!E8+35),0)</f>
        <v>1.76966289460679</v>
      </c>
      <c r="BG10" s="63" t="n">
        <f aca="false">2_Market_Gross_USD!E8*(1-0.065)</f>
        <v>1391.28</v>
      </c>
      <c r="BH10" s="53" t="n">
        <f aca="false">BG10/0.5215</f>
        <v>2667.84276126558</v>
      </c>
      <c r="BI10" s="54" t="n">
        <f aca="false">BH10*0.21+0</f>
        <v>560.246979865772</v>
      </c>
      <c r="BJ10" s="55" t="n">
        <f aca="false">BH10+BI10</f>
        <v>3228.08974113135</v>
      </c>
      <c r="BK10" s="54" t="n">
        <f aca="false">BJ10-(2_Market_Gross_USD!E8+35)</f>
        <v>1705.08974113135</v>
      </c>
      <c r="BL10" s="64" t="n">
        <f aca="false">IFERROR(BJ10/(2_Market_Gross_USD!E8+35),0)</f>
        <v>2.11955990881901</v>
      </c>
      <c r="BM10" s="63" t="n">
        <f aca="false">2_Market_Gross_USD!E8*(1-0.065)</f>
        <v>1391.28</v>
      </c>
      <c r="BN10" s="53" t="n">
        <f aca="false">BM10/0.75</f>
        <v>1855.04</v>
      </c>
      <c r="BO10" s="54" t="n">
        <f aca="false">BN10*0+0</f>
        <v>0</v>
      </c>
      <c r="BP10" s="55" t="n">
        <f aca="false">BN10+BO10</f>
        <v>1855.04</v>
      </c>
      <c r="BQ10" s="54" t="n">
        <f aca="false">BP10-(2_Market_Gross_USD!E8+35)</f>
        <v>332.04</v>
      </c>
      <c r="BR10" s="64" t="n">
        <f aca="false">IFERROR(BP10/(2_Market_Gross_USD!E8+35),0)</f>
        <v>1.21801707156927</v>
      </c>
      <c r="BS10" s="63" t="n">
        <f aca="false">2_Market_Gross_USD!E8*(1-0.065)</f>
        <v>1391.28</v>
      </c>
      <c r="BT10" s="53" t="n">
        <f aca="false">BS10/0.5215</f>
        <v>2667.84276126558</v>
      </c>
      <c r="BU10" s="54" t="n">
        <f aca="false">BT10*0.21+500</f>
        <v>1060.24697986577</v>
      </c>
      <c r="BV10" s="55" t="n">
        <f aca="false">BT10+BU10</f>
        <v>3728.08974113135</v>
      </c>
      <c r="BW10" s="54" t="n">
        <f aca="false">BV10-(2_Market_Gross_USD!E8+35)</f>
        <v>2205.08974113135</v>
      </c>
      <c r="BX10" s="64" t="n">
        <f aca="false">IFERROR(BV10/(2_Market_Gross_USD!E8+35),0)</f>
        <v>2.44785931788007</v>
      </c>
      <c r="BY10" s="63" t="n">
        <f aca="false">2_Market_Gross_USD!E8*(1-0.065)</f>
        <v>1391.28</v>
      </c>
      <c r="BZ10" s="53" t="n">
        <f aca="false">BY10/0.6303</f>
        <v>2207.32984293194</v>
      </c>
      <c r="CA10" s="54" t="n">
        <f aca="false">BZ10*0.2+0</f>
        <v>441.465968586387</v>
      </c>
      <c r="CB10" s="55" t="n">
        <f aca="false">BZ10+CA10</f>
        <v>2648.79581151832</v>
      </c>
      <c r="CC10" s="54" t="n">
        <f aca="false">CB10-(2_Market_Gross_USD!E8+35)</f>
        <v>1125.79581151832</v>
      </c>
      <c r="CD10" s="64" t="n">
        <f aca="false">IFERROR(CB10/(2_Market_Gross_USD!E8+35),0)</f>
        <v>1.73919619928977</v>
      </c>
      <c r="CE10" s="63" t="n">
        <f aca="false">2_Market_Gross_USD!E8*(1-0.065)</f>
        <v>1391.28</v>
      </c>
      <c r="CF10" s="53" t="n">
        <f aca="false">CE10/0.6303</f>
        <v>2207.32984293194</v>
      </c>
      <c r="CG10" s="54" t="n">
        <f aca="false">CF10*0+0</f>
        <v>0</v>
      </c>
      <c r="CH10" s="55" t="n">
        <f aca="false">CF10+CG10</f>
        <v>2207.32984293194</v>
      </c>
      <c r="CI10" s="54" t="n">
        <f aca="false">CH10-(2_Market_Gross_USD!E8+35)</f>
        <v>684.329842931937</v>
      </c>
      <c r="CJ10" s="64" t="n">
        <f aca="false">IFERROR(CH10/(2_Market_Gross_USD!E8+35),0)</f>
        <v>1.44933016607481</v>
      </c>
      <c r="CK10" s="63" t="n">
        <f aca="false">2_Market_Gross_USD!E8*(1-0.065)</f>
        <v>1391.28</v>
      </c>
      <c r="CL10" s="53" t="n">
        <f aca="false">CK10/0.6303</f>
        <v>2207.32984293194</v>
      </c>
      <c r="CM10" s="54" t="n">
        <f aca="false">CL10*0.2+500</f>
        <v>941.465968586387</v>
      </c>
      <c r="CN10" s="55" t="n">
        <f aca="false">CL10+CM10</f>
        <v>3148.79581151832</v>
      </c>
      <c r="CO10" s="54" t="n">
        <f aca="false">CN10-(2_Market_Gross_USD!E8+35)</f>
        <v>1625.79581151832</v>
      </c>
      <c r="CP10" s="64" t="n">
        <f aca="false">IFERROR(CN10/(2_Market_Gross_USD!E8+35),0)</f>
        <v>2.06749560835084</v>
      </c>
      <c r="CQ10" s="63" t="n">
        <f aca="false">2_Market_Gross_USD!E8*(1-0.065)</f>
        <v>1391.28</v>
      </c>
      <c r="CR10" s="53" t="n">
        <f aca="false">CQ10/0.74</f>
        <v>1880.10810810811</v>
      </c>
      <c r="CS10" s="54" t="n">
        <f aca="false">CR10*0.338+0</f>
        <v>635.476540540541</v>
      </c>
      <c r="CT10" s="55" t="n">
        <f aca="false">CR10+CS10</f>
        <v>2515.58464864865</v>
      </c>
      <c r="CU10" s="54" t="n">
        <f aca="false">CT10-(2_Market_Gross_USD!E8+35)</f>
        <v>992.584648648649</v>
      </c>
      <c r="CV10" s="64" t="n">
        <f aca="false">IFERROR(CT10/(2_Market_Gross_USD!E8+35),0)</f>
        <v>1.65172990718887</v>
      </c>
      <c r="CW10" s="63" t="n">
        <f aca="false">2_Market_Gross_USD!E8*(1-0.065)</f>
        <v>1391.28</v>
      </c>
      <c r="CX10" s="53" t="n">
        <f aca="false">CW10/0.85</f>
        <v>1636.8</v>
      </c>
      <c r="CY10" s="54" t="n">
        <f aca="false">CX10*0+0</f>
        <v>0</v>
      </c>
      <c r="CZ10" s="55" t="n">
        <f aca="false">CX10+CY10</f>
        <v>1636.8</v>
      </c>
      <c r="DA10" s="54" t="n">
        <f aca="false">CZ10-(2_Market_Gross_USD!E8+35)</f>
        <v>113.8</v>
      </c>
      <c r="DB10" s="64" t="n">
        <f aca="false">IFERROR(CZ10/(2_Market_Gross_USD!E8+35),0)</f>
        <v>1.0747209455023</v>
      </c>
      <c r="DC10" s="63" t="n">
        <f aca="false">2_Market_Gross_USD!E8*(1-0.065)</f>
        <v>1391.28</v>
      </c>
      <c r="DD10" s="53" t="n">
        <f aca="false">DC10/0.74</f>
        <v>1880.10810810811</v>
      </c>
      <c r="DE10" s="54" t="n">
        <f aca="false">DD10*0.338+500</f>
        <v>1135.47654054054</v>
      </c>
      <c r="DF10" s="55" t="n">
        <f aca="false">DD10+DE10</f>
        <v>3015.58464864865</v>
      </c>
      <c r="DG10" s="54" t="n">
        <f aca="false">DF10-(2_Market_Gross_USD!E8+35)</f>
        <v>1492.58464864865</v>
      </c>
      <c r="DH10" s="64" t="n">
        <f aca="false">IFERROR(DF10/(2_Market_Gross_USD!E8+35),0)</f>
        <v>1.98002931624993</v>
      </c>
      <c r="DI10" s="63" t="n">
        <f aca="false">2_Market_Gross_USD!E8*(1-0.065)</f>
        <v>1391.28</v>
      </c>
      <c r="DJ10" s="53" t="n">
        <f aca="false">DI10/0.66</f>
        <v>2108</v>
      </c>
      <c r="DK10" s="54" t="n">
        <f aca="false">DJ10*0.2375+0</f>
        <v>500.65</v>
      </c>
      <c r="DL10" s="55" t="n">
        <f aca="false">DJ10+DK10</f>
        <v>2608.65</v>
      </c>
      <c r="DM10" s="54" t="n">
        <f aca="false">DL10-(2_Market_Gross_USD!E8+35)</f>
        <v>1085.65</v>
      </c>
      <c r="DN10" s="64" t="n">
        <f aca="false">IFERROR(DL10/(2_Market_Gross_USD!E8+35),0)</f>
        <v>1.71283650689429</v>
      </c>
      <c r="DO10" s="63" t="n">
        <f aca="false">2_Market_Gross_USD!E8*(1-0.065)</f>
        <v>1391.28</v>
      </c>
      <c r="DP10" s="53" t="n">
        <f aca="false">DO10/0.8</f>
        <v>1739.1</v>
      </c>
      <c r="DQ10" s="54" t="n">
        <f aca="false">DP10*0+0</f>
        <v>0</v>
      </c>
      <c r="DR10" s="55" t="n">
        <f aca="false">DP10+DQ10</f>
        <v>1739.1</v>
      </c>
      <c r="DS10" s="54" t="n">
        <f aca="false">DR10-(2_Market_Gross_USD!E8+35)</f>
        <v>216.1</v>
      </c>
      <c r="DT10" s="64" t="n">
        <f aca="false">IFERROR(DR10/(2_Market_Gross_USD!E8+35),0)</f>
        <v>1.14189100459619</v>
      </c>
      <c r="DU10" s="63" t="n">
        <f aca="false">2_Market_Gross_USD!E8*(1-0.065)</f>
        <v>1391.28</v>
      </c>
      <c r="DV10" s="53" t="n">
        <f aca="false">DU10/0.66</f>
        <v>2108</v>
      </c>
      <c r="DW10" s="54" t="n">
        <f aca="false">DV10*0.2375+500</f>
        <v>1000.65</v>
      </c>
      <c r="DX10" s="55" t="n">
        <f aca="false">DV10+DW10</f>
        <v>3108.65</v>
      </c>
      <c r="DY10" s="54" t="n">
        <f aca="false">DX10-(2_Market_Gross_USD!E8+35)</f>
        <v>1585.65</v>
      </c>
      <c r="DZ10" s="64" t="n">
        <f aca="false">IFERROR(DX10/(2_Market_Gross_USD!E8+35),0)</f>
        <v>2.04113591595535</v>
      </c>
      <c r="EA10" s="63" t="n">
        <f aca="false">2_Market_Gross_USD!E8*(1-0.065)</f>
        <v>1391.28</v>
      </c>
      <c r="EB10" s="53" t="n">
        <f aca="false">EA10/0.65</f>
        <v>2140.43076923077</v>
      </c>
      <c r="EC10" s="54" t="n">
        <f aca="false">EB10*0.0225+0</f>
        <v>48.1596923076923</v>
      </c>
      <c r="ED10" s="55" t="n">
        <f aca="false">EB10+EC10</f>
        <v>2188.59046153846</v>
      </c>
      <c r="EE10" s="54" t="n">
        <f aca="false">ED10-(2_Market_Gross_USD!E8+35)</f>
        <v>665.590461538462</v>
      </c>
      <c r="EF10" s="64" t="n">
        <f aca="false">IFERROR(ED10/(2_Market_Gross_USD!E8+35),0)</f>
        <v>1.43702591039952</v>
      </c>
      <c r="EG10" s="63" t="n">
        <f aca="false">2_Market_Gross_USD!E8*(1-0.065)</f>
        <v>1391.28</v>
      </c>
      <c r="EH10" s="53" t="n">
        <f aca="false">EG10/0.99</f>
        <v>1405.33333333333</v>
      </c>
      <c r="EI10" s="54" t="n">
        <f aca="false">EH10*0+0</f>
        <v>0</v>
      </c>
      <c r="EJ10" s="55" t="n">
        <f aca="false">EH10+EI10</f>
        <v>1405.33333333333</v>
      </c>
      <c r="EK10" s="54" t="n">
        <f aca="false">EJ10-(2_Market_Gross_USD!E8+35)</f>
        <v>-117.666666666667</v>
      </c>
      <c r="EL10" s="64" t="n">
        <f aca="false">IFERROR(EJ10/(2_Market_Gross_USD!E8+35),0)</f>
        <v>0.922740205734296</v>
      </c>
      <c r="EM10" s="63" t="n">
        <f aca="false">2_Market_Gross_USD!E8*(1-0.065)</f>
        <v>1391.28</v>
      </c>
      <c r="EN10" s="53" t="n">
        <f aca="false">EM10/0.65</f>
        <v>2140.43076923077</v>
      </c>
      <c r="EO10" s="54" t="n">
        <f aca="false">EN10*0.0225+500</f>
        <v>548.159692307692</v>
      </c>
      <c r="EP10" s="55" t="n">
        <f aca="false">EN10+EO10</f>
        <v>2688.59046153846</v>
      </c>
      <c r="EQ10" s="54" t="n">
        <f aca="false">EP10-(2_Market_Gross_USD!E8+35)</f>
        <v>1165.59046153846</v>
      </c>
      <c r="ER10" s="64" t="n">
        <f aca="false">IFERROR(EP10/(2_Market_Gross_USD!E8+35),0)</f>
        <v>1.76532531946058</v>
      </c>
    </row>
    <row r="11" customFormat="false" ht="15" hidden="false" customHeight="false" outlineLevel="0" collapsed="false">
      <c r="A11" s="41" t="n">
        <v>6</v>
      </c>
      <c r="B11" s="28" t="s">
        <v>246</v>
      </c>
      <c r="C11" s="8" t="s">
        <v>251</v>
      </c>
      <c r="D11" s="65" t="s">
        <v>249</v>
      </c>
      <c r="E11" s="63" t="n">
        <f aca="false">2_Market_Gross_USD!E9*(1-0.065)</f>
        <v>4207.5</v>
      </c>
      <c r="F11" s="53" t="n">
        <f aca="false">E11/0.7429</f>
        <v>5663.61556064073</v>
      </c>
      <c r="G11" s="58" t="n">
        <f aca="false">F11*0.2038+0</f>
        <v>1154.24485125858</v>
      </c>
      <c r="H11" s="55" t="n">
        <f aca="false">F11+G11</f>
        <v>6817.86041189931</v>
      </c>
      <c r="I11" s="58" t="n">
        <f aca="false">H11-(2_Market_Gross_USD!E9+35)</f>
        <v>2282.86041189931</v>
      </c>
      <c r="J11" s="66" t="n">
        <f aca="false">IFERROR(H11/(2_Market_Gross_USD!E9+35),0)</f>
        <v>1.50338708090393</v>
      </c>
      <c r="K11" s="63" t="n">
        <f aca="false">2_Market_Gross_USD!E9*(1-0.065)</f>
        <v>4207.5</v>
      </c>
      <c r="L11" s="53" t="n">
        <f aca="false">K11/0.88</f>
        <v>4781.25</v>
      </c>
      <c r="M11" s="58" t="n">
        <f aca="false">L11*0+0</f>
        <v>0</v>
      </c>
      <c r="N11" s="55" t="n">
        <f aca="false">L11+M11</f>
        <v>4781.25</v>
      </c>
      <c r="O11" s="58" t="n">
        <f aca="false">N11-(2_Market_Gross_USD!E9+35)</f>
        <v>246.25</v>
      </c>
      <c r="P11" s="66" t="n">
        <f aca="false">IFERROR(N11/(2_Market_Gross_USD!E9+35),0)</f>
        <v>1.05429988974642</v>
      </c>
      <c r="Q11" s="63" t="n">
        <f aca="false">2_Market_Gross_USD!E9*(1-0.065)</f>
        <v>4207.5</v>
      </c>
      <c r="R11" s="53" t="n">
        <f aca="false">Q11/0.7429</f>
        <v>5663.61556064073</v>
      </c>
      <c r="S11" s="58" t="n">
        <f aca="false">R11*0.2038+500</f>
        <v>1654.24485125858</v>
      </c>
      <c r="T11" s="55" t="n">
        <f aca="false">R11+S11</f>
        <v>7317.86041189931</v>
      </c>
      <c r="U11" s="58" t="n">
        <f aca="false">T11-(2_Market_Gross_USD!E9+35)</f>
        <v>2782.86041189931</v>
      </c>
      <c r="V11" s="66" t="n">
        <f aca="false">IFERROR(T11/(2_Market_Gross_USD!E9+35),0)</f>
        <v>1.61364066414538</v>
      </c>
      <c r="W11" s="63" t="n">
        <f aca="false">2_Market_Gross_USD!E9*(1-0.065)</f>
        <v>4207.5</v>
      </c>
      <c r="X11" s="53" t="n">
        <f aca="false">W11/0.72</f>
        <v>5843.75</v>
      </c>
      <c r="Y11" s="58" t="n">
        <f aca="false">X11*0.15+0</f>
        <v>876.5625</v>
      </c>
      <c r="Z11" s="55" t="n">
        <f aca="false">X11+Y11</f>
        <v>6720.3125</v>
      </c>
      <c r="AA11" s="58" t="n">
        <f aca="false">Z11-(2_Market_Gross_USD!E9+35)</f>
        <v>2185.3125</v>
      </c>
      <c r="AB11" s="66" t="n">
        <f aca="false">IFERROR(Z11/(2_Market_Gross_USD!E9+35),0)</f>
        <v>1.48187706725469</v>
      </c>
      <c r="AC11" s="63" t="n">
        <f aca="false">2_Market_Gross_USD!E9*(1-0.065)</f>
        <v>4207.5</v>
      </c>
      <c r="AD11" s="53" t="n">
        <f aca="false">AC11/0.81</f>
        <v>5194.44444444444</v>
      </c>
      <c r="AE11" s="58" t="n">
        <f aca="false">AD11*0+0</f>
        <v>0</v>
      </c>
      <c r="AF11" s="55" t="n">
        <f aca="false">AD11+AE11</f>
        <v>5194.44444444444</v>
      </c>
      <c r="AG11" s="58" t="n">
        <f aca="false">AF11-(2_Market_Gross_USD!E9+35)</f>
        <v>659.444444444444</v>
      </c>
      <c r="AH11" s="66" t="n">
        <f aca="false">IFERROR(AF11/(2_Market_Gross_USD!E9+35),0)</f>
        <v>1.14541222589734</v>
      </c>
      <c r="AI11" s="63" t="n">
        <f aca="false">2_Market_Gross_USD!E9*(1-0.065)</f>
        <v>4207.5</v>
      </c>
      <c r="AJ11" s="53" t="n">
        <f aca="false">AI11/0.72</f>
        <v>5843.75</v>
      </c>
      <c r="AK11" s="58" t="n">
        <f aca="false">AJ11*0.15+500</f>
        <v>1376.5625</v>
      </c>
      <c r="AL11" s="55" t="n">
        <f aca="false">AJ11+AK11</f>
        <v>7220.3125</v>
      </c>
      <c r="AM11" s="58" t="n">
        <f aca="false">AL11-(2_Market_Gross_USD!E9+35)</f>
        <v>2685.3125</v>
      </c>
      <c r="AN11" s="66" t="n">
        <f aca="false">IFERROR(AL11/(2_Market_Gross_USD!E9+35),0)</f>
        <v>1.59213065049614</v>
      </c>
      <c r="AO11" s="63" t="n">
        <f aca="false">2_Market_Gross_USD!E9*(1-0.065)</f>
        <v>4207.5</v>
      </c>
      <c r="AP11" s="53" t="n">
        <f aca="false">AO11/0.7035</f>
        <v>5980.81023454158</v>
      </c>
      <c r="AQ11" s="58" t="n">
        <f aca="false">AP11*0.11+0</f>
        <v>657.889125799574</v>
      </c>
      <c r="AR11" s="55" t="n">
        <f aca="false">AP11+AQ11</f>
        <v>6638.69936034115</v>
      </c>
      <c r="AS11" s="58" t="n">
        <f aca="false">AR11-(2_Market_Gross_USD!E9+35)</f>
        <v>2103.69936034115</v>
      </c>
      <c r="AT11" s="66" t="n">
        <f aca="false">IFERROR(AR11/(2_Market_Gross_USD!E9+35),0)</f>
        <v>1.46388078508074</v>
      </c>
      <c r="AU11" s="63" t="n">
        <f aca="false">2_Market_Gross_USD!E9*(1-0.065)</f>
        <v>4207.5</v>
      </c>
      <c r="AV11" s="53" t="n">
        <f aca="false">AU11/0.627</f>
        <v>6710.52631578947</v>
      </c>
      <c r="AW11" s="58" t="n">
        <f aca="false">AV11*0+0</f>
        <v>0</v>
      </c>
      <c r="AX11" s="55" t="n">
        <f aca="false">AV11+AW11</f>
        <v>6710.52631578947</v>
      </c>
      <c r="AY11" s="58" t="n">
        <f aca="false">AX11-(2_Market_Gross_USD!E9+35)</f>
        <v>2175.52631578947</v>
      </c>
      <c r="AZ11" s="66" t="n">
        <f aca="false">IFERROR(AX11/(2_Market_Gross_USD!E9+35),0)</f>
        <v>1.47971914350374</v>
      </c>
      <c r="BA11" s="63" t="n">
        <f aca="false">2_Market_Gross_USD!E9*(1-0.065)</f>
        <v>4207.5</v>
      </c>
      <c r="BB11" s="53" t="n">
        <f aca="false">BA11/0.7035</f>
        <v>5980.81023454158</v>
      </c>
      <c r="BC11" s="58" t="n">
        <f aca="false">BB11*0.11+500</f>
        <v>1157.88912579957</v>
      </c>
      <c r="BD11" s="55" t="n">
        <f aca="false">BB11+BC11</f>
        <v>7138.69936034115</v>
      </c>
      <c r="BE11" s="58" t="n">
        <f aca="false">BD11-(2_Market_Gross_USD!E9+35)</f>
        <v>2603.69936034115</v>
      </c>
      <c r="BF11" s="66" t="n">
        <f aca="false">IFERROR(BD11/(2_Market_Gross_USD!E9+35),0)</f>
        <v>1.57413436832219</v>
      </c>
      <c r="BG11" s="63" t="n">
        <f aca="false">2_Market_Gross_USD!E9*(1-0.065)</f>
        <v>4207.5</v>
      </c>
      <c r="BH11" s="53" t="n">
        <f aca="false">BG11/0.5215</f>
        <v>8068.07286673059</v>
      </c>
      <c r="BI11" s="58" t="n">
        <f aca="false">BH11*0.21+0</f>
        <v>1694.29530201342</v>
      </c>
      <c r="BJ11" s="55" t="n">
        <f aca="false">BH11+BI11</f>
        <v>9762.36816874401</v>
      </c>
      <c r="BK11" s="58" t="n">
        <f aca="false">BJ11-(2_Market_Gross_USD!E9+35)</f>
        <v>5227.36816874401</v>
      </c>
      <c r="BL11" s="66" t="n">
        <f aca="false">IFERROR(BJ11/(2_Market_Gross_USD!E9+35),0)</f>
        <v>2.1526721430527</v>
      </c>
      <c r="BM11" s="63" t="n">
        <f aca="false">2_Market_Gross_USD!E9*(1-0.065)</f>
        <v>4207.5</v>
      </c>
      <c r="BN11" s="53" t="n">
        <f aca="false">BM11/0.75</f>
        <v>5610</v>
      </c>
      <c r="BO11" s="58" t="n">
        <f aca="false">BN11*0+0</f>
        <v>0</v>
      </c>
      <c r="BP11" s="55" t="n">
        <f aca="false">BN11+BO11</f>
        <v>5610</v>
      </c>
      <c r="BQ11" s="58" t="n">
        <f aca="false">BP11-(2_Market_Gross_USD!E9+35)</f>
        <v>1075</v>
      </c>
      <c r="BR11" s="66" t="n">
        <f aca="false">IFERROR(BP11/(2_Market_Gross_USD!E9+35),0)</f>
        <v>1.23704520396913</v>
      </c>
      <c r="BS11" s="63" t="n">
        <f aca="false">2_Market_Gross_USD!E9*(1-0.065)</f>
        <v>4207.5</v>
      </c>
      <c r="BT11" s="53" t="n">
        <f aca="false">BS11/0.5215</f>
        <v>8068.07286673059</v>
      </c>
      <c r="BU11" s="58" t="n">
        <f aca="false">BT11*0.21+500</f>
        <v>2194.29530201342</v>
      </c>
      <c r="BV11" s="55" t="n">
        <f aca="false">BT11+BU11</f>
        <v>10262.368168744</v>
      </c>
      <c r="BW11" s="58" t="n">
        <f aca="false">BV11-(2_Market_Gross_USD!E9+35)</f>
        <v>5727.36816874401</v>
      </c>
      <c r="BX11" s="66" t="n">
        <f aca="false">IFERROR(BV11/(2_Market_Gross_USD!E9+35),0)</f>
        <v>2.26292572629416</v>
      </c>
      <c r="BY11" s="63" t="n">
        <f aca="false">2_Market_Gross_USD!E9*(1-0.065)</f>
        <v>4207.5</v>
      </c>
      <c r="BZ11" s="53" t="n">
        <f aca="false">BY11/0.6303</f>
        <v>6675.39267015707</v>
      </c>
      <c r="CA11" s="58" t="n">
        <f aca="false">BZ11*0.2+0</f>
        <v>1335.07853403141</v>
      </c>
      <c r="CB11" s="55" t="n">
        <f aca="false">BZ11+CA11</f>
        <v>8010.47120418848</v>
      </c>
      <c r="CC11" s="58" t="n">
        <f aca="false">CB11-(2_Market_Gross_USD!E9+35)</f>
        <v>3475.47120418848</v>
      </c>
      <c r="CD11" s="66" t="n">
        <f aca="false">IFERROR(CB11/(2_Market_Gross_USD!E9+35),0)</f>
        <v>1.76636630742855</v>
      </c>
      <c r="CE11" s="63" t="n">
        <f aca="false">2_Market_Gross_USD!E9*(1-0.065)</f>
        <v>4207.5</v>
      </c>
      <c r="CF11" s="53" t="n">
        <f aca="false">CE11/0.6303</f>
        <v>6675.39267015707</v>
      </c>
      <c r="CG11" s="58" t="n">
        <f aca="false">CF11*0+0</f>
        <v>0</v>
      </c>
      <c r="CH11" s="55" t="n">
        <f aca="false">CF11+CG11</f>
        <v>6675.39267015707</v>
      </c>
      <c r="CI11" s="58" t="n">
        <f aca="false">CH11-(2_Market_Gross_USD!E9+35)</f>
        <v>2140.39267015707</v>
      </c>
      <c r="CJ11" s="66" t="n">
        <f aca="false">IFERROR(CH11/(2_Market_Gross_USD!E9+35),0)</f>
        <v>1.47197192285713</v>
      </c>
      <c r="CK11" s="63" t="n">
        <f aca="false">2_Market_Gross_USD!E9*(1-0.065)</f>
        <v>4207.5</v>
      </c>
      <c r="CL11" s="53" t="n">
        <f aca="false">CK11/0.6303</f>
        <v>6675.39267015707</v>
      </c>
      <c r="CM11" s="58" t="n">
        <f aca="false">CL11*0.2+500</f>
        <v>1835.07853403141</v>
      </c>
      <c r="CN11" s="55" t="n">
        <f aca="false">CL11+CM11</f>
        <v>8510.47120418848</v>
      </c>
      <c r="CO11" s="58" t="n">
        <f aca="false">CN11-(2_Market_Gross_USD!E9+35)</f>
        <v>3975.47120418848</v>
      </c>
      <c r="CP11" s="66" t="n">
        <f aca="false">IFERROR(CN11/(2_Market_Gross_USD!E9+35),0)</f>
        <v>1.87661989067001</v>
      </c>
      <c r="CQ11" s="63" t="n">
        <f aca="false">2_Market_Gross_USD!E9*(1-0.065)</f>
        <v>4207.5</v>
      </c>
      <c r="CR11" s="53" t="n">
        <f aca="false">CQ11/0.74</f>
        <v>5685.81081081081</v>
      </c>
      <c r="CS11" s="58" t="n">
        <f aca="false">CR11*0.338+0</f>
        <v>1921.80405405405</v>
      </c>
      <c r="CT11" s="55" t="n">
        <f aca="false">CR11+CS11</f>
        <v>7607.61486486487</v>
      </c>
      <c r="CU11" s="58" t="n">
        <f aca="false">CT11-(2_Market_Gross_USD!E9+35)</f>
        <v>3072.61486486487</v>
      </c>
      <c r="CV11" s="66" t="n">
        <f aca="false">IFERROR(CT11/(2_Market_Gross_USD!E9+35),0)</f>
        <v>1.67753359754462</v>
      </c>
      <c r="CW11" s="63" t="n">
        <f aca="false">2_Market_Gross_USD!E9*(1-0.065)</f>
        <v>4207.5</v>
      </c>
      <c r="CX11" s="53" t="n">
        <f aca="false">CW11/0.85</f>
        <v>4950</v>
      </c>
      <c r="CY11" s="58" t="n">
        <f aca="false">CX11*0+0</f>
        <v>0</v>
      </c>
      <c r="CZ11" s="55" t="n">
        <f aca="false">CX11+CY11</f>
        <v>4950</v>
      </c>
      <c r="DA11" s="58" t="n">
        <f aca="false">CZ11-(2_Market_Gross_USD!E9+35)</f>
        <v>415</v>
      </c>
      <c r="DB11" s="66" t="n">
        <f aca="false">IFERROR(CZ11/(2_Market_Gross_USD!E9+35),0)</f>
        <v>1.09151047409041</v>
      </c>
      <c r="DC11" s="63" t="n">
        <f aca="false">2_Market_Gross_USD!E9*(1-0.065)</f>
        <v>4207.5</v>
      </c>
      <c r="DD11" s="53" t="n">
        <f aca="false">DC11/0.74</f>
        <v>5685.81081081081</v>
      </c>
      <c r="DE11" s="58" t="n">
        <f aca="false">DD11*0.338+500</f>
        <v>2421.80405405405</v>
      </c>
      <c r="DF11" s="55" t="n">
        <f aca="false">DD11+DE11</f>
        <v>8107.61486486487</v>
      </c>
      <c r="DG11" s="58" t="n">
        <f aca="false">DF11-(2_Market_Gross_USD!E9+35)</f>
        <v>3572.61486486487</v>
      </c>
      <c r="DH11" s="66" t="n">
        <f aca="false">IFERROR(DF11/(2_Market_Gross_USD!E9+35),0)</f>
        <v>1.78778718078608</v>
      </c>
      <c r="DI11" s="63" t="n">
        <f aca="false">2_Market_Gross_USD!E9*(1-0.065)</f>
        <v>4207.5</v>
      </c>
      <c r="DJ11" s="53" t="n">
        <f aca="false">DI11/0.66</f>
        <v>6375</v>
      </c>
      <c r="DK11" s="58" t="n">
        <f aca="false">DJ11*0.2375+0</f>
        <v>1514.0625</v>
      </c>
      <c r="DL11" s="55" t="n">
        <f aca="false">DJ11+DK11</f>
        <v>7889.0625</v>
      </c>
      <c r="DM11" s="58" t="n">
        <f aca="false">DL11-(2_Market_Gross_USD!E9+35)</f>
        <v>3354.0625</v>
      </c>
      <c r="DN11" s="66" t="n">
        <f aca="false">IFERROR(DL11/(2_Market_Gross_USD!E9+35),0)</f>
        <v>1.73959481808159</v>
      </c>
      <c r="DO11" s="63" t="n">
        <f aca="false">2_Market_Gross_USD!E9*(1-0.065)</f>
        <v>4207.5</v>
      </c>
      <c r="DP11" s="53" t="n">
        <f aca="false">DO11/0.8</f>
        <v>5259.375</v>
      </c>
      <c r="DQ11" s="58" t="n">
        <f aca="false">DP11*0+0</f>
        <v>0</v>
      </c>
      <c r="DR11" s="55" t="n">
        <f aca="false">DP11+DQ11</f>
        <v>5259.375</v>
      </c>
      <c r="DS11" s="58" t="n">
        <f aca="false">DR11-(2_Market_Gross_USD!E9+35)</f>
        <v>724.375</v>
      </c>
      <c r="DT11" s="66" t="n">
        <f aca="false">IFERROR(DR11/(2_Market_Gross_USD!E9+35),0)</f>
        <v>1.15972987872106</v>
      </c>
      <c r="DU11" s="63" t="n">
        <f aca="false">2_Market_Gross_USD!E9*(1-0.065)</f>
        <v>4207.5</v>
      </c>
      <c r="DV11" s="53" t="n">
        <f aca="false">DU11/0.66</f>
        <v>6375</v>
      </c>
      <c r="DW11" s="58" t="n">
        <f aca="false">DV11*0.2375+500</f>
        <v>2014.0625</v>
      </c>
      <c r="DX11" s="55" t="n">
        <f aca="false">DV11+DW11</f>
        <v>8389.0625</v>
      </c>
      <c r="DY11" s="58" t="n">
        <f aca="false">DX11-(2_Market_Gross_USD!E9+35)</f>
        <v>3854.0625</v>
      </c>
      <c r="DZ11" s="66" t="n">
        <f aca="false">IFERROR(DX11/(2_Market_Gross_USD!E9+35),0)</f>
        <v>1.84984840132304</v>
      </c>
      <c r="EA11" s="63" t="n">
        <f aca="false">2_Market_Gross_USD!E9*(1-0.065)</f>
        <v>4207.5</v>
      </c>
      <c r="EB11" s="53" t="n">
        <f aca="false">EA11/0.65</f>
        <v>6473.07692307692</v>
      </c>
      <c r="EC11" s="58" t="n">
        <f aca="false">EB11*0.0225+0</f>
        <v>145.644230769231</v>
      </c>
      <c r="ED11" s="55" t="n">
        <f aca="false">EB11+EC11</f>
        <v>6618.72115384615</v>
      </c>
      <c r="EE11" s="58" t="n">
        <f aca="false">ED11-(2_Market_Gross_USD!E9+35)</f>
        <v>2083.72115384615</v>
      </c>
      <c r="EF11" s="66" t="n">
        <f aca="false">IFERROR(ED11/(2_Market_Gross_USD!E9+35),0)</f>
        <v>1.45947544737512</v>
      </c>
      <c r="EG11" s="63" t="n">
        <f aca="false">2_Market_Gross_USD!E9*(1-0.065)</f>
        <v>4207.5</v>
      </c>
      <c r="EH11" s="53" t="n">
        <f aca="false">EG11/0.99</f>
        <v>4250</v>
      </c>
      <c r="EI11" s="58" t="n">
        <f aca="false">EH11*0+0</f>
        <v>0</v>
      </c>
      <c r="EJ11" s="55" t="n">
        <f aca="false">EH11+EI11</f>
        <v>4250</v>
      </c>
      <c r="EK11" s="58" t="n">
        <f aca="false">EJ11-(2_Market_Gross_USD!E9+35)</f>
        <v>-285</v>
      </c>
      <c r="EL11" s="66" t="n">
        <f aca="false">IFERROR(EJ11/(2_Market_Gross_USD!E9+35),0)</f>
        <v>0.93715545755237</v>
      </c>
      <c r="EM11" s="63" t="n">
        <f aca="false">2_Market_Gross_USD!E9*(1-0.065)</f>
        <v>4207.5</v>
      </c>
      <c r="EN11" s="53" t="n">
        <f aca="false">EM11/0.65</f>
        <v>6473.07692307692</v>
      </c>
      <c r="EO11" s="58" t="n">
        <f aca="false">EN11*0.0225+500</f>
        <v>645.644230769231</v>
      </c>
      <c r="EP11" s="55" t="n">
        <f aca="false">EN11+EO11</f>
        <v>7118.72115384615</v>
      </c>
      <c r="EQ11" s="58" t="n">
        <f aca="false">EP11-(2_Market_Gross_USD!E9+35)</f>
        <v>2583.72115384615</v>
      </c>
      <c r="ER11" s="66" t="n">
        <f aca="false">IFERROR(EP11/(2_Market_Gross_USD!E9+35),0)</f>
        <v>1.56972903061657</v>
      </c>
    </row>
    <row r="12" customFormat="false" ht="15" hidden="false" customHeight="false" outlineLevel="0" collapsed="false">
      <c r="A12" s="37" t="n">
        <v>7</v>
      </c>
      <c r="B12" s="32" t="s">
        <v>246</v>
      </c>
      <c r="C12" s="32" t="s">
        <v>252</v>
      </c>
      <c r="D12" s="62" t="s">
        <v>248</v>
      </c>
      <c r="E12" s="63" t="n">
        <f aca="false">2_Market_Gross_USD!E10*(1-0.065)</f>
        <v>1402.5</v>
      </c>
      <c r="F12" s="53" t="n">
        <f aca="false">E12/0.7429</f>
        <v>1887.87185354691</v>
      </c>
      <c r="G12" s="54" t="n">
        <f aca="false">F12*0.2038+0</f>
        <v>384.74828375286</v>
      </c>
      <c r="H12" s="55" t="n">
        <f aca="false">F12+G12</f>
        <v>2272.62013729977</v>
      </c>
      <c r="I12" s="54" t="n">
        <f aca="false">H12-(2_Market_Gross_USD!E10+35)</f>
        <v>737.620137299771</v>
      </c>
      <c r="J12" s="64" t="n">
        <f aca="false">IFERROR(H12/(2_Market_Gross_USD!E10+35),0)</f>
        <v>1.4805342914005</v>
      </c>
      <c r="K12" s="63" t="n">
        <f aca="false">2_Market_Gross_USD!E10*(1-0.065)</f>
        <v>1402.5</v>
      </c>
      <c r="L12" s="53" t="n">
        <f aca="false">K12/0.88</f>
        <v>1593.75</v>
      </c>
      <c r="M12" s="54" t="n">
        <f aca="false">L12*0+0</f>
        <v>0</v>
      </c>
      <c r="N12" s="55" t="n">
        <f aca="false">L12+M12</f>
        <v>1593.75</v>
      </c>
      <c r="O12" s="54" t="n">
        <f aca="false">N12-(2_Market_Gross_USD!E10+35)</f>
        <v>58.75</v>
      </c>
      <c r="P12" s="64" t="n">
        <f aca="false">IFERROR(N12/(2_Market_Gross_USD!E10+35),0)</f>
        <v>1.03827361563518</v>
      </c>
      <c r="Q12" s="63" t="n">
        <f aca="false">2_Market_Gross_USD!E10*(1-0.065)</f>
        <v>1402.5</v>
      </c>
      <c r="R12" s="53" t="n">
        <f aca="false">Q12/0.7429</f>
        <v>1887.87185354691</v>
      </c>
      <c r="S12" s="54" t="n">
        <f aca="false">R12*0.2038+500</f>
        <v>884.74828375286</v>
      </c>
      <c r="T12" s="55" t="n">
        <f aca="false">R12+S12</f>
        <v>2772.62013729977</v>
      </c>
      <c r="U12" s="54" t="n">
        <f aca="false">T12-(2_Market_Gross_USD!E10+35)</f>
        <v>1237.62013729977</v>
      </c>
      <c r="V12" s="64" t="n">
        <f aca="false">IFERROR(T12/(2_Market_Gross_USD!E10+35),0)</f>
        <v>1.8062671904233</v>
      </c>
      <c r="W12" s="63" t="n">
        <f aca="false">2_Market_Gross_USD!E10*(1-0.065)</f>
        <v>1402.5</v>
      </c>
      <c r="X12" s="53" t="n">
        <f aca="false">W12/0.72</f>
        <v>1947.91666666667</v>
      </c>
      <c r="Y12" s="54" t="n">
        <f aca="false">X12*0.15+0</f>
        <v>292.1875</v>
      </c>
      <c r="Z12" s="55" t="n">
        <f aca="false">X12+Y12</f>
        <v>2240.10416666667</v>
      </c>
      <c r="AA12" s="54" t="n">
        <f aca="false">Z12-(2_Market_Gross_USD!E10+35)</f>
        <v>705.104166666667</v>
      </c>
      <c r="AB12" s="64" t="n">
        <f aca="false">IFERROR(Z12/(2_Market_Gross_USD!E10+35),0)</f>
        <v>1.45935124864278</v>
      </c>
      <c r="AC12" s="63" t="n">
        <f aca="false">2_Market_Gross_USD!E10*(1-0.065)</f>
        <v>1402.5</v>
      </c>
      <c r="AD12" s="53" t="n">
        <f aca="false">AC12/0.81</f>
        <v>1731.48148148148</v>
      </c>
      <c r="AE12" s="54" t="n">
        <f aca="false">AD12*0+0</f>
        <v>0</v>
      </c>
      <c r="AF12" s="55" t="n">
        <f aca="false">AD12+AE12</f>
        <v>1731.48148148148</v>
      </c>
      <c r="AG12" s="54" t="n">
        <f aca="false">AF12-(2_Market_Gross_USD!E10+35)</f>
        <v>196.481481481481</v>
      </c>
      <c r="AH12" s="64" t="n">
        <f aca="false">IFERROR(AF12/(2_Market_Gross_USD!E10+35),0)</f>
        <v>1.12800096513452</v>
      </c>
      <c r="AI12" s="63" t="n">
        <f aca="false">2_Market_Gross_USD!E10*(1-0.065)</f>
        <v>1402.5</v>
      </c>
      <c r="AJ12" s="53" t="n">
        <f aca="false">AI12/0.72</f>
        <v>1947.91666666667</v>
      </c>
      <c r="AK12" s="54" t="n">
        <f aca="false">AJ12*0.15+500</f>
        <v>792.1875</v>
      </c>
      <c r="AL12" s="55" t="n">
        <f aca="false">AJ12+AK12</f>
        <v>2740.10416666667</v>
      </c>
      <c r="AM12" s="54" t="n">
        <f aca="false">AL12-(2_Market_Gross_USD!E10+35)</f>
        <v>1205.10416666667</v>
      </c>
      <c r="AN12" s="64" t="n">
        <f aca="false">IFERROR(AL12/(2_Market_Gross_USD!E10+35),0)</f>
        <v>1.78508414766558</v>
      </c>
      <c r="AO12" s="63" t="n">
        <f aca="false">2_Market_Gross_USD!E10*(1-0.065)</f>
        <v>1402.5</v>
      </c>
      <c r="AP12" s="53" t="n">
        <f aca="false">AO12/0.7035</f>
        <v>1993.60341151386</v>
      </c>
      <c r="AQ12" s="54" t="n">
        <f aca="false">AP12*0.11+0</f>
        <v>219.296375266525</v>
      </c>
      <c r="AR12" s="55" t="n">
        <f aca="false">AP12+AQ12</f>
        <v>2212.89978678038</v>
      </c>
      <c r="AS12" s="54" t="n">
        <f aca="false">AR12-(2_Market_Gross_USD!E10+35)</f>
        <v>677.899786780384</v>
      </c>
      <c r="AT12" s="64" t="n">
        <f aca="false">IFERROR(AR12/(2_Market_Gross_USD!E10+35),0)</f>
        <v>1.44162852558983</v>
      </c>
      <c r="AU12" s="63" t="n">
        <f aca="false">2_Market_Gross_USD!E10*(1-0.065)</f>
        <v>1402.5</v>
      </c>
      <c r="AV12" s="53" t="n">
        <f aca="false">AU12/0.627</f>
        <v>2236.84210526316</v>
      </c>
      <c r="AW12" s="54" t="n">
        <f aca="false">AV12*0+0</f>
        <v>0</v>
      </c>
      <c r="AX12" s="55" t="n">
        <f aca="false">AV12+AW12</f>
        <v>2236.84210526316</v>
      </c>
      <c r="AY12" s="54" t="n">
        <f aca="false">AX12-(2_Market_Gross_USD!E10+35)</f>
        <v>701.842105263158</v>
      </c>
      <c r="AZ12" s="64" t="n">
        <f aca="false">IFERROR(AX12/(2_Market_Gross_USD!E10+35),0)</f>
        <v>1.45722612720727</v>
      </c>
      <c r="BA12" s="63" t="n">
        <f aca="false">2_Market_Gross_USD!E10*(1-0.065)</f>
        <v>1402.5</v>
      </c>
      <c r="BB12" s="53" t="n">
        <f aca="false">BA12/0.7035</f>
        <v>1993.60341151386</v>
      </c>
      <c r="BC12" s="54" t="n">
        <f aca="false">BB12*0.11+500</f>
        <v>719.296375266525</v>
      </c>
      <c r="BD12" s="55" t="n">
        <f aca="false">BB12+BC12</f>
        <v>2712.89978678038</v>
      </c>
      <c r="BE12" s="54" t="n">
        <f aca="false">BD12-(2_Market_Gross_USD!E10+35)</f>
        <v>1177.89978678038</v>
      </c>
      <c r="BF12" s="64" t="n">
        <f aca="false">IFERROR(BD12/(2_Market_Gross_USD!E10+35),0)</f>
        <v>1.76736142461263</v>
      </c>
      <c r="BG12" s="63" t="n">
        <f aca="false">2_Market_Gross_USD!E10*(1-0.065)</f>
        <v>1402.5</v>
      </c>
      <c r="BH12" s="53" t="n">
        <f aca="false">BG12/0.5215</f>
        <v>2689.35762224353</v>
      </c>
      <c r="BI12" s="54" t="n">
        <f aca="false">BH12*0.21+0</f>
        <v>564.765100671141</v>
      </c>
      <c r="BJ12" s="55" t="n">
        <f aca="false">BH12+BI12</f>
        <v>3254.12272291467</v>
      </c>
      <c r="BK12" s="54" t="n">
        <f aca="false">BJ12-(2_Market_Gross_USD!E10+35)</f>
        <v>1719.12272291467</v>
      </c>
      <c r="BL12" s="64" t="n">
        <f aca="false">IFERROR(BJ12/(2_Market_Gross_USD!E10+35),0)</f>
        <v>2.11994965662193</v>
      </c>
      <c r="BM12" s="63" t="n">
        <f aca="false">2_Market_Gross_USD!E10*(1-0.065)</f>
        <v>1402.5</v>
      </c>
      <c r="BN12" s="53" t="n">
        <f aca="false">BM12/0.75</f>
        <v>1870</v>
      </c>
      <c r="BO12" s="54" t="n">
        <f aca="false">BN12*0+0</f>
        <v>0</v>
      </c>
      <c r="BP12" s="55" t="n">
        <f aca="false">BN12+BO12</f>
        <v>1870</v>
      </c>
      <c r="BQ12" s="54" t="n">
        <f aca="false">BP12-(2_Market_Gross_USD!E10+35)</f>
        <v>335</v>
      </c>
      <c r="BR12" s="64" t="n">
        <f aca="false">IFERROR(BP12/(2_Market_Gross_USD!E10+35),0)</f>
        <v>1.21824104234528</v>
      </c>
      <c r="BS12" s="63" t="n">
        <f aca="false">2_Market_Gross_USD!E10*(1-0.065)</f>
        <v>1402.5</v>
      </c>
      <c r="BT12" s="53" t="n">
        <f aca="false">BS12/0.5215</f>
        <v>2689.35762224353</v>
      </c>
      <c r="BU12" s="54" t="n">
        <f aca="false">BT12*0.21+500</f>
        <v>1064.76510067114</v>
      </c>
      <c r="BV12" s="55" t="n">
        <f aca="false">BT12+BU12</f>
        <v>3754.12272291467</v>
      </c>
      <c r="BW12" s="54" t="n">
        <f aca="false">BV12-(2_Market_Gross_USD!E10+35)</f>
        <v>2219.12272291467</v>
      </c>
      <c r="BX12" s="64" t="n">
        <f aca="false">IFERROR(BV12/(2_Market_Gross_USD!E10+35),0)</f>
        <v>2.44568255564474</v>
      </c>
      <c r="BY12" s="63" t="n">
        <f aca="false">2_Market_Gross_USD!E10*(1-0.065)</f>
        <v>1402.5</v>
      </c>
      <c r="BZ12" s="53" t="n">
        <f aca="false">BY12/0.6303</f>
        <v>2225.13089005236</v>
      </c>
      <c r="CA12" s="54" t="n">
        <f aca="false">BZ12*0.2+0</f>
        <v>445.026178010471</v>
      </c>
      <c r="CB12" s="55" t="n">
        <f aca="false">BZ12+CA12</f>
        <v>2670.15706806283</v>
      </c>
      <c r="CC12" s="54" t="n">
        <f aca="false">CB12-(2_Market_Gross_USD!E10+35)</f>
        <v>1135.15706806283</v>
      </c>
      <c r="CD12" s="64" t="n">
        <f aca="false">IFERROR(CB12/(2_Market_Gross_USD!E10+35),0)</f>
        <v>1.73951600525266</v>
      </c>
      <c r="CE12" s="63" t="n">
        <f aca="false">2_Market_Gross_USD!E10*(1-0.065)</f>
        <v>1402.5</v>
      </c>
      <c r="CF12" s="53" t="n">
        <f aca="false">CE12/0.6303</f>
        <v>2225.13089005236</v>
      </c>
      <c r="CG12" s="54" t="n">
        <f aca="false">CF12*0+0</f>
        <v>0</v>
      </c>
      <c r="CH12" s="55" t="n">
        <f aca="false">CF12+CG12</f>
        <v>2225.13089005236</v>
      </c>
      <c r="CI12" s="54" t="n">
        <f aca="false">CH12-(2_Market_Gross_USD!E10+35)</f>
        <v>690.130890052356</v>
      </c>
      <c r="CJ12" s="64" t="n">
        <f aca="false">IFERROR(CH12/(2_Market_Gross_USD!E10+35),0)</f>
        <v>1.44959667104388</v>
      </c>
      <c r="CK12" s="63" t="n">
        <f aca="false">2_Market_Gross_USD!E10*(1-0.065)</f>
        <v>1402.5</v>
      </c>
      <c r="CL12" s="53" t="n">
        <f aca="false">CK12/0.6303</f>
        <v>2225.13089005236</v>
      </c>
      <c r="CM12" s="54" t="n">
        <f aca="false">CL12*0.2+500</f>
        <v>945.026178010471</v>
      </c>
      <c r="CN12" s="55" t="n">
        <f aca="false">CL12+CM12</f>
        <v>3170.15706806283</v>
      </c>
      <c r="CO12" s="54" t="n">
        <f aca="false">CN12-(2_Market_Gross_USD!E10+35)</f>
        <v>1635.15706806283</v>
      </c>
      <c r="CP12" s="64" t="n">
        <f aca="false">IFERROR(CN12/(2_Market_Gross_USD!E10+35),0)</f>
        <v>2.06524890427546</v>
      </c>
      <c r="CQ12" s="63" t="n">
        <f aca="false">2_Market_Gross_USD!E10*(1-0.065)</f>
        <v>1402.5</v>
      </c>
      <c r="CR12" s="53" t="n">
        <f aca="false">CQ12/0.74</f>
        <v>1895.27027027027</v>
      </c>
      <c r="CS12" s="54" t="n">
        <f aca="false">CR12*0.338+0</f>
        <v>640.601351351351</v>
      </c>
      <c r="CT12" s="55" t="n">
        <f aca="false">CR12+CS12</f>
        <v>2535.87162162162</v>
      </c>
      <c r="CU12" s="54" t="n">
        <f aca="false">CT12-(2_Market_Gross_USD!E10+35)</f>
        <v>1000.87162162162</v>
      </c>
      <c r="CV12" s="64" t="n">
        <f aca="false">IFERROR(CT12/(2_Market_Gross_USD!E10+35),0)</f>
        <v>1.65203362972093</v>
      </c>
      <c r="CW12" s="63" t="n">
        <f aca="false">2_Market_Gross_USD!E10*(1-0.065)</f>
        <v>1402.5</v>
      </c>
      <c r="CX12" s="53" t="n">
        <f aca="false">CW12/0.85</f>
        <v>1650</v>
      </c>
      <c r="CY12" s="54" t="n">
        <f aca="false">CX12*0+0</f>
        <v>0</v>
      </c>
      <c r="CZ12" s="55" t="n">
        <f aca="false">CX12+CY12</f>
        <v>1650</v>
      </c>
      <c r="DA12" s="54" t="n">
        <f aca="false">CZ12-(2_Market_Gross_USD!E10+35)</f>
        <v>115</v>
      </c>
      <c r="DB12" s="64" t="n">
        <f aca="false">IFERROR(CZ12/(2_Market_Gross_USD!E10+35),0)</f>
        <v>1.07491856677524</v>
      </c>
      <c r="DC12" s="63" t="n">
        <f aca="false">2_Market_Gross_USD!E10*(1-0.065)</f>
        <v>1402.5</v>
      </c>
      <c r="DD12" s="53" t="n">
        <f aca="false">DC12/0.74</f>
        <v>1895.27027027027</v>
      </c>
      <c r="DE12" s="54" t="n">
        <f aca="false">DD12*0.338+500</f>
        <v>1140.60135135135</v>
      </c>
      <c r="DF12" s="55" t="n">
        <f aca="false">DD12+DE12</f>
        <v>3035.87162162162</v>
      </c>
      <c r="DG12" s="54" t="n">
        <f aca="false">DF12-(2_Market_Gross_USD!E10+35)</f>
        <v>1500.87162162162</v>
      </c>
      <c r="DH12" s="64" t="n">
        <f aca="false">IFERROR(DF12/(2_Market_Gross_USD!E10+35),0)</f>
        <v>1.97776652874373</v>
      </c>
      <c r="DI12" s="63" t="n">
        <f aca="false">2_Market_Gross_USD!E10*(1-0.065)</f>
        <v>1402.5</v>
      </c>
      <c r="DJ12" s="53" t="n">
        <f aca="false">DI12/0.66</f>
        <v>2125</v>
      </c>
      <c r="DK12" s="54" t="n">
        <f aca="false">DJ12*0.2375+0</f>
        <v>504.6875</v>
      </c>
      <c r="DL12" s="55" t="n">
        <f aca="false">DJ12+DK12</f>
        <v>2629.6875</v>
      </c>
      <c r="DM12" s="54" t="n">
        <f aca="false">DL12-(2_Market_Gross_USD!E10+35)</f>
        <v>1094.6875</v>
      </c>
      <c r="DN12" s="64" t="n">
        <f aca="false">IFERROR(DL12/(2_Market_Gross_USD!E10+35),0)</f>
        <v>1.71315146579805</v>
      </c>
      <c r="DO12" s="63" t="n">
        <f aca="false">2_Market_Gross_USD!E10*(1-0.065)</f>
        <v>1402.5</v>
      </c>
      <c r="DP12" s="53" t="n">
        <f aca="false">DO12/0.8</f>
        <v>1753.125</v>
      </c>
      <c r="DQ12" s="54" t="n">
        <f aca="false">DP12*0+0</f>
        <v>0</v>
      </c>
      <c r="DR12" s="55" t="n">
        <f aca="false">DP12+DQ12</f>
        <v>1753.125</v>
      </c>
      <c r="DS12" s="54" t="n">
        <f aca="false">DR12-(2_Market_Gross_USD!E10+35)</f>
        <v>218.125</v>
      </c>
      <c r="DT12" s="64" t="n">
        <f aca="false">IFERROR(DR12/(2_Market_Gross_USD!E10+35),0)</f>
        <v>1.1421009771987</v>
      </c>
      <c r="DU12" s="63" t="n">
        <f aca="false">2_Market_Gross_USD!E10*(1-0.065)</f>
        <v>1402.5</v>
      </c>
      <c r="DV12" s="53" t="n">
        <f aca="false">DU12/0.66</f>
        <v>2125</v>
      </c>
      <c r="DW12" s="54" t="n">
        <f aca="false">DV12*0.2375+500</f>
        <v>1004.6875</v>
      </c>
      <c r="DX12" s="55" t="n">
        <f aca="false">DV12+DW12</f>
        <v>3129.6875</v>
      </c>
      <c r="DY12" s="54" t="n">
        <f aca="false">DX12-(2_Market_Gross_USD!E10+35)</f>
        <v>1594.6875</v>
      </c>
      <c r="DZ12" s="64" t="n">
        <f aca="false">IFERROR(DX12/(2_Market_Gross_USD!E10+35),0)</f>
        <v>2.03888436482085</v>
      </c>
      <c r="EA12" s="63" t="n">
        <f aca="false">2_Market_Gross_USD!E10*(1-0.065)</f>
        <v>1402.5</v>
      </c>
      <c r="EB12" s="53" t="n">
        <f aca="false">EA12/0.65</f>
        <v>2157.69230769231</v>
      </c>
      <c r="EC12" s="54" t="n">
        <f aca="false">EB12*0.0225+0</f>
        <v>48.5480769230769</v>
      </c>
      <c r="ED12" s="55" t="n">
        <f aca="false">EB12+EC12</f>
        <v>2206.24038461538</v>
      </c>
      <c r="EE12" s="54" t="n">
        <f aca="false">ED12-(2_Market_Gross_USD!E10+35)</f>
        <v>671.240384615385</v>
      </c>
      <c r="EF12" s="64" t="n">
        <f aca="false">IFERROR(ED12/(2_Market_Gross_USD!E10+35),0)</f>
        <v>1.4372901528439</v>
      </c>
      <c r="EG12" s="63" t="n">
        <f aca="false">2_Market_Gross_USD!E10*(1-0.065)</f>
        <v>1402.5</v>
      </c>
      <c r="EH12" s="53" t="n">
        <f aca="false">EG12/0.99</f>
        <v>1416.66666666667</v>
      </c>
      <c r="EI12" s="54" t="n">
        <f aca="false">EH12*0+0</f>
        <v>0</v>
      </c>
      <c r="EJ12" s="55" t="n">
        <f aca="false">EH12+EI12</f>
        <v>1416.66666666667</v>
      </c>
      <c r="EK12" s="54" t="n">
        <f aca="false">EJ12-(2_Market_Gross_USD!E10+35)</f>
        <v>-118.333333333333</v>
      </c>
      <c r="EL12" s="64" t="n">
        <f aca="false">IFERROR(EJ12/(2_Market_Gross_USD!E10+35),0)</f>
        <v>0.922909880564604</v>
      </c>
      <c r="EM12" s="63" t="n">
        <f aca="false">2_Market_Gross_USD!E10*(1-0.065)</f>
        <v>1402.5</v>
      </c>
      <c r="EN12" s="53" t="n">
        <f aca="false">EM12/0.65</f>
        <v>2157.69230769231</v>
      </c>
      <c r="EO12" s="54" t="n">
        <f aca="false">EN12*0.0225+500</f>
        <v>548.548076923077</v>
      </c>
      <c r="EP12" s="55" t="n">
        <f aca="false">EN12+EO12</f>
        <v>2706.24038461538</v>
      </c>
      <c r="EQ12" s="54" t="n">
        <f aca="false">EP12-(2_Market_Gross_USD!E10+35)</f>
        <v>1171.24038461538</v>
      </c>
      <c r="ER12" s="64" t="n">
        <f aca="false">IFERROR(EP12/(2_Market_Gross_USD!E10+35),0)</f>
        <v>1.7630230518667</v>
      </c>
    </row>
    <row r="13" customFormat="false" ht="15" hidden="false" customHeight="false" outlineLevel="0" collapsed="false">
      <c r="A13" s="41" t="n">
        <v>8</v>
      </c>
      <c r="B13" s="28" t="s">
        <v>246</v>
      </c>
      <c r="C13" s="8" t="s">
        <v>252</v>
      </c>
      <c r="D13" s="65" t="s">
        <v>249</v>
      </c>
      <c r="E13" s="63" t="n">
        <f aca="false">2_Market_Gross_USD!E11*(1-0.065)</f>
        <v>4441.25</v>
      </c>
      <c r="F13" s="53" t="n">
        <f aca="false">E13/0.7429</f>
        <v>5978.26086956522</v>
      </c>
      <c r="G13" s="58" t="n">
        <f aca="false">F13*0.2038+0</f>
        <v>1218.36956521739</v>
      </c>
      <c r="H13" s="55" t="n">
        <f aca="false">F13+G13</f>
        <v>7196.63043478261</v>
      </c>
      <c r="I13" s="58" t="n">
        <f aca="false">H13-(2_Market_Gross_USD!E11+35)</f>
        <v>2411.63043478261</v>
      </c>
      <c r="J13" s="66" t="n">
        <f aca="false">IFERROR(H13/(2_Market_Gross_USD!E11+35),0)</f>
        <v>1.5039980009995</v>
      </c>
      <c r="K13" s="63" t="n">
        <f aca="false">2_Market_Gross_USD!E11*(1-0.065)</f>
        <v>4441.25</v>
      </c>
      <c r="L13" s="53" t="n">
        <f aca="false">K13/0.88</f>
        <v>5046.875</v>
      </c>
      <c r="M13" s="58" t="n">
        <f aca="false">L13*0+0</f>
        <v>0</v>
      </c>
      <c r="N13" s="55" t="n">
        <f aca="false">L13+M13</f>
        <v>5046.875</v>
      </c>
      <c r="O13" s="58" t="n">
        <f aca="false">N13-(2_Market_Gross_USD!E11+35)</f>
        <v>261.875</v>
      </c>
      <c r="P13" s="66" t="n">
        <f aca="false">IFERROR(N13/(2_Market_Gross_USD!E11+35),0)</f>
        <v>1.05472831765935</v>
      </c>
      <c r="Q13" s="63" t="n">
        <f aca="false">2_Market_Gross_USD!E11*(1-0.065)</f>
        <v>4441.25</v>
      </c>
      <c r="R13" s="53" t="n">
        <f aca="false">Q13/0.7429</f>
        <v>5978.26086956522</v>
      </c>
      <c r="S13" s="58" t="n">
        <f aca="false">R13*0.2038+500</f>
        <v>1718.36956521739</v>
      </c>
      <c r="T13" s="55" t="n">
        <f aca="false">R13+S13</f>
        <v>7696.63043478261</v>
      </c>
      <c r="U13" s="58" t="n">
        <f aca="false">T13-(2_Market_Gross_USD!E11+35)</f>
        <v>2911.63043478261</v>
      </c>
      <c r="V13" s="66" t="n">
        <f aca="false">IFERROR(T13/(2_Market_Gross_USD!E11+35),0)</f>
        <v>1.60849120894098</v>
      </c>
      <c r="W13" s="63" t="n">
        <f aca="false">2_Market_Gross_USD!E11*(1-0.065)</f>
        <v>4441.25</v>
      </c>
      <c r="X13" s="53" t="n">
        <f aca="false">W13/0.72</f>
        <v>6168.40277777778</v>
      </c>
      <c r="Y13" s="58" t="n">
        <f aca="false">X13*0.15+0</f>
        <v>925.260416666667</v>
      </c>
      <c r="Z13" s="55" t="n">
        <f aca="false">X13+Y13</f>
        <v>7093.66319444445</v>
      </c>
      <c r="AA13" s="58" t="n">
        <f aca="false">Z13-(2_Market_Gross_USD!E11+35)</f>
        <v>2308.66319444445</v>
      </c>
      <c r="AB13" s="66" t="n">
        <f aca="false">IFERROR(Z13/(2_Market_Gross_USD!E11+35),0)</f>
        <v>1.48247924648787</v>
      </c>
      <c r="AC13" s="63" t="n">
        <f aca="false">2_Market_Gross_USD!E11*(1-0.065)</f>
        <v>4441.25</v>
      </c>
      <c r="AD13" s="53" t="n">
        <f aca="false">AC13/0.81</f>
        <v>5483.02469135802</v>
      </c>
      <c r="AE13" s="58" t="n">
        <f aca="false">AD13*0+0</f>
        <v>0</v>
      </c>
      <c r="AF13" s="55" t="n">
        <f aca="false">AD13+AE13</f>
        <v>5483.02469135802</v>
      </c>
      <c r="AG13" s="58" t="n">
        <f aca="false">AF13-(2_Market_Gross_USD!E11+35)</f>
        <v>698.024691358024</v>
      </c>
      <c r="AH13" s="66" t="n">
        <f aca="false">IFERROR(AF13/(2_Market_Gross_USD!E11+35),0)</f>
        <v>1.14587767844473</v>
      </c>
      <c r="AI13" s="63" t="n">
        <f aca="false">2_Market_Gross_USD!E11*(1-0.065)</f>
        <v>4441.25</v>
      </c>
      <c r="AJ13" s="53" t="n">
        <f aca="false">AI13/0.72</f>
        <v>6168.40277777778</v>
      </c>
      <c r="AK13" s="58" t="n">
        <f aca="false">AJ13*0.15+500</f>
        <v>1425.26041666667</v>
      </c>
      <c r="AL13" s="55" t="n">
        <f aca="false">AJ13+AK13</f>
        <v>7593.66319444445</v>
      </c>
      <c r="AM13" s="58" t="n">
        <f aca="false">AL13-(2_Market_Gross_USD!E11+35)</f>
        <v>2808.66319444445</v>
      </c>
      <c r="AN13" s="66" t="n">
        <f aca="false">IFERROR(AL13/(2_Market_Gross_USD!E11+35),0)</f>
        <v>1.58697245442935</v>
      </c>
      <c r="AO13" s="63" t="n">
        <f aca="false">2_Market_Gross_USD!E11*(1-0.065)</f>
        <v>4441.25</v>
      </c>
      <c r="AP13" s="53" t="n">
        <f aca="false">AO13/0.7035</f>
        <v>6313.07746979389</v>
      </c>
      <c r="AQ13" s="58" t="n">
        <f aca="false">AP13*0.11+0</f>
        <v>694.438521677328</v>
      </c>
      <c r="AR13" s="55" t="n">
        <f aca="false">AP13+AQ13</f>
        <v>7007.51599147122</v>
      </c>
      <c r="AS13" s="58" t="n">
        <f aca="false">AR13-(2_Market_Gross_USD!E11+35)</f>
        <v>2222.51599147122</v>
      </c>
      <c r="AT13" s="66" t="n">
        <f aca="false">IFERROR(AR13/(2_Market_Gross_USD!E11+35),0)</f>
        <v>1.46447565130015</v>
      </c>
      <c r="AU13" s="63" t="n">
        <f aca="false">2_Market_Gross_USD!E11*(1-0.065)</f>
        <v>4441.25</v>
      </c>
      <c r="AV13" s="53" t="n">
        <f aca="false">AU13/0.627</f>
        <v>7083.33333333333</v>
      </c>
      <c r="AW13" s="58" t="n">
        <f aca="false">AV13*0+0</f>
        <v>0</v>
      </c>
      <c r="AX13" s="55" t="n">
        <f aca="false">AV13+AW13</f>
        <v>7083.33333333333</v>
      </c>
      <c r="AY13" s="58" t="n">
        <f aca="false">AX13-(2_Market_Gross_USD!E11+35)</f>
        <v>2298.33333333333</v>
      </c>
      <c r="AZ13" s="66" t="n">
        <f aca="false">IFERROR(AX13/(2_Market_Gross_USD!E11+35),0)</f>
        <v>1.48032044583769</v>
      </c>
      <c r="BA13" s="63" t="n">
        <f aca="false">2_Market_Gross_USD!E11*(1-0.065)</f>
        <v>4441.25</v>
      </c>
      <c r="BB13" s="53" t="n">
        <f aca="false">BA13/0.7035</f>
        <v>6313.07746979389</v>
      </c>
      <c r="BC13" s="58" t="n">
        <f aca="false">BB13*0.11+500</f>
        <v>1194.43852167733</v>
      </c>
      <c r="BD13" s="55" t="n">
        <f aca="false">BB13+BC13</f>
        <v>7507.51599147122</v>
      </c>
      <c r="BE13" s="58" t="n">
        <f aca="false">BD13-(2_Market_Gross_USD!E11+35)</f>
        <v>2722.51599147122</v>
      </c>
      <c r="BF13" s="66" t="n">
        <f aca="false">IFERROR(BD13/(2_Market_Gross_USD!E11+35),0)</f>
        <v>1.56896885924163</v>
      </c>
      <c r="BG13" s="63" t="n">
        <f aca="false">2_Market_Gross_USD!E11*(1-0.065)</f>
        <v>4441.25</v>
      </c>
      <c r="BH13" s="53" t="n">
        <f aca="false">BG13/0.5215</f>
        <v>8516.29913710451</v>
      </c>
      <c r="BI13" s="58" t="n">
        <f aca="false">BH13*0.21+0</f>
        <v>1788.42281879195</v>
      </c>
      <c r="BJ13" s="55" t="n">
        <f aca="false">BH13+BI13</f>
        <v>10304.7219558965</v>
      </c>
      <c r="BK13" s="58" t="n">
        <f aca="false">BJ13-(2_Market_Gross_USD!E11+35)</f>
        <v>5519.72195589645</v>
      </c>
      <c r="BL13" s="66" t="n">
        <f aca="false">IFERROR(BJ13/(2_Market_Gross_USD!E11+35),0)</f>
        <v>2.15354690823332</v>
      </c>
      <c r="BM13" s="63" t="n">
        <f aca="false">2_Market_Gross_USD!E11*(1-0.065)</f>
        <v>4441.25</v>
      </c>
      <c r="BN13" s="53" t="n">
        <f aca="false">BM13/0.75</f>
        <v>5921.66666666667</v>
      </c>
      <c r="BO13" s="58" t="n">
        <f aca="false">BN13*0+0</f>
        <v>0</v>
      </c>
      <c r="BP13" s="55" t="n">
        <f aca="false">BN13+BO13</f>
        <v>5921.66666666667</v>
      </c>
      <c r="BQ13" s="58" t="n">
        <f aca="false">BP13-(2_Market_Gross_USD!E11+35)</f>
        <v>1136.66666666667</v>
      </c>
      <c r="BR13" s="66" t="n">
        <f aca="false">IFERROR(BP13/(2_Market_Gross_USD!E11+35),0)</f>
        <v>1.23754789272031</v>
      </c>
      <c r="BS13" s="63" t="n">
        <f aca="false">2_Market_Gross_USD!E11*(1-0.065)</f>
        <v>4441.25</v>
      </c>
      <c r="BT13" s="53" t="n">
        <f aca="false">BS13/0.5215</f>
        <v>8516.29913710451</v>
      </c>
      <c r="BU13" s="58" t="n">
        <f aca="false">BT13*0.21+500</f>
        <v>2288.42281879195</v>
      </c>
      <c r="BV13" s="55" t="n">
        <f aca="false">BT13+BU13</f>
        <v>10804.7219558965</v>
      </c>
      <c r="BW13" s="58" t="n">
        <f aca="false">BV13-(2_Market_Gross_USD!E11+35)</f>
        <v>6019.72195589645</v>
      </c>
      <c r="BX13" s="66" t="n">
        <f aca="false">IFERROR(BV13/(2_Market_Gross_USD!E11+35),0)</f>
        <v>2.25804011617481</v>
      </c>
      <c r="BY13" s="63" t="n">
        <f aca="false">2_Market_Gross_USD!E11*(1-0.065)</f>
        <v>4441.25</v>
      </c>
      <c r="BZ13" s="53" t="n">
        <f aca="false">BY13/0.6303</f>
        <v>7046.24781849913</v>
      </c>
      <c r="CA13" s="58" t="n">
        <f aca="false">BZ13*0.2+0</f>
        <v>1409.24956369983</v>
      </c>
      <c r="CB13" s="55" t="n">
        <f aca="false">BZ13+CA13</f>
        <v>8455.49738219895</v>
      </c>
      <c r="CC13" s="58" t="n">
        <f aca="false">CB13-(2_Market_Gross_USD!E11+35)</f>
        <v>3670.49738219895</v>
      </c>
      <c r="CD13" s="66" t="n">
        <f aca="false">IFERROR(CB13/(2_Market_Gross_USD!E11+35),0)</f>
        <v>1.76708409241357</v>
      </c>
      <c r="CE13" s="63" t="n">
        <f aca="false">2_Market_Gross_USD!E11*(1-0.065)</f>
        <v>4441.25</v>
      </c>
      <c r="CF13" s="53" t="n">
        <f aca="false">CE13/0.6303</f>
        <v>7046.24781849913</v>
      </c>
      <c r="CG13" s="58" t="n">
        <f aca="false">CF13*0+0</f>
        <v>0</v>
      </c>
      <c r="CH13" s="55" t="n">
        <f aca="false">CF13+CG13</f>
        <v>7046.24781849913</v>
      </c>
      <c r="CI13" s="58" t="n">
        <f aca="false">CH13-(2_Market_Gross_USD!E11+35)</f>
        <v>2261.24781849913</v>
      </c>
      <c r="CJ13" s="66" t="n">
        <f aca="false">IFERROR(CH13/(2_Market_Gross_USD!E11+35),0)</f>
        <v>1.47257007701131</v>
      </c>
      <c r="CK13" s="63" t="n">
        <f aca="false">2_Market_Gross_USD!E11*(1-0.065)</f>
        <v>4441.25</v>
      </c>
      <c r="CL13" s="53" t="n">
        <f aca="false">CK13/0.6303</f>
        <v>7046.24781849913</v>
      </c>
      <c r="CM13" s="58" t="n">
        <f aca="false">CL13*0.2+500</f>
        <v>1909.24956369983</v>
      </c>
      <c r="CN13" s="55" t="n">
        <f aca="false">CL13+CM13</f>
        <v>8955.49738219895</v>
      </c>
      <c r="CO13" s="58" t="n">
        <f aca="false">CN13-(2_Market_Gross_USD!E11+35)</f>
        <v>4170.49738219895</v>
      </c>
      <c r="CP13" s="66" t="n">
        <f aca="false">IFERROR(CN13/(2_Market_Gross_USD!E11+35),0)</f>
        <v>1.87157730035506</v>
      </c>
      <c r="CQ13" s="63" t="n">
        <f aca="false">2_Market_Gross_USD!E11*(1-0.065)</f>
        <v>4441.25</v>
      </c>
      <c r="CR13" s="53" t="n">
        <f aca="false">CQ13/0.74</f>
        <v>6001.68918918919</v>
      </c>
      <c r="CS13" s="58" t="n">
        <f aca="false">CR13*0.338+0</f>
        <v>2028.57094594595</v>
      </c>
      <c r="CT13" s="55" t="n">
        <f aca="false">CR13+CS13</f>
        <v>8030.26013513514</v>
      </c>
      <c r="CU13" s="58" t="n">
        <f aca="false">CT13-(2_Market_Gross_USD!E11+35)</f>
        <v>3245.26013513514</v>
      </c>
      <c r="CV13" s="66" t="n">
        <f aca="false">IFERROR(CT13/(2_Market_Gross_USD!E11+35),0)</f>
        <v>1.67821528424977</v>
      </c>
      <c r="CW13" s="63" t="n">
        <f aca="false">2_Market_Gross_USD!E11*(1-0.065)</f>
        <v>4441.25</v>
      </c>
      <c r="CX13" s="53" t="n">
        <f aca="false">CW13/0.85</f>
        <v>5225</v>
      </c>
      <c r="CY13" s="58" t="n">
        <f aca="false">CX13*0+0</f>
        <v>0</v>
      </c>
      <c r="CZ13" s="55" t="n">
        <f aca="false">CX13+CY13</f>
        <v>5225</v>
      </c>
      <c r="DA13" s="58" t="n">
        <f aca="false">CZ13-(2_Market_Gross_USD!E11+35)</f>
        <v>440</v>
      </c>
      <c r="DB13" s="66" t="n">
        <f aca="false">IFERROR(CZ13/(2_Market_Gross_USD!E11+35),0)</f>
        <v>1.09195402298851</v>
      </c>
      <c r="DC13" s="63" t="n">
        <f aca="false">2_Market_Gross_USD!E11*(1-0.065)</f>
        <v>4441.25</v>
      </c>
      <c r="DD13" s="53" t="n">
        <f aca="false">DC13/0.74</f>
        <v>6001.68918918919</v>
      </c>
      <c r="DE13" s="58" t="n">
        <f aca="false">DD13*0.338+500</f>
        <v>2528.57094594595</v>
      </c>
      <c r="DF13" s="55" t="n">
        <f aca="false">DD13+DE13</f>
        <v>8530.26013513514</v>
      </c>
      <c r="DG13" s="58" t="n">
        <f aca="false">DF13-(2_Market_Gross_USD!E11+35)</f>
        <v>3745.26013513514</v>
      </c>
      <c r="DH13" s="66" t="n">
        <f aca="false">IFERROR(DF13/(2_Market_Gross_USD!E11+35),0)</f>
        <v>1.78270849219125</v>
      </c>
      <c r="DI13" s="63" t="n">
        <f aca="false">2_Market_Gross_USD!E11*(1-0.065)</f>
        <v>4441.25</v>
      </c>
      <c r="DJ13" s="53" t="n">
        <f aca="false">DI13/0.66</f>
        <v>6729.16666666667</v>
      </c>
      <c r="DK13" s="58" t="n">
        <f aca="false">DJ13*0.2375+0</f>
        <v>1598.17708333333</v>
      </c>
      <c r="DL13" s="55" t="n">
        <f aca="false">DJ13+DK13</f>
        <v>8327.34375</v>
      </c>
      <c r="DM13" s="58" t="n">
        <f aca="false">DL13-(2_Market_Gross_USD!E11+35)</f>
        <v>3542.34375</v>
      </c>
      <c r="DN13" s="66" t="n">
        <f aca="false">IFERROR(DL13/(2_Market_Gross_USD!E11+35),0)</f>
        <v>1.74030172413793</v>
      </c>
      <c r="DO13" s="63" t="n">
        <f aca="false">2_Market_Gross_USD!E11*(1-0.065)</f>
        <v>4441.25</v>
      </c>
      <c r="DP13" s="53" t="n">
        <f aca="false">DO13/0.8</f>
        <v>5551.5625</v>
      </c>
      <c r="DQ13" s="58" t="n">
        <f aca="false">DP13*0+0</f>
        <v>0</v>
      </c>
      <c r="DR13" s="55" t="n">
        <f aca="false">DP13+DQ13</f>
        <v>5551.5625</v>
      </c>
      <c r="DS13" s="58" t="n">
        <f aca="false">DR13-(2_Market_Gross_USD!E11+35)</f>
        <v>766.5625</v>
      </c>
      <c r="DT13" s="66" t="n">
        <f aca="false">IFERROR(DR13/(2_Market_Gross_USD!E11+35),0)</f>
        <v>1.16020114942529</v>
      </c>
      <c r="DU13" s="63" t="n">
        <f aca="false">2_Market_Gross_USD!E11*(1-0.065)</f>
        <v>4441.25</v>
      </c>
      <c r="DV13" s="53" t="n">
        <f aca="false">DU13/0.66</f>
        <v>6729.16666666667</v>
      </c>
      <c r="DW13" s="58" t="n">
        <f aca="false">DV13*0.2375+500</f>
        <v>2098.17708333333</v>
      </c>
      <c r="DX13" s="55" t="n">
        <f aca="false">DV13+DW13</f>
        <v>8827.34375</v>
      </c>
      <c r="DY13" s="58" t="n">
        <f aca="false">DX13-(2_Market_Gross_USD!E11+35)</f>
        <v>4042.34375</v>
      </c>
      <c r="DZ13" s="66" t="n">
        <f aca="false">IFERROR(DX13/(2_Market_Gross_USD!E11+35),0)</f>
        <v>1.84479493207941</v>
      </c>
      <c r="EA13" s="63" t="n">
        <f aca="false">2_Market_Gross_USD!E11*(1-0.065)</f>
        <v>4441.25</v>
      </c>
      <c r="EB13" s="53" t="n">
        <f aca="false">EA13/0.65</f>
        <v>6832.69230769231</v>
      </c>
      <c r="EC13" s="58" t="n">
        <f aca="false">EB13*0.0225+0</f>
        <v>153.735576923077</v>
      </c>
      <c r="ED13" s="55" t="n">
        <f aca="false">EB13+EC13</f>
        <v>6986.42788461539</v>
      </c>
      <c r="EE13" s="58" t="n">
        <f aca="false">ED13-(2_Market_Gross_USD!E11+35)</f>
        <v>2201.42788461538</v>
      </c>
      <c r="EF13" s="66" t="n">
        <f aca="false">IFERROR(ED13/(2_Market_Gross_USD!E11+35),0)</f>
        <v>1.46006852343059</v>
      </c>
      <c r="EG13" s="63" t="n">
        <f aca="false">2_Market_Gross_USD!E11*(1-0.065)</f>
        <v>4441.25</v>
      </c>
      <c r="EH13" s="53" t="n">
        <f aca="false">EG13/0.99</f>
        <v>4486.11111111111</v>
      </c>
      <c r="EI13" s="58" t="n">
        <f aca="false">EH13*0+0</f>
        <v>0</v>
      </c>
      <c r="EJ13" s="55" t="n">
        <f aca="false">EH13+EI13</f>
        <v>4486.11111111111</v>
      </c>
      <c r="EK13" s="58" t="n">
        <f aca="false">EJ13-(2_Market_Gross_USD!E11+35)</f>
        <v>-298.888888888889</v>
      </c>
      <c r="EL13" s="66" t="n">
        <f aca="false">IFERROR(EJ13/(2_Market_Gross_USD!E11+35),0)</f>
        <v>0.937536282363869</v>
      </c>
      <c r="EM13" s="63" t="n">
        <f aca="false">2_Market_Gross_USD!E11*(1-0.065)</f>
        <v>4441.25</v>
      </c>
      <c r="EN13" s="53" t="n">
        <f aca="false">EM13/0.65</f>
        <v>6832.69230769231</v>
      </c>
      <c r="EO13" s="58" t="n">
        <f aca="false">EN13*0.0225+500</f>
        <v>653.735576923077</v>
      </c>
      <c r="EP13" s="55" t="n">
        <f aca="false">EN13+EO13</f>
        <v>7486.42788461539</v>
      </c>
      <c r="EQ13" s="58" t="n">
        <f aca="false">EP13-(2_Market_Gross_USD!E11+35)</f>
        <v>2701.42788461538</v>
      </c>
      <c r="ER13" s="66" t="n">
        <f aca="false">IFERROR(EP13/(2_Market_Gross_USD!E11+35),0)</f>
        <v>1.56456173137208</v>
      </c>
    </row>
    <row r="14" customFormat="false" ht="15" hidden="false" customHeight="false" outlineLevel="0" collapsed="false">
      <c r="A14" s="37" t="n">
        <v>9</v>
      </c>
      <c r="B14" s="32" t="s">
        <v>253</v>
      </c>
      <c r="C14" s="32" t="s">
        <v>254</v>
      </c>
      <c r="D14" s="62" t="s">
        <v>248</v>
      </c>
      <c r="E14" s="63" t="n">
        <f aca="false">2_Market_Gross_USD!E12*(1-0.065)</f>
        <v>1402.5</v>
      </c>
      <c r="F14" s="53" t="n">
        <f aca="false">E14/0.7429</f>
        <v>1887.87185354691</v>
      </c>
      <c r="G14" s="54" t="n">
        <f aca="false">F14*0.2038+0</f>
        <v>384.74828375286</v>
      </c>
      <c r="H14" s="55" t="n">
        <f aca="false">F14+G14</f>
        <v>2272.62013729977</v>
      </c>
      <c r="I14" s="54" t="n">
        <f aca="false">H14-(2_Market_Gross_USD!E12+35)</f>
        <v>737.620137299771</v>
      </c>
      <c r="J14" s="64" t="n">
        <f aca="false">IFERROR(H14/(2_Market_Gross_USD!E12+35),0)</f>
        <v>1.4805342914005</v>
      </c>
      <c r="K14" s="63" t="n">
        <f aca="false">2_Market_Gross_USD!E12*(1-0.065)</f>
        <v>1402.5</v>
      </c>
      <c r="L14" s="53" t="n">
        <f aca="false">K14/0.88</f>
        <v>1593.75</v>
      </c>
      <c r="M14" s="54" t="n">
        <f aca="false">L14*0+0</f>
        <v>0</v>
      </c>
      <c r="N14" s="55" t="n">
        <f aca="false">L14+M14</f>
        <v>1593.75</v>
      </c>
      <c r="O14" s="54" t="n">
        <f aca="false">N14-(2_Market_Gross_USD!E12+35)</f>
        <v>58.75</v>
      </c>
      <c r="P14" s="64" t="n">
        <f aca="false">IFERROR(N14/(2_Market_Gross_USD!E12+35),0)</f>
        <v>1.03827361563518</v>
      </c>
      <c r="Q14" s="63" t="n">
        <f aca="false">2_Market_Gross_USD!E12*(1-0.065)</f>
        <v>1402.5</v>
      </c>
      <c r="R14" s="53" t="n">
        <f aca="false">Q14/0.7429</f>
        <v>1887.87185354691</v>
      </c>
      <c r="S14" s="54" t="n">
        <f aca="false">R14*0.2038+500</f>
        <v>884.74828375286</v>
      </c>
      <c r="T14" s="55" t="n">
        <f aca="false">R14+S14</f>
        <v>2772.62013729977</v>
      </c>
      <c r="U14" s="54" t="n">
        <f aca="false">T14-(2_Market_Gross_USD!E12+35)</f>
        <v>1237.62013729977</v>
      </c>
      <c r="V14" s="64" t="n">
        <f aca="false">IFERROR(T14/(2_Market_Gross_USD!E12+35),0)</f>
        <v>1.8062671904233</v>
      </c>
      <c r="W14" s="63" t="n">
        <f aca="false">2_Market_Gross_USD!E12*(1-0.065)</f>
        <v>1402.5</v>
      </c>
      <c r="X14" s="53" t="n">
        <f aca="false">W14/0.72</f>
        <v>1947.91666666667</v>
      </c>
      <c r="Y14" s="54" t="n">
        <f aca="false">X14*0.15+0</f>
        <v>292.1875</v>
      </c>
      <c r="Z14" s="55" t="n">
        <f aca="false">X14+Y14</f>
        <v>2240.10416666667</v>
      </c>
      <c r="AA14" s="54" t="n">
        <f aca="false">Z14-(2_Market_Gross_USD!E12+35)</f>
        <v>705.104166666667</v>
      </c>
      <c r="AB14" s="64" t="n">
        <f aca="false">IFERROR(Z14/(2_Market_Gross_USD!E12+35),0)</f>
        <v>1.45935124864278</v>
      </c>
      <c r="AC14" s="63" t="n">
        <f aca="false">2_Market_Gross_USD!E12*(1-0.065)</f>
        <v>1402.5</v>
      </c>
      <c r="AD14" s="53" t="n">
        <f aca="false">AC14/0.81</f>
        <v>1731.48148148148</v>
      </c>
      <c r="AE14" s="54" t="n">
        <f aca="false">AD14*0+0</f>
        <v>0</v>
      </c>
      <c r="AF14" s="55" t="n">
        <f aca="false">AD14+AE14</f>
        <v>1731.48148148148</v>
      </c>
      <c r="AG14" s="54" t="n">
        <f aca="false">AF14-(2_Market_Gross_USD!E12+35)</f>
        <v>196.481481481481</v>
      </c>
      <c r="AH14" s="64" t="n">
        <f aca="false">IFERROR(AF14/(2_Market_Gross_USD!E12+35),0)</f>
        <v>1.12800096513452</v>
      </c>
      <c r="AI14" s="63" t="n">
        <f aca="false">2_Market_Gross_USD!E12*(1-0.065)</f>
        <v>1402.5</v>
      </c>
      <c r="AJ14" s="53" t="n">
        <f aca="false">AI14/0.72</f>
        <v>1947.91666666667</v>
      </c>
      <c r="AK14" s="54" t="n">
        <f aca="false">AJ14*0.15+500</f>
        <v>792.1875</v>
      </c>
      <c r="AL14" s="55" t="n">
        <f aca="false">AJ14+AK14</f>
        <v>2740.10416666667</v>
      </c>
      <c r="AM14" s="54" t="n">
        <f aca="false">AL14-(2_Market_Gross_USD!E12+35)</f>
        <v>1205.10416666667</v>
      </c>
      <c r="AN14" s="64" t="n">
        <f aca="false">IFERROR(AL14/(2_Market_Gross_USD!E12+35),0)</f>
        <v>1.78508414766558</v>
      </c>
      <c r="AO14" s="63" t="n">
        <f aca="false">2_Market_Gross_USD!E12*(1-0.065)</f>
        <v>1402.5</v>
      </c>
      <c r="AP14" s="53" t="n">
        <f aca="false">AO14/0.7035</f>
        <v>1993.60341151386</v>
      </c>
      <c r="AQ14" s="54" t="n">
        <f aca="false">AP14*0.11+0</f>
        <v>219.296375266525</v>
      </c>
      <c r="AR14" s="55" t="n">
        <f aca="false">AP14+AQ14</f>
        <v>2212.89978678038</v>
      </c>
      <c r="AS14" s="54" t="n">
        <f aca="false">AR14-(2_Market_Gross_USD!E12+35)</f>
        <v>677.899786780384</v>
      </c>
      <c r="AT14" s="64" t="n">
        <f aca="false">IFERROR(AR14/(2_Market_Gross_USD!E12+35),0)</f>
        <v>1.44162852558983</v>
      </c>
      <c r="AU14" s="63" t="n">
        <f aca="false">2_Market_Gross_USD!E12*(1-0.065)</f>
        <v>1402.5</v>
      </c>
      <c r="AV14" s="53" t="n">
        <f aca="false">AU14/0.627</f>
        <v>2236.84210526316</v>
      </c>
      <c r="AW14" s="54" t="n">
        <f aca="false">AV14*0+0</f>
        <v>0</v>
      </c>
      <c r="AX14" s="55" t="n">
        <f aca="false">AV14+AW14</f>
        <v>2236.84210526316</v>
      </c>
      <c r="AY14" s="54" t="n">
        <f aca="false">AX14-(2_Market_Gross_USD!E12+35)</f>
        <v>701.842105263158</v>
      </c>
      <c r="AZ14" s="64" t="n">
        <f aca="false">IFERROR(AX14/(2_Market_Gross_USD!E12+35),0)</f>
        <v>1.45722612720727</v>
      </c>
      <c r="BA14" s="63" t="n">
        <f aca="false">2_Market_Gross_USD!E12*(1-0.065)</f>
        <v>1402.5</v>
      </c>
      <c r="BB14" s="53" t="n">
        <f aca="false">BA14/0.7035</f>
        <v>1993.60341151386</v>
      </c>
      <c r="BC14" s="54" t="n">
        <f aca="false">BB14*0.11+500</f>
        <v>719.296375266525</v>
      </c>
      <c r="BD14" s="55" t="n">
        <f aca="false">BB14+BC14</f>
        <v>2712.89978678038</v>
      </c>
      <c r="BE14" s="54" t="n">
        <f aca="false">BD14-(2_Market_Gross_USD!E12+35)</f>
        <v>1177.89978678038</v>
      </c>
      <c r="BF14" s="64" t="n">
        <f aca="false">IFERROR(BD14/(2_Market_Gross_USD!E12+35),0)</f>
        <v>1.76736142461263</v>
      </c>
      <c r="BG14" s="63" t="n">
        <f aca="false">2_Market_Gross_USD!E12*(1-0.065)</f>
        <v>1402.5</v>
      </c>
      <c r="BH14" s="53" t="n">
        <f aca="false">BG14/0.5215</f>
        <v>2689.35762224353</v>
      </c>
      <c r="BI14" s="54" t="n">
        <f aca="false">BH14*0.21+0</f>
        <v>564.765100671141</v>
      </c>
      <c r="BJ14" s="55" t="n">
        <f aca="false">BH14+BI14</f>
        <v>3254.12272291467</v>
      </c>
      <c r="BK14" s="54" t="n">
        <f aca="false">BJ14-(2_Market_Gross_USD!E12+35)</f>
        <v>1719.12272291467</v>
      </c>
      <c r="BL14" s="64" t="n">
        <f aca="false">IFERROR(BJ14/(2_Market_Gross_USD!E12+35),0)</f>
        <v>2.11994965662193</v>
      </c>
      <c r="BM14" s="63" t="n">
        <f aca="false">2_Market_Gross_USD!E12*(1-0.065)</f>
        <v>1402.5</v>
      </c>
      <c r="BN14" s="53" t="n">
        <f aca="false">BM14/0.75</f>
        <v>1870</v>
      </c>
      <c r="BO14" s="54" t="n">
        <f aca="false">BN14*0+0</f>
        <v>0</v>
      </c>
      <c r="BP14" s="55" t="n">
        <f aca="false">BN14+BO14</f>
        <v>1870</v>
      </c>
      <c r="BQ14" s="54" t="n">
        <f aca="false">BP14-(2_Market_Gross_USD!E12+35)</f>
        <v>335</v>
      </c>
      <c r="BR14" s="64" t="n">
        <f aca="false">IFERROR(BP14/(2_Market_Gross_USD!E12+35),0)</f>
        <v>1.21824104234528</v>
      </c>
      <c r="BS14" s="63" t="n">
        <f aca="false">2_Market_Gross_USD!E12*(1-0.065)</f>
        <v>1402.5</v>
      </c>
      <c r="BT14" s="53" t="n">
        <f aca="false">BS14/0.5215</f>
        <v>2689.35762224353</v>
      </c>
      <c r="BU14" s="54" t="n">
        <f aca="false">BT14*0.21+500</f>
        <v>1064.76510067114</v>
      </c>
      <c r="BV14" s="55" t="n">
        <f aca="false">BT14+BU14</f>
        <v>3754.12272291467</v>
      </c>
      <c r="BW14" s="54" t="n">
        <f aca="false">BV14-(2_Market_Gross_USD!E12+35)</f>
        <v>2219.12272291467</v>
      </c>
      <c r="BX14" s="64" t="n">
        <f aca="false">IFERROR(BV14/(2_Market_Gross_USD!E12+35),0)</f>
        <v>2.44568255564474</v>
      </c>
      <c r="BY14" s="63" t="n">
        <f aca="false">2_Market_Gross_USD!E12*(1-0.065)</f>
        <v>1402.5</v>
      </c>
      <c r="BZ14" s="53" t="n">
        <f aca="false">BY14/0.6303</f>
        <v>2225.13089005236</v>
      </c>
      <c r="CA14" s="54" t="n">
        <f aca="false">BZ14*0.2+0</f>
        <v>445.026178010471</v>
      </c>
      <c r="CB14" s="55" t="n">
        <f aca="false">BZ14+CA14</f>
        <v>2670.15706806283</v>
      </c>
      <c r="CC14" s="54" t="n">
        <f aca="false">CB14-(2_Market_Gross_USD!E12+35)</f>
        <v>1135.15706806283</v>
      </c>
      <c r="CD14" s="64" t="n">
        <f aca="false">IFERROR(CB14/(2_Market_Gross_USD!E12+35),0)</f>
        <v>1.73951600525266</v>
      </c>
      <c r="CE14" s="63" t="n">
        <f aca="false">2_Market_Gross_USD!E12*(1-0.065)</f>
        <v>1402.5</v>
      </c>
      <c r="CF14" s="53" t="n">
        <f aca="false">CE14/0.6303</f>
        <v>2225.13089005236</v>
      </c>
      <c r="CG14" s="54" t="n">
        <f aca="false">CF14*0+0</f>
        <v>0</v>
      </c>
      <c r="CH14" s="55" t="n">
        <f aca="false">CF14+CG14</f>
        <v>2225.13089005236</v>
      </c>
      <c r="CI14" s="54" t="n">
        <f aca="false">CH14-(2_Market_Gross_USD!E12+35)</f>
        <v>690.130890052356</v>
      </c>
      <c r="CJ14" s="64" t="n">
        <f aca="false">IFERROR(CH14/(2_Market_Gross_USD!E12+35),0)</f>
        <v>1.44959667104388</v>
      </c>
      <c r="CK14" s="63" t="n">
        <f aca="false">2_Market_Gross_USD!E12*(1-0.065)</f>
        <v>1402.5</v>
      </c>
      <c r="CL14" s="53" t="n">
        <f aca="false">CK14/0.6303</f>
        <v>2225.13089005236</v>
      </c>
      <c r="CM14" s="54" t="n">
        <f aca="false">CL14*0.2+500</f>
        <v>945.026178010471</v>
      </c>
      <c r="CN14" s="55" t="n">
        <f aca="false">CL14+CM14</f>
        <v>3170.15706806283</v>
      </c>
      <c r="CO14" s="54" t="n">
        <f aca="false">CN14-(2_Market_Gross_USD!E12+35)</f>
        <v>1635.15706806283</v>
      </c>
      <c r="CP14" s="64" t="n">
        <f aca="false">IFERROR(CN14/(2_Market_Gross_USD!E12+35),0)</f>
        <v>2.06524890427546</v>
      </c>
      <c r="CQ14" s="63" t="n">
        <f aca="false">2_Market_Gross_USD!E12*(1-0.065)</f>
        <v>1402.5</v>
      </c>
      <c r="CR14" s="53" t="n">
        <f aca="false">CQ14/0.74</f>
        <v>1895.27027027027</v>
      </c>
      <c r="CS14" s="54" t="n">
        <f aca="false">CR14*0.338+0</f>
        <v>640.601351351351</v>
      </c>
      <c r="CT14" s="55" t="n">
        <f aca="false">CR14+CS14</f>
        <v>2535.87162162162</v>
      </c>
      <c r="CU14" s="54" t="n">
        <f aca="false">CT14-(2_Market_Gross_USD!E12+35)</f>
        <v>1000.87162162162</v>
      </c>
      <c r="CV14" s="64" t="n">
        <f aca="false">IFERROR(CT14/(2_Market_Gross_USD!E12+35),0)</f>
        <v>1.65203362972093</v>
      </c>
      <c r="CW14" s="63" t="n">
        <f aca="false">2_Market_Gross_USD!E12*(1-0.065)</f>
        <v>1402.5</v>
      </c>
      <c r="CX14" s="53" t="n">
        <f aca="false">CW14/0.85</f>
        <v>1650</v>
      </c>
      <c r="CY14" s="54" t="n">
        <f aca="false">CX14*0+0</f>
        <v>0</v>
      </c>
      <c r="CZ14" s="55" t="n">
        <f aca="false">CX14+CY14</f>
        <v>1650</v>
      </c>
      <c r="DA14" s="54" t="n">
        <f aca="false">CZ14-(2_Market_Gross_USD!E12+35)</f>
        <v>115</v>
      </c>
      <c r="DB14" s="64" t="n">
        <f aca="false">IFERROR(CZ14/(2_Market_Gross_USD!E12+35),0)</f>
        <v>1.07491856677524</v>
      </c>
      <c r="DC14" s="63" t="n">
        <f aca="false">2_Market_Gross_USD!E12*(1-0.065)</f>
        <v>1402.5</v>
      </c>
      <c r="DD14" s="53" t="n">
        <f aca="false">DC14/0.74</f>
        <v>1895.27027027027</v>
      </c>
      <c r="DE14" s="54" t="n">
        <f aca="false">DD14*0.338+500</f>
        <v>1140.60135135135</v>
      </c>
      <c r="DF14" s="55" t="n">
        <f aca="false">DD14+DE14</f>
        <v>3035.87162162162</v>
      </c>
      <c r="DG14" s="54" t="n">
        <f aca="false">DF14-(2_Market_Gross_USD!E12+35)</f>
        <v>1500.87162162162</v>
      </c>
      <c r="DH14" s="64" t="n">
        <f aca="false">IFERROR(DF14/(2_Market_Gross_USD!E12+35),0)</f>
        <v>1.97776652874373</v>
      </c>
      <c r="DI14" s="63" t="n">
        <f aca="false">2_Market_Gross_USD!E12*(1-0.065)</f>
        <v>1402.5</v>
      </c>
      <c r="DJ14" s="53" t="n">
        <f aca="false">DI14/0.66</f>
        <v>2125</v>
      </c>
      <c r="DK14" s="54" t="n">
        <f aca="false">DJ14*0.2375+0</f>
        <v>504.6875</v>
      </c>
      <c r="DL14" s="55" t="n">
        <f aca="false">DJ14+DK14</f>
        <v>2629.6875</v>
      </c>
      <c r="DM14" s="54" t="n">
        <f aca="false">DL14-(2_Market_Gross_USD!E12+35)</f>
        <v>1094.6875</v>
      </c>
      <c r="DN14" s="64" t="n">
        <f aca="false">IFERROR(DL14/(2_Market_Gross_USD!E12+35),0)</f>
        <v>1.71315146579805</v>
      </c>
      <c r="DO14" s="63" t="n">
        <f aca="false">2_Market_Gross_USD!E12*(1-0.065)</f>
        <v>1402.5</v>
      </c>
      <c r="DP14" s="53" t="n">
        <f aca="false">DO14/0.8</f>
        <v>1753.125</v>
      </c>
      <c r="DQ14" s="54" t="n">
        <f aca="false">DP14*0+0</f>
        <v>0</v>
      </c>
      <c r="DR14" s="55" t="n">
        <f aca="false">DP14+DQ14</f>
        <v>1753.125</v>
      </c>
      <c r="DS14" s="54" t="n">
        <f aca="false">DR14-(2_Market_Gross_USD!E12+35)</f>
        <v>218.125</v>
      </c>
      <c r="DT14" s="64" t="n">
        <f aca="false">IFERROR(DR14/(2_Market_Gross_USD!E12+35),0)</f>
        <v>1.1421009771987</v>
      </c>
      <c r="DU14" s="63" t="n">
        <f aca="false">2_Market_Gross_USD!E12*(1-0.065)</f>
        <v>1402.5</v>
      </c>
      <c r="DV14" s="53" t="n">
        <f aca="false">DU14/0.66</f>
        <v>2125</v>
      </c>
      <c r="DW14" s="54" t="n">
        <f aca="false">DV14*0.2375+500</f>
        <v>1004.6875</v>
      </c>
      <c r="DX14" s="55" t="n">
        <f aca="false">DV14+DW14</f>
        <v>3129.6875</v>
      </c>
      <c r="DY14" s="54" t="n">
        <f aca="false">DX14-(2_Market_Gross_USD!E12+35)</f>
        <v>1594.6875</v>
      </c>
      <c r="DZ14" s="64" t="n">
        <f aca="false">IFERROR(DX14/(2_Market_Gross_USD!E12+35),0)</f>
        <v>2.03888436482085</v>
      </c>
      <c r="EA14" s="63" t="n">
        <f aca="false">2_Market_Gross_USD!E12*(1-0.065)</f>
        <v>1402.5</v>
      </c>
      <c r="EB14" s="53" t="n">
        <f aca="false">EA14/0.65</f>
        <v>2157.69230769231</v>
      </c>
      <c r="EC14" s="54" t="n">
        <f aca="false">EB14*0.0225+0</f>
        <v>48.5480769230769</v>
      </c>
      <c r="ED14" s="55" t="n">
        <f aca="false">EB14+EC14</f>
        <v>2206.24038461538</v>
      </c>
      <c r="EE14" s="54" t="n">
        <f aca="false">ED14-(2_Market_Gross_USD!E12+35)</f>
        <v>671.240384615385</v>
      </c>
      <c r="EF14" s="64" t="n">
        <f aca="false">IFERROR(ED14/(2_Market_Gross_USD!E12+35),0)</f>
        <v>1.4372901528439</v>
      </c>
      <c r="EG14" s="63" t="n">
        <f aca="false">2_Market_Gross_USD!E12*(1-0.065)</f>
        <v>1402.5</v>
      </c>
      <c r="EH14" s="53" t="n">
        <f aca="false">EG14/0.99</f>
        <v>1416.66666666667</v>
      </c>
      <c r="EI14" s="54" t="n">
        <f aca="false">EH14*0+0</f>
        <v>0</v>
      </c>
      <c r="EJ14" s="55" t="n">
        <f aca="false">EH14+EI14</f>
        <v>1416.66666666667</v>
      </c>
      <c r="EK14" s="54" t="n">
        <f aca="false">EJ14-(2_Market_Gross_USD!E12+35)</f>
        <v>-118.333333333333</v>
      </c>
      <c r="EL14" s="64" t="n">
        <f aca="false">IFERROR(EJ14/(2_Market_Gross_USD!E12+35),0)</f>
        <v>0.922909880564604</v>
      </c>
      <c r="EM14" s="63" t="n">
        <f aca="false">2_Market_Gross_USD!E12*(1-0.065)</f>
        <v>1402.5</v>
      </c>
      <c r="EN14" s="53" t="n">
        <f aca="false">EM14/0.65</f>
        <v>2157.69230769231</v>
      </c>
      <c r="EO14" s="54" t="n">
        <f aca="false">EN14*0.0225+500</f>
        <v>548.548076923077</v>
      </c>
      <c r="EP14" s="55" t="n">
        <f aca="false">EN14+EO14</f>
        <v>2706.24038461538</v>
      </c>
      <c r="EQ14" s="54" t="n">
        <f aca="false">EP14-(2_Market_Gross_USD!E12+35)</f>
        <v>1171.24038461538</v>
      </c>
      <c r="ER14" s="64" t="n">
        <f aca="false">IFERROR(EP14/(2_Market_Gross_USD!E12+35),0)</f>
        <v>1.7630230518667</v>
      </c>
    </row>
    <row r="15" customFormat="false" ht="15" hidden="false" customHeight="false" outlineLevel="0" collapsed="false">
      <c r="A15" s="41" t="n">
        <v>10</v>
      </c>
      <c r="B15" s="28" t="s">
        <v>253</v>
      </c>
      <c r="C15" s="8" t="s">
        <v>254</v>
      </c>
      <c r="D15" s="65" t="s">
        <v>249</v>
      </c>
      <c r="E15" s="63" t="n">
        <f aca="false">2_Market_Gross_USD!E13*(1-0.065)</f>
        <v>4441.25</v>
      </c>
      <c r="F15" s="53" t="n">
        <f aca="false">E15/0.7429</f>
        <v>5978.26086956522</v>
      </c>
      <c r="G15" s="58" t="n">
        <f aca="false">F15*0.2038+0</f>
        <v>1218.36956521739</v>
      </c>
      <c r="H15" s="55" t="n">
        <f aca="false">F15+G15</f>
        <v>7196.63043478261</v>
      </c>
      <c r="I15" s="58" t="n">
        <f aca="false">H15-(2_Market_Gross_USD!E13+35)</f>
        <v>2411.63043478261</v>
      </c>
      <c r="J15" s="66" t="n">
        <f aca="false">IFERROR(H15/(2_Market_Gross_USD!E13+35),0)</f>
        <v>1.5039980009995</v>
      </c>
      <c r="K15" s="63" t="n">
        <f aca="false">2_Market_Gross_USD!E13*(1-0.065)</f>
        <v>4441.25</v>
      </c>
      <c r="L15" s="53" t="n">
        <f aca="false">K15/0.88</f>
        <v>5046.875</v>
      </c>
      <c r="M15" s="58" t="n">
        <f aca="false">L15*0+0</f>
        <v>0</v>
      </c>
      <c r="N15" s="55" t="n">
        <f aca="false">L15+M15</f>
        <v>5046.875</v>
      </c>
      <c r="O15" s="58" t="n">
        <f aca="false">N15-(2_Market_Gross_USD!E13+35)</f>
        <v>261.875</v>
      </c>
      <c r="P15" s="66" t="n">
        <f aca="false">IFERROR(N15/(2_Market_Gross_USD!E13+35),0)</f>
        <v>1.05472831765935</v>
      </c>
      <c r="Q15" s="63" t="n">
        <f aca="false">2_Market_Gross_USD!E13*(1-0.065)</f>
        <v>4441.25</v>
      </c>
      <c r="R15" s="53" t="n">
        <f aca="false">Q15/0.7429</f>
        <v>5978.26086956522</v>
      </c>
      <c r="S15" s="58" t="n">
        <f aca="false">R15*0.2038+500</f>
        <v>1718.36956521739</v>
      </c>
      <c r="T15" s="55" t="n">
        <f aca="false">R15+S15</f>
        <v>7696.63043478261</v>
      </c>
      <c r="U15" s="58" t="n">
        <f aca="false">T15-(2_Market_Gross_USD!E13+35)</f>
        <v>2911.63043478261</v>
      </c>
      <c r="V15" s="66" t="n">
        <f aca="false">IFERROR(T15/(2_Market_Gross_USD!E13+35),0)</f>
        <v>1.60849120894098</v>
      </c>
      <c r="W15" s="63" t="n">
        <f aca="false">2_Market_Gross_USD!E13*(1-0.065)</f>
        <v>4441.25</v>
      </c>
      <c r="X15" s="53" t="n">
        <f aca="false">W15/0.72</f>
        <v>6168.40277777778</v>
      </c>
      <c r="Y15" s="58" t="n">
        <f aca="false">X15*0.15+0</f>
        <v>925.260416666667</v>
      </c>
      <c r="Z15" s="55" t="n">
        <f aca="false">X15+Y15</f>
        <v>7093.66319444445</v>
      </c>
      <c r="AA15" s="58" t="n">
        <f aca="false">Z15-(2_Market_Gross_USD!E13+35)</f>
        <v>2308.66319444445</v>
      </c>
      <c r="AB15" s="66" t="n">
        <f aca="false">IFERROR(Z15/(2_Market_Gross_USD!E13+35),0)</f>
        <v>1.48247924648787</v>
      </c>
      <c r="AC15" s="63" t="n">
        <f aca="false">2_Market_Gross_USD!E13*(1-0.065)</f>
        <v>4441.25</v>
      </c>
      <c r="AD15" s="53" t="n">
        <f aca="false">AC15/0.81</f>
        <v>5483.02469135802</v>
      </c>
      <c r="AE15" s="58" t="n">
        <f aca="false">AD15*0+0</f>
        <v>0</v>
      </c>
      <c r="AF15" s="55" t="n">
        <f aca="false">AD15+AE15</f>
        <v>5483.02469135802</v>
      </c>
      <c r="AG15" s="58" t="n">
        <f aca="false">AF15-(2_Market_Gross_USD!E13+35)</f>
        <v>698.024691358024</v>
      </c>
      <c r="AH15" s="66" t="n">
        <f aca="false">IFERROR(AF15/(2_Market_Gross_USD!E13+35),0)</f>
        <v>1.14587767844473</v>
      </c>
      <c r="AI15" s="63" t="n">
        <f aca="false">2_Market_Gross_USD!E13*(1-0.065)</f>
        <v>4441.25</v>
      </c>
      <c r="AJ15" s="53" t="n">
        <f aca="false">AI15/0.72</f>
        <v>6168.40277777778</v>
      </c>
      <c r="AK15" s="58" t="n">
        <f aca="false">AJ15*0.15+500</f>
        <v>1425.26041666667</v>
      </c>
      <c r="AL15" s="55" t="n">
        <f aca="false">AJ15+AK15</f>
        <v>7593.66319444445</v>
      </c>
      <c r="AM15" s="58" t="n">
        <f aca="false">AL15-(2_Market_Gross_USD!E13+35)</f>
        <v>2808.66319444445</v>
      </c>
      <c r="AN15" s="66" t="n">
        <f aca="false">IFERROR(AL15/(2_Market_Gross_USD!E13+35),0)</f>
        <v>1.58697245442935</v>
      </c>
      <c r="AO15" s="63" t="n">
        <f aca="false">2_Market_Gross_USD!E13*(1-0.065)</f>
        <v>4441.25</v>
      </c>
      <c r="AP15" s="53" t="n">
        <f aca="false">AO15/0.7035</f>
        <v>6313.07746979389</v>
      </c>
      <c r="AQ15" s="58" t="n">
        <f aca="false">AP15*0.11+0</f>
        <v>694.438521677328</v>
      </c>
      <c r="AR15" s="55" t="n">
        <f aca="false">AP15+AQ15</f>
        <v>7007.51599147122</v>
      </c>
      <c r="AS15" s="58" t="n">
        <f aca="false">AR15-(2_Market_Gross_USD!E13+35)</f>
        <v>2222.51599147122</v>
      </c>
      <c r="AT15" s="66" t="n">
        <f aca="false">IFERROR(AR15/(2_Market_Gross_USD!E13+35),0)</f>
        <v>1.46447565130015</v>
      </c>
      <c r="AU15" s="63" t="n">
        <f aca="false">2_Market_Gross_USD!E13*(1-0.065)</f>
        <v>4441.25</v>
      </c>
      <c r="AV15" s="53" t="n">
        <f aca="false">AU15/0.627</f>
        <v>7083.33333333333</v>
      </c>
      <c r="AW15" s="58" t="n">
        <f aca="false">AV15*0+0</f>
        <v>0</v>
      </c>
      <c r="AX15" s="55" t="n">
        <f aca="false">AV15+AW15</f>
        <v>7083.33333333333</v>
      </c>
      <c r="AY15" s="58" t="n">
        <f aca="false">AX15-(2_Market_Gross_USD!E13+35)</f>
        <v>2298.33333333333</v>
      </c>
      <c r="AZ15" s="66" t="n">
        <f aca="false">IFERROR(AX15/(2_Market_Gross_USD!E13+35),0)</f>
        <v>1.48032044583769</v>
      </c>
      <c r="BA15" s="63" t="n">
        <f aca="false">2_Market_Gross_USD!E13*(1-0.065)</f>
        <v>4441.25</v>
      </c>
      <c r="BB15" s="53" t="n">
        <f aca="false">BA15/0.7035</f>
        <v>6313.07746979389</v>
      </c>
      <c r="BC15" s="58" t="n">
        <f aca="false">BB15*0.11+500</f>
        <v>1194.43852167733</v>
      </c>
      <c r="BD15" s="55" t="n">
        <f aca="false">BB15+BC15</f>
        <v>7507.51599147122</v>
      </c>
      <c r="BE15" s="58" t="n">
        <f aca="false">BD15-(2_Market_Gross_USD!E13+35)</f>
        <v>2722.51599147122</v>
      </c>
      <c r="BF15" s="66" t="n">
        <f aca="false">IFERROR(BD15/(2_Market_Gross_USD!E13+35),0)</f>
        <v>1.56896885924163</v>
      </c>
      <c r="BG15" s="63" t="n">
        <f aca="false">2_Market_Gross_USD!E13*(1-0.065)</f>
        <v>4441.25</v>
      </c>
      <c r="BH15" s="53" t="n">
        <f aca="false">BG15/0.5215</f>
        <v>8516.29913710451</v>
      </c>
      <c r="BI15" s="58" t="n">
        <f aca="false">BH15*0.21+0</f>
        <v>1788.42281879195</v>
      </c>
      <c r="BJ15" s="55" t="n">
        <f aca="false">BH15+BI15</f>
        <v>10304.7219558965</v>
      </c>
      <c r="BK15" s="58" t="n">
        <f aca="false">BJ15-(2_Market_Gross_USD!E13+35)</f>
        <v>5519.72195589645</v>
      </c>
      <c r="BL15" s="66" t="n">
        <f aca="false">IFERROR(BJ15/(2_Market_Gross_USD!E13+35),0)</f>
        <v>2.15354690823332</v>
      </c>
      <c r="BM15" s="63" t="n">
        <f aca="false">2_Market_Gross_USD!E13*(1-0.065)</f>
        <v>4441.25</v>
      </c>
      <c r="BN15" s="53" t="n">
        <f aca="false">BM15/0.75</f>
        <v>5921.66666666667</v>
      </c>
      <c r="BO15" s="58" t="n">
        <f aca="false">BN15*0+0</f>
        <v>0</v>
      </c>
      <c r="BP15" s="55" t="n">
        <f aca="false">BN15+BO15</f>
        <v>5921.66666666667</v>
      </c>
      <c r="BQ15" s="58" t="n">
        <f aca="false">BP15-(2_Market_Gross_USD!E13+35)</f>
        <v>1136.66666666667</v>
      </c>
      <c r="BR15" s="66" t="n">
        <f aca="false">IFERROR(BP15/(2_Market_Gross_USD!E13+35),0)</f>
        <v>1.23754789272031</v>
      </c>
      <c r="BS15" s="63" t="n">
        <f aca="false">2_Market_Gross_USD!E13*(1-0.065)</f>
        <v>4441.25</v>
      </c>
      <c r="BT15" s="53" t="n">
        <f aca="false">BS15/0.5215</f>
        <v>8516.29913710451</v>
      </c>
      <c r="BU15" s="58" t="n">
        <f aca="false">BT15*0.21+500</f>
        <v>2288.42281879195</v>
      </c>
      <c r="BV15" s="55" t="n">
        <f aca="false">BT15+BU15</f>
        <v>10804.7219558965</v>
      </c>
      <c r="BW15" s="58" t="n">
        <f aca="false">BV15-(2_Market_Gross_USD!E13+35)</f>
        <v>6019.72195589645</v>
      </c>
      <c r="BX15" s="66" t="n">
        <f aca="false">IFERROR(BV15/(2_Market_Gross_USD!E13+35),0)</f>
        <v>2.25804011617481</v>
      </c>
      <c r="BY15" s="63" t="n">
        <f aca="false">2_Market_Gross_USD!E13*(1-0.065)</f>
        <v>4441.25</v>
      </c>
      <c r="BZ15" s="53" t="n">
        <f aca="false">BY15/0.6303</f>
        <v>7046.24781849913</v>
      </c>
      <c r="CA15" s="58" t="n">
        <f aca="false">BZ15*0.2+0</f>
        <v>1409.24956369983</v>
      </c>
      <c r="CB15" s="55" t="n">
        <f aca="false">BZ15+CA15</f>
        <v>8455.49738219895</v>
      </c>
      <c r="CC15" s="58" t="n">
        <f aca="false">CB15-(2_Market_Gross_USD!E13+35)</f>
        <v>3670.49738219895</v>
      </c>
      <c r="CD15" s="66" t="n">
        <f aca="false">IFERROR(CB15/(2_Market_Gross_USD!E13+35),0)</f>
        <v>1.76708409241357</v>
      </c>
      <c r="CE15" s="63" t="n">
        <f aca="false">2_Market_Gross_USD!E13*(1-0.065)</f>
        <v>4441.25</v>
      </c>
      <c r="CF15" s="53" t="n">
        <f aca="false">CE15/0.6303</f>
        <v>7046.24781849913</v>
      </c>
      <c r="CG15" s="58" t="n">
        <f aca="false">CF15*0+0</f>
        <v>0</v>
      </c>
      <c r="CH15" s="55" t="n">
        <f aca="false">CF15+CG15</f>
        <v>7046.24781849913</v>
      </c>
      <c r="CI15" s="58" t="n">
        <f aca="false">CH15-(2_Market_Gross_USD!E13+35)</f>
        <v>2261.24781849913</v>
      </c>
      <c r="CJ15" s="66" t="n">
        <f aca="false">IFERROR(CH15/(2_Market_Gross_USD!E13+35),0)</f>
        <v>1.47257007701131</v>
      </c>
      <c r="CK15" s="63" t="n">
        <f aca="false">2_Market_Gross_USD!E13*(1-0.065)</f>
        <v>4441.25</v>
      </c>
      <c r="CL15" s="53" t="n">
        <f aca="false">CK15/0.6303</f>
        <v>7046.24781849913</v>
      </c>
      <c r="CM15" s="58" t="n">
        <f aca="false">CL15*0.2+500</f>
        <v>1909.24956369983</v>
      </c>
      <c r="CN15" s="55" t="n">
        <f aca="false">CL15+CM15</f>
        <v>8955.49738219895</v>
      </c>
      <c r="CO15" s="58" t="n">
        <f aca="false">CN15-(2_Market_Gross_USD!E13+35)</f>
        <v>4170.49738219895</v>
      </c>
      <c r="CP15" s="66" t="n">
        <f aca="false">IFERROR(CN15/(2_Market_Gross_USD!E13+35),0)</f>
        <v>1.87157730035506</v>
      </c>
      <c r="CQ15" s="63" t="n">
        <f aca="false">2_Market_Gross_USD!E13*(1-0.065)</f>
        <v>4441.25</v>
      </c>
      <c r="CR15" s="53" t="n">
        <f aca="false">CQ15/0.74</f>
        <v>6001.68918918919</v>
      </c>
      <c r="CS15" s="58" t="n">
        <f aca="false">CR15*0.338+0</f>
        <v>2028.57094594595</v>
      </c>
      <c r="CT15" s="55" t="n">
        <f aca="false">CR15+CS15</f>
        <v>8030.26013513514</v>
      </c>
      <c r="CU15" s="58" t="n">
        <f aca="false">CT15-(2_Market_Gross_USD!E13+35)</f>
        <v>3245.26013513514</v>
      </c>
      <c r="CV15" s="66" t="n">
        <f aca="false">IFERROR(CT15/(2_Market_Gross_USD!E13+35),0)</f>
        <v>1.67821528424977</v>
      </c>
      <c r="CW15" s="63" t="n">
        <f aca="false">2_Market_Gross_USD!E13*(1-0.065)</f>
        <v>4441.25</v>
      </c>
      <c r="CX15" s="53" t="n">
        <f aca="false">CW15/0.85</f>
        <v>5225</v>
      </c>
      <c r="CY15" s="58" t="n">
        <f aca="false">CX15*0+0</f>
        <v>0</v>
      </c>
      <c r="CZ15" s="55" t="n">
        <f aca="false">CX15+CY15</f>
        <v>5225</v>
      </c>
      <c r="DA15" s="58" t="n">
        <f aca="false">CZ15-(2_Market_Gross_USD!E13+35)</f>
        <v>440</v>
      </c>
      <c r="DB15" s="66" t="n">
        <f aca="false">IFERROR(CZ15/(2_Market_Gross_USD!E13+35),0)</f>
        <v>1.09195402298851</v>
      </c>
      <c r="DC15" s="63" t="n">
        <f aca="false">2_Market_Gross_USD!E13*(1-0.065)</f>
        <v>4441.25</v>
      </c>
      <c r="DD15" s="53" t="n">
        <f aca="false">DC15/0.74</f>
        <v>6001.68918918919</v>
      </c>
      <c r="DE15" s="58" t="n">
        <f aca="false">DD15*0.338+500</f>
        <v>2528.57094594595</v>
      </c>
      <c r="DF15" s="55" t="n">
        <f aca="false">DD15+DE15</f>
        <v>8530.26013513514</v>
      </c>
      <c r="DG15" s="58" t="n">
        <f aca="false">DF15-(2_Market_Gross_USD!E13+35)</f>
        <v>3745.26013513514</v>
      </c>
      <c r="DH15" s="66" t="n">
        <f aca="false">IFERROR(DF15/(2_Market_Gross_USD!E13+35),0)</f>
        <v>1.78270849219125</v>
      </c>
      <c r="DI15" s="63" t="n">
        <f aca="false">2_Market_Gross_USD!E13*(1-0.065)</f>
        <v>4441.25</v>
      </c>
      <c r="DJ15" s="53" t="n">
        <f aca="false">DI15/0.66</f>
        <v>6729.16666666667</v>
      </c>
      <c r="DK15" s="58" t="n">
        <f aca="false">DJ15*0.2375+0</f>
        <v>1598.17708333333</v>
      </c>
      <c r="DL15" s="55" t="n">
        <f aca="false">DJ15+DK15</f>
        <v>8327.34375</v>
      </c>
      <c r="DM15" s="58" t="n">
        <f aca="false">DL15-(2_Market_Gross_USD!E13+35)</f>
        <v>3542.34375</v>
      </c>
      <c r="DN15" s="66" t="n">
        <f aca="false">IFERROR(DL15/(2_Market_Gross_USD!E13+35),0)</f>
        <v>1.74030172413793</v>
      </c>
      <c r="DO15" s="63" t="n">
        <f aca="false">2_Market_Gross_USD!E13*(1-0.065)</f>
        <v>4441.25</v>
      </c>
      <c r="DP15" s="53" t="n">
        <f aca="false">DO15/0.8</f>
        <v>5551.5625</v>
      </c>
      <c r="DQ15" s="58" t="n">
        <f aca="false">DP15*0+0</f>
        <v>0</v>
      </c>
      <c r="DR15" s="55" t="n">
        <f aca="false">DP15+DQ15</f>
        <v>5551.5625</v>
      </c>
      <c r="DS15" s="58" t="n">
        <f aca="false">DR15-(2_Market_Gross_USD!E13+35)</f>
        <v>766.5625</v>
      </c>
      <c r="DT15" s="66" t="n">
        <f aca="false">IFERROR(DR15/(2_Market_Gross_USD!E13+35),0)</f>
        <v>1.16020114942529</v>
      </c>
      <c r="DU15" s="63" t="n">
        <f aca="false">2_Market_Gross_USD!E13*(1-0.065)</f>
        <v>4441.25</v>
      </c>
      <c r="DV15" s="53" t="n">
        <f aca="false">DU15/0.66</f>
        <v>6729.16666666667</v>
      </c>
      <c r="DW15" s="58" t="n">
        <f aca="false">DV15*0.2375+500</f>
        <v>2098.17708333333</v>
      </c>
      <c r="DX15" s="55" t="n">
        <f aca="false">DV15+DW15</f>
        <v>8827.34375</v>
      </c>
      <c r="DY15" s="58" t="n">
        <f aca="false">DX15-(2_Market_Gross_USD!E13+35)</f>
        <v>4042.34375</v>
      </c>
      <c r="DZ15" s="66" t="n">
        <f aca="false">IFERROR(DX15/(2_Market_Gross_USD!E13+35),0)</f>
        <v>1.84479493207941</v>
      </c>
      <c r="EA15" s="63" t="n">
        <f aca="false">2_Market_Gross_USD!E13*(1-0.065)</f>
        <v>4441.25</v>
      </c>
      <c r="EB15" s="53" t="n">
        <f aca="false">EA15/0.65</f>
        <v>6832.69230769231</v>
      </c>
      <c r="EC15" s="58" t="n">
        <f aca="false">EB15*0.0225+0</f>
        <v>153.735576923077</v>
      </c>
      <c r="ED15" s="55" t="n">
        <f aca="false">EB15+EC15</f>
        <v>6986.42788461539</v>
      </c>
      <c r="EE15" s="58" t="n">
        <f aca="false">ED15-(2_Market_Gross_USD!E13+35)</f>
        <v>2201.42788461538</v>
      </c>
      <c r="EF15" s="66" t="n">
        <f aca="false">IFERROR(ED15/(2_Market_Gross_USD!E13+35),0)</f>
        <v>1.46006852343059</v>
      </c>
      <c r="EG15" s="63" t="n">
        <f aca="false">2_Market_Gross_USD!E13*(1-0.065)</f>
        <v>4441.25</v>
      </c>
      <c r="EH15" s="53" t="n">
        <f aca="false">EG15/0.99</f>
        <v>4486.11111111111</v>
      </c>
      <c r="EI15" s="58" t="n">
        <f aca="false">EH15*0+0</f>
        <v>0</v>
      </c>
      <c r="EJ15" s="55" t="n">
        <f aca="false">EH15+EI15</f>
        <v>4486.11111111111</v>
      </c>
      <c r="EK15" s="58" t="n">
        <f aca="false">EJ15-(2_Market_Gross_USD!E13+35)</f>
        <v>-298.888888888889</v>
      </c>
      <c r="EL15" s="66" t="n">
        <f aca="false">IFERROR(EJ15/(2_Market_Gross_USD!E13+35),0)</f>
        <v>0.937536282363869</v>
      </c>
      <c r="EM15" s="63" t="n">
        <f aca="false">2_Market_Gross_USD!E13*(1-0.065)</f>
        <v>4441.25</v>
      </c>
      <c r="EN15" s="53" t="n">
        <f aca="false">EM15/0.65</f>
        <v>6832.69230769231</v>
      </c>
      <c r="EO15" s="58" t="n">
        <f aca="false">EN15*0.0225+500</f>
        <v>653.735576923077</v>
      </c>
      <c r="EP15" s="55" t="n">
        <f aca="false">EN15+EO15</f>
        <v>7486.42788461539</v>
      </c>
      <c r="EQ15" s="58" t="n">
        <f aca="false">EP15-(2_Market_Gross_USD!E13+35)</f>
        <v>2701.42788461538</v>
      </c>
      <c r="ER15" s="66" t="n">
        <f aca="false">IFERROR(EP15/(2_Market_Gross_USD!E13+35),0)</f>
        <v>1.56456173137208</v>
      </c>
    </row>
    <row r="16" customFormat="false" ht="15" hidden="false" customHeight="false" outlineLevel="0" collapsed="false">
      <c r="A16" s="37" t="n">
        <v>11</v>
      </c>
      <c r="B16" s="32" t="s">
        <v>253</v>
      </c>
      <c r="C16" s="32" t="s">
        <v>255</v>
      </c>
      <c r="D16" s="62" t="s">
        <v>248</v>
      </c>
      <c r="E16" s="63" t="n">
        <f aca="false">2_Market_Gross_USD!E14*(1-0.065)</f>
        <v>1496</v>
      </c>
      <c r="F16" s="53" t="n">
        <f aca="false">E16/0.7429</f>
        <v>2013.7299771167</v>
      </c>
      <c r="G16" s="54" t="n">
        <f aca="false">F16*0.2038+0</f>
        <v>410.398169336384</v>
      </c>
      <c r="H16" s="55" t="n">
        <f aca="false">F16+G16</f>
        <v>2424.12814645309</v>
      </c>
      <c r="I16" s="54" t="n">
        <f aca="false">H16-(2_Market_Gross_USD!E14+35)</f>
        <v>789.128146453089</v>
      </c>
      <c r="J16" s="64" t="n">
        <f aca="false">IFERROR(H16/(2_Market_Gross_USD!E14+35),0)</f>
        <v>1.48264718437498</v>
      </c>
      <c r="K16" s="63" t="n">
        <f aca="false">2_Market_Gross_USD!E14*(1-0.065)</f>
        <v>1496</v>
      </c>
      <c r="L16" s="53" t="n">
        <f aca="false">K16/0.88</f>
        <v>1700</v>
      </c>
      <c r="M16" s="54" t="n">
        <f aca="false">L16*0+0</f>
        <v>0</v>
      </c>
      <c r="N16" s="55" t="n">
        <f aca="false">L16+M16</f>
        <v>1700</v>
      </c>
      <c r="O16" s="54" t="n">
        <f aca="false">N16-(2_Market_Gross_USD!E14+35)</f>
        <v>65</v>
      </c>
      <c r="P16" s="64" t="n">
        <f aca="false">IFERROR(N16/(2_Market_Gross_USD!E14+35),0)</f>
        <v>1.03975535168196</v>
      </c>
      <c r="Q16" s="63" t="n">
        <f aca="false">2_Market_Gross_USD!E14*(1-0.065)</f>
        <v>1496</v>
      </c>
      <c r="R16" s="53" t="n">
        <f aca="false">Q16/0.7429</f>
        <v>2013.7299771167</v>
      </c>
      <c r="S16" s="54" t="n">
        <f aca="false">R16*0.2038+500</f>
        <v>910.398169336384</v>
      </c>
      <c r="T16" s="55" t="n">
        <f aca="false">R16+S16</f>
        <v>2924.12814645309</v>
      </c>
      <c r="U16" s="54" t="n">
        <f aca="false">T16-(2_Market_Gross_USD!E14+35)</f>
        <v>1289.12814645309</v>
      </c>
      <c r="V16" s="64" t="n">
        <f aca="false">IFERROR(T16/(2_Market_Gross_USD!E14+35),0)</f>
        <v>1.7884575819285</v>
      </c>
      <c r="W16" s="63" t="n">
        <f aca="false">2_Market_Gross_USD!E14*(1-0.065)</f>
        <v>1496</v>
      </c>
      <c r="X16" s="53" t="n">
        <f aca="false">W16/0.72</f>
        <v>2077.77777777778</v>
      </c>
      <c r="Y16" s="54" t="n">
        <f aca="false">X16*0.15+0</f>
        <v>311.666666666667</v>
      </c>
      <c r="Z16" s="55" t="n">
        <f aca="false">X16+Y16</f>
        <v>2389.44444444444</v>
      </c>
      <c r="AA16" s="54" t="n">
        <f aca="false">Z16-(2_Market_Gross_USD!E14+35)</f>
        <v>754.444444444444</v>
      </c>
      <c r="AB16" s="64" t="n">
        <f aca="false">IFERROR(Z16/(2_Market_Gross_USD!E14+35),0)</f>
        <v>1.4614339109752</v>
      </c>
      <c r="AC16" s="63" t="n">
        <f aca="false">2_Market_Gross_USD!E14*(1-0.065)</f>
        <v>1496</v>
      </c>
      <c r="AD16" s="53" t="n">
        <f aca="false">AC16/0.81</f>
        <v>1846.91358024691</v>
      </c>
      <c r="AE16" s="54" t="n">
        <f aca="false">AD16*0+0</f>
        <v>0</v>
      </c>
      <c r="AF16" s="55" t="n">
        <f aca="false">AD16+AE16</f>
        <v>1846.91358024691</v>
      </c>
      <c r="AG16" s="54" t="n">
        <f aca="false">AF16-(2_Market_Gross_USD!E14+35)</f>
        <v>211.913580246913</v>
      </c>
      <c r="AH16" s="64" t="n">
        <f aca="false">IFERROR(AF16/(2_Market_Gross_USD!E14+35),0)</f>
        <v>1.1296107524446</v>
      </c>
      <c r="AI16" s="63" t="n">
        <f aca="false">2_Market_Gross_USD!E14*(1-0.065)</f>
        <v>1496</v>
      </c>
      <c r="AJ16" s="53" t="n">
        <f aca="false">AI16/0.72</f>
        <v>2077.77777777778</v>
      </c>
      <c r="AK16" s="54" t="n">
        <f aca="false">AJ16*0.15+500</f>
        <v>811.666666666667</v>
      </c>
      <c r="AL16" s="55" t="n">
        <f aca="false">AJ16+AK16</f>
        <v>2889.44444444444</v>
      </c>
      <c r="AM16" s="54" t="n">
        <f aca="false">AL16-(2_Market_Gross_USD!E14+35)</f>
        <v>1254.44444444444</v>
      </c>
      <c r="AN16" s="64" t="n">
        <f aca="false">IFERROR(AL16/(2_Market_Gross_USD!E14+35),0)</f>
        <v>1.76724430852871</v>
      </c>
      <c r="AO16" s="63" t="n">
        <f aca="false">2_Market_Gross_USD!E14*(1-0.065)</f>
        <v>1496</v>
      </c>
      <c r="AP16" s="53" t="n">
        <f aca="false">AO16/0.7035</f>
        <v>2126.51030561478</v>
      </c>
      <c r="AQ16" s="54" t="n">
        <f aca="false">AP16*0.11+0</f>
        <v>233.916133617626</v>
      </c>
      <c r="AR16" s="55" t="n">
        <f aca="false">AP16+AQ16</f>
        <v>2360.42643923241</v>
      </c>
      <c r="AS16" s="54" t="n">
        <f aca="false">AR16-(2_Market_Gross_USD!E14+35)</f>
        <v>725.426439232409</v>
      </c>
      <c r="AT16" s="64" t="n">
        <f aca="false">IFERROR(AR16/(2_Market_Gross_USD!E14+35),0)</f>
        <v>1.44368589555499</v>
      </c>
      <c r="AU16" s="63" t="n">
        <f aca="false">2_Market_Gross_USD!E14*(1-0.065)</f>
        <v>1496</v>
      </c>
      <c r="AV16" s="53" t="n">
        <f aca="false">AU16/0.627</f>
        <v>2385.9649122807</v>
      </c>
      <c r="AW16" s="54" t="n">
        <f aca="false">AV16*0+0</f>
        <v>0</v>
      </c>
      <c r="AX16" s="55" t="n">
        <f aca="false">AV16+AW16</f>
        <v>2385.9649122807</v>
      </c>
      <c r="AY16" s="54" t="n">
        <f aca="false">AX16-(2_Market_Gross_USD!E14+35)</f>
        <v>750.964912280702</v>
      </c>
      <c r="AZ16" s="64" t="n">
        <f aca="false">IFERROR(AX16/(2_Market_Gross_USD!E14+35),0)</f>
        <v>1.45930575674661</v>
      </c>
      <c r="BA16" s="63" t="n">
        <f aca="false">2_Market_Gross_USD!E14*(1-0.065)</f>
        <v>1496</v>
      </c>
      <c r="BB16" s="53" t="n">
        <f aca="false">BA16/0.7035</f>
        <v>2126.51030561478</v>
      </c>
      <c r="BC16" s="54" t="n">
        <f aca="false">BB16*0.11+500</f>
        <v>733.916133617626</v>
      </c>
      <c r="BD16" s="55" t="n">
        <f aca="false">BB16+BC16</f>
        <v>2860.42643923241</v>
      </c>
      <c r="BE16" s="54" t="n">
        <f aca="false">BD16-(2_Market_Gross_USD!E14+35)</f>
        <v>1225.42643923241</v>
      </c>
      <c r="BF16" s="64" t="n">
        <f aca="false">IFERROR(BD16/(2_Market_Gross_USD!E14+35),0)</f>
        <v>1.74949629310851</v>
      </c>
      <c r="BG16" s="63" t="n">
        <f aca="false">2_Market_Gross_USD!E14*(1-0.065)</f>
        <v>1496</v>
      </c>
      <c r="BH16" s="53" t="n">
        <f aca="false">BG16/0.5215</f>
        <v>2868.6481303931</v>
      </c>
      <c r="BI16" s="54" t="n">
        <f aca="false">BH16*0.21+0</f>
        <v>602.41610738255</v>
      </c>
      <c r="BJ16" s="55" t="n">
        <f aca="false">BH16+BI16</f>
        <v>3471.06423777565</v>
      </c>
      <c r="BK16" s="54" t="n">
        <f aca="false">BJ16-(2_Market_Gross_USD!E14+35)</f>
        <v>1836.06423777565</v>
      </c>
      <c r="BL16" s="64" t="n">
        <f aca="false">IFERROR(BJ16/(2_Market_Gross_USD!E14+35),0)</f>
        <v>2.12297506897593</v>
      </c>
      <c r="BM16" s="63" t="n">
        <f aca="false">2_Market_Gross_USD!E14*(1-0.065)</f>
        <v>1496</v>
      </c>
      <c r="BN16" s="53" t="n">
        <f aca="false">BM16/0.75</f>
        <v>1994.66666666667</v>
      </c>
      <c r="BO16" s="54" t="n">
        <f aca="false">BN16*0+0</f>
        <v>0</v>
      </c>
      <c r="BP16" s="55" t="n">
        <f aca="false">BN16+BO16</f>
        <v>1994.66666666667</v>
      </c>
      <c r="BQ16" s="54" t="n">
        <f aca="false">BP16-(2_Market_Gross_USD!E14+35)</f>
        <v>359.666666666667</v>
      </c>
      <c r="BR16" s="64" t="n">
        <f aca="false">IFERROR(BP16/(2_Market_Gross_USD!E14+35),0)</f>
        <v>1.21997961264016</v>
      </c>
      <c r="BS16" s="63" t="n">
        <f aca="false">2_Market_Gross_USD!E14*(1-0.065)</f>
        <v>1496</v>
      </c>
      <c r="BT16" s="53" t="n">
        <f aca="false">BS16/0.5215</f>
        <v>2868.6481303931</v>
      </c>
      <c r="BU16" s="54" t="n">
        <f aca="false">BT16*0.21+500</f>
        <v>1102.41610738255</v>
      </c>
      <c r="BV16" s="55" t="n">
        <f aca="false">BT16+BU16</f>
        <v>3971.06423777565</v>
      </c>
      <c r="BW16" s="54" t="n">
        <f aca="false">BV16-(2_Market_Gross_USD!E14+35)</f>
        <v>2336.06423777565</v>
      </c>
      <c r="BX16" s="64" t="n">
        <f aca="false">IFERROR(BV16/(2_Market_Gross_USD!E14+35),0)</f>
        <v>2.42878546652945</v>
      </c>
      <c r="BY16" s="63" t="n">
        <f aca="false">2_Market_Gross_USD!E14*(1-0.065)</f>
        <v>1496</v>
      </c>
      <c r="BZ16" s="53" t="n">
        <f aca="false">BY16/0.6303</f>
        <v>2373.47294938918</v>
      </c>
      <c r="CA16" s="54" t="n">
        <f aca="false">BZ16*0.2+0</f>
        <v>474.694589877836</v>
      </c>
      <c r="CB16" s="55" t="n">
        <f aca="false">BZ16+CA16</f>
        <v>2848.16753926702</v>
      </c>
      <c r="CC16" s="54" t="n">
        <f aca="false">CB16-(2_Market_Gross_USD!E14+35)</f>
        <v>1213.16753926702</v>
      </c>
      <c r="CD16" s="64" t="n">
        <f aca="false">IFERROR(CB16/(2_Market_Gross_USD!E14+35),0)</f>
        <v>1.74199849496454</v>
      </c>
      <c r="CE16" s="63" t="n">
        <f aca="false">2_Market_Gross_USD!E14*(1-0.065)</f>
        <v>1496</v>
      </c>
      <c r="CF16" s="53" t="n">
        <f aca="false">CE16/0.6303</f>
        <v>2373.47294938918</v>
      </c>
      <c r="CG16" s="54" t="n">
        <f aca="false">CF16*0+0</f>
        <v>0</v>
      </c>
      <c r="CH16" s="55" t="n">
        <f aca="false">CF16+CG16</f>
        <v>2373.47294938918</v>
      </c>
      <c r="CI16" s="54" t="n">
        <f aca="false">CH16-(2_Market_Gross_USD!E14+35)</f>
        <v>738.47294938918</v>
      </c>
      <c r="CJ16" s="64" t="n">
        <f aca="false">IFERROR(CH16/(2_Market_Gross_USD!E14+35),0)</f>
        <v>1.45166541247045</v>
      </c>
      <c r="CK16" s="63" t="n">
        <f aca="false">2_Market_Gross_USD!E14*(1-0.065)</f>
        <v>1496</v>
      </c>
      <c r="CL16" s="53" t="n">
        <f aca="false">CK16/0.6303</f>
        <v>2373.47294938918</v>
      </c>
      <c r="CM16" s="54" t="n">
        <f aca="false">CL16*0.2+500</f>
        <v>974.694589877836</v>
      </c>
      <c r="CN16" s="55" t="n">
        <f aca="false">CL16+CM16</f>
        <v>3348.16753926702</v>
      </c>
      <c r="CO16" s="54" t="n">
        <f aca="false">CN16-(2_Market_Gross_USD!E14+35)</f>
        <v>1713.16753926702</v>
      </c>
      <c r="CP16" s="64" t="n">
        <f aca="false">IFERROR(CN16/(2_Market_Gross_USD!E14+35),0)</f>
        <v>2.04780889251805</v>
      </c>
      <c r="CQ16" s="63" t="n">
        <f aca="false">2_Market_Gross_USD!E14*(1-0.065)</f>
        <v>1496</v>
      </c>
      <c r="CR16" s="53" t="n">
        <f aca="false">CQ16/0.74</f>
        <v>2021.62162162162</v>
      </c>
      <c r="CS16" s="54" t="n">
        <f aca="false">CR16*0.338+0</f>
        <v>683.308108108108</v>
      </c>
      <c r="CT16" s="55" t="n">
        <f aca="false">CR16+CS16</f>
        <v>2704.92972972973</v>
      </c>
      <c r="CU16" s="54" t="n">
        <f aca="false">CT16-(2_Market_Gross_USD!E14+35)</f>
        <v>1069.92972972973</v>
      </c>
      <c r="CV16" s="64" t="n">
        <f aca="false">IFERROR(CT16/(2_Market_Gross_USD!E14+35),0)</f>
        <v>1.65439127200595</v>
      </c>
      <c r="CW16" s="63" t="n">
        <f aca="false">2_Market_Gross_USD!E14*(1-0.065)</f>
        <v>1496</v>
      </c>
      <c r="CX16" s="53" t="n">
        <f aca="false">CW16/0.85</f>
        <v>1760</v>
      </c>
      <c r="CY16" s="54" t="n">
        <f aca="false">CX16*0+0</f>
        <v>0</v>
      </c>
      <c r="CZ16" s="55" t="n">
        <f aca="false">CX16+CY16</f>
        <v>1760</v>
      </c>
      <c r="DA16" s="54" t="n">
        <f aca="false">CZ16-(2_Market_Gross_USD!E14+35)</f>
        <v>125</v>
      </c>
      <c r="DB16" s="64" t="n">
        <f aca="false">IFERROR(CZ16/(2_Market_Gross_USD!E14+35),0)</f>
        <v>1.07645259938838</v>
      </c>
      <c r="DC16" s="63" t="n">
        <f aca="false">2_Market_Gross_USD!E14*(1-0.065)</f>
        <v>1496</v>
      </c>
      <c r="DD16" s="53" t="n">
        <f aca="false">DC16/0.74</f>
        <v>2021.62162162162</v>
      </c>
      <c r="DE16" s="54" t="n">
        <f aca="false">DD16*0.338+500</f>
        <v>1183.30810810811</v>
      </c>
      <c r="DF16" s="55" t="n">
        <f aca="false">DD16+DE16</f>
        <v>3204.92972972973</v>
      </c>
      <c r="DG16" s="54" t="n">
        <f aca="false">DF16-(2_Market_Gross_USD!E14+35)</f>
        <v>1569.92972972973</v>
      </c>
      <c r="DH16" s="64" t="n">
        <f aca="false">IFERROR(DF16/(2_Market_Gross_USD!E14+35),0)</f>
        <v>1.96020166955947</v>
      </c>
      <c r="DI16" s="63" t="n">
        <f aca="false">2_Market_Gross_USD!E14*(1-0.065)</f>
        <v>1496</v>
      </c>
      <c r="DJ16" s="53" t="n">
        <f aca="false">DI16/0.66</f>
        <v>2266.66666666667</v>
      </c>
      <c r="DK16" s="54" t="n">
        <f aca="false">DJ16*0.2375+0</f>
        <v>538.333333333333</v>
      </c>
      <c r="DL16" s="55" t="n">
        <f aca="false">DJ16+DK16</f>
        <v>2805</v>
      </c>
      <c r="DM16" s="54" t="n">
        <f aca="false">DL16-(2_Market_Gross_USD!E14+35)</f>
        <v>1170</v>
      </c>
      <c r="DN16" s="64" t="n">
        <f aca="false">IFERROR(DL16/(2_Market_Gross_USD!E14+35),0)</f>
        <v>1.71559633027523</v>
      </c>
      <c r="DO16" s="63" t="n">
        <f aca="false">2_Market_Gross_USD!E14*(1-0.065)</f>
        <v>1496</v>
      </c>
      <c r="DP16" s="53" t="n">
        <f aca="false">DO16/0.8</f>
        <v>1870</v>
      </c>
      <c r="DQ16" s="54" t="n">
        <f aca="false">DP16*0+0</f>
        <v>0</v>
      </c>
      <c r="DR16" s="55" t="n">
        <f aca="false">DP16+DQ16</f>
        <v>1870</v>
      </c>
      <c r="DS16" s="54" t="n">
        <f aca="false">DR16-(2_Market_Gross_USD!E14+35)</f>
        <v>235</v>
      </c>
      <c r="DT16" s="64" t="n">
        <f aca="false">IFERROR(DR16/(2_Market_Gross_USD!E14+35),0)</f>
        <v>1.14373088685015</v>
      </c>
      <c r="DU16" s="63" t="n">
        <f aca="false">2_Market_Gross_USD!E14*(1-0.065)</f>
        <v>1496</v>
      </c>
      <c r="DV16" s="53" t="n">
        <f aca="false">DU16/0.66</f>
        <v>2266.66666666667</v>
      </c>
      <c r="DW16" s="54" t="n">
        <f aca="false">DV16*0.2375+500</f>
        <v>1038.33333333333</v>
      </c>
      <c r="DX16" s="55" t="n">
        <f aca="false">DV16+DW16</f>
        <v>3305</v>
      </c>
      <c r="DY16" s="54" t="n">
        <f aca="false">DX16-(2_Market_Gross_USD!E14+35)</f>
        <v>1670</v>
      </c>
      <c r="DZ16" s="64" t="n">
        <f aca="false">IFERROR(DX16/(2_Market_Gross_USD!E14+35),0)</f>
        <v>2.02140672782875</v>
      </c>
      <c r="EA16" s="63" t="n">
        <f aca="false">2_Market_Gross_USD!E14*(1-0.065)</f>
        <v>1496</v>
      </c>
      <c r="EB16" s="53" t="n">
        <f aca="false">EA16/0.65</f>
        <v>2301.53846153846</v>
      </c>
      <c r="EC16" s="54" t="n">
        <f aca="false">EB16*0.0225+0</f>
        <v>51.7846153846154</v>
      </c>
      <c r="ED16" s="55" t="n">
        <f aca="false">EB16+EC16</f>
        <v>2353.32307692308</v>
      </c>
      <c r="EE16" s="54" t="n">
        <f aca="false">ED16-(2_Market_Gross_USD!E14+35)</f>
        <v>718.323076923077</v>
      </c>
      <c r="EF16" s="64" t="n">
        <f aca="false">IFERROR(ED16/(2_Market_Gross_USD!E14+35),0)</f>
        <v>1.43934133145142</v>
      </c>
      <c r="EG16" s="63" t="n">
        <f aca="false">2_Market_Gross_USD!E14*(1-0.065)</f>
        <v>1496</v>
      </c>
      <c r="EH16" s="53" t="n">
        <f aca="false">EG16/0.99</f>
        <v>1511.11111111111</v>
      </c>
      <c r="EI16" s="54" t="n">
        <f aca="false">EH16*0+0</f>
        <v>0</v>
      </c>
      <c r="EJ16" s="55" t="n">
        <f aca="false">EH16+EI16</f>
        <v>1511.11111111111</v>
      </c>
      <c r="EK16" s="54" t="n">
        <f aca="false">EJ16-(2_Market_Gross_USD!E14+35)</f>
        <v>-123.888888888889</v>
      </c>
      <c r="EL16" s="64" t="n">
        <f aca="false">IFERROR(EJ16/(2_Market_Gross_USD!E14+35),0)</f>
        <v>0.924226979272851</v>
      </c>
      <c r="EM16" s="63" t="n">
        <f aca="false">2_Market_Gross_USD!E14*(1-0.065)</f>
        <v>1496</v>
      </c>
      <c r="EN16" s="53" t="n">
        <f aca="false">EM16/0.65</f>
        <v>2301.53846153846</v>
      </c>
      <c r="EO16" s="54" t="n">
        <f aca="false">EN16*0.0225+500</f>
        <v>551.784615384615</v>
      </c>
      <c r="EP16" s="55" t="n">
        <f aca="false">EN16+EO16</f>
        <v>2853.32307692308</v>
      </c>
      <c r="EQ16" s="54" t="n">
        <f aca="false">EP16-(2_Market_Gross_USD!E14+35)</f>
        <v>1218.32307692308</v>
      </c>
      <c r="ER16" s="64" t="n">
        <f aca="false">IFERROR(EP16/(2_Market_Gross_USD!E14+35),0)</f>
        <v>1.74515172900494</v>
      </c>
    </row>
    <row r="17" customFormat="false" ht="15" hidden="false" customHeight="false" outlineLevel="0" collapsed="false">
      <c r="A17" s="41" t="n">
        <v>12</v>
      </c>
      <c r="B17" s="28" t="s">
        <v>253</v>
      </c>
      <c r="C17" s="8" t="s">
        <v>255</v>
      </c>
      <c r="D17" s="65" t="s">
        <v>249</v>
      </c>
      <c r="E17" s="63" t="n">
        <f aca="false">2_Market_Gross_USD!E15*(1-0.065)</f>
        <v>4207.5</v>
      </c>
      <c r="F17" s="53" t="n">
        <f aca="false">E17/0.7429</f>
        <v>5663.61556064073</v>
      </c>
      <c r="G17" s="58" t="n">
        <f aca="false">F17*0.2038+0</f>
        <v>1154.24485125858</v>
      </c>
      <c r="H17" s="55" t="n">
        <f aca="false">F17+G17</f>
        <v>6817.86041189931</v>
      </c>
      <c r="I17" s="58" t="n">
        <f aca="false">H17-(2_Market_Gross_USD!E15+35)</f>
        <v>2282.86041189931</v>
      </c>
      <c r="J17" s="66" t="n">
        <f aca="false">IFERROR(H17/(2_Market_Gross_USD!E15+35),0)</f>
        <v>1.50338708090393</v>
      </c>
      <c r="K17" s="63" t="n">
        <f aca="false">2_Market_Gross_USD!E15*(1-0.065)</f>
        <v>4207.5</v>
      </c>
      <c r="L17" s="53" t="n">
        <f aca="false">K17/0.88</f>
        <v>4781.25</v>
      </c>
      <c r="M17" s="58" t="n">
        <f aca="false">L17*0+0</f>
        <v>0</v>
      </c>
      <c r="N17" s="55" t="n">
        <f aca="false">L17+M17</f>
        <v>4781.25</v>
      </c>
      <c r="O17" s="58" t="n">
        <f aca="false">N17-(2_Market_Gross_USD!E15+35)</f>
        <v>246.25</v>
      </c>
      <c r="P17" s="66" t="n">
        <f aca="false">IFERROR(N17/(2_Market_Gross_USD!E15+35),0)</f>
        <v>1.05429988974642</v>
      </c>
      <c r="Q17" s="63" t="n">
        <f aca="false">2_Market_Gross_USD!E15*(1-0.065)</f>
        <v>4207.5</v>
      </c>
      <c r="R17" s="53" t="n">
        <f aca="false">Q17/0.7429</f>
        <v>5663.61556064073</v>
      </c>
      <c r="S17" s="58" t="n">
        <f aca="false">R17*0.2038+500</f>
        <v>1654.24485125858</v>
      </c>
      <c r="T17" s="55" t="n">
        <f aca="false">R17+S17</f>
        <v>7317.86041189931</v>
      </c>
      <c r="U17" s="58" t="n">
        <f aca="false">T17-(2_Market_Gross_USD!E15+35)</f>
        <v>2782.86041189931</v>
      </c>
      <c r="V17" s="66" t="n">
        <f aca="false">IFERROR(T17/(2_Market_Gross_USD!E15+35),0)</f>
        <v>1.61364066414538</v>
      </c>
      <c r="W17" s="63" t="n">
        <f aca="false">2_Market_Gross_USD!E15*(1-0.065)</f>
        <v>4207.5</v>
      </c>
      <c r="X17" s="53" t="n">
        <f aca="false">W17/0.72</f>
        <v>5843.75</v>
      </c>
      <c r="Y17" s="58" t="n">
        <f aca="false">X17*0.15+0</f>
        <v>876.5625</v>
      </c>
      <c r="Z17" s="55" t="n">
        <f aca="false">X17+Y17</f>
        <v>6720.3125</v>
      </c>
      <c r="AA17" s="58" t="n">
        <f aca="false">Z17-(2_Market_Gross_USD!E15+35)</f>
        <v>2185.3125</v>
      </c>
      <c r="AB17" s="66" t="n">
        <f aca="false">IFERROR(Z17/(2_Market_Gross_USD!E15+35),0)</f>
        <v>1.48187706725469</v>
      </c>
      <c r="AC17" s="63" t="n">
        <f aca="false">2_Market_Gross_USD!E15*(1-0.065)</f>
        <v>4207.5</v>
      </c>
      <c r="AD17" s="53" t="n">
        <f aca="false">AC17/0.81</f>
        <v>5194.44444444444</v>
      </c>
      <c r="AE17" s="58" t="n">
        <f aca="false">AD17*0+0</f>
        <v>0</v>
      </c>
      <c r="AF17" s="55" t="n">
        <f aca="false">AD17+AE17</f>
        <v>5194.44444444444</v>
      </c>
      <c r="AG17" s="58" t="n">
        <f aca="false">AF17-(2_Market_Gross_USD!E15+35)</f>
        <v>659.444444444444</v>
      </c>
      <c r="AH17" s="66" t="n">
        <f aca="false">IFERROR(AF17/(2_Market_Gross_USD!E15+35),0)</f>
        <v>1.14541222589734</v>
      </c>
      <c r="AI17" s="63" t="n">
        <f aca="false">2_Market_Gross_USD!E15*(1-0.065)</f>
        <v>4207.5</v>
      </c>
      <c r="AJ17" s="53" t="n">
        <f aca="false">AI17/0.72</f>
        <v>5843.75</v>
      </c>
      <c r="AK17" s="58" t="n">
        <f aca="false">AJ17*0.15+500</f>
        <v>1376.5625</v>
      </c>
      <c r="AL17" s="55" t="n">
        <f aca="false">AJ17+AK17</f>
        <v>7220.3125</v>
      </c>
      <c r="AM17" s="58" t="n">
        <f aca="false">AL17-(2_Market_Gross_USD!E15+35)</f>
        <v>2685.3125</v>
      </c>
      <c r="AN17" s="66" t="n">
        <f aca="false">IFERROR(AL17/(2_Market_Gross_USD!E15+35),0)</f>
        <v>1.59213065049614</v>
      </c>
      <c r="AO17" s="63" t="n">
        <f aca="false">2_Market_Gross_USD!E15*(1-0.065)</f>
        <v>4207.5</v>
      </c>
      <c r="AP17" s="53" t="n">
        <f aca="false">AO17/0.7035</f>
        <v>5980.81023454158</v>
      </c>
      <c r="AQ17" s="58" t="n">
        <f aca="false">AP17*0.11+0</f>
        <v>657.889125799574</v>
      </c>
      <c r="AR17" s="55" t="n">
        <f aca="false">AP17+AQ17</f>
        <v>6638.69936034115</v>
      </c>
      <c r="AS17" s="58" t="n">
        <f aca="false">AR17-(2_Market_Gross_USD!E15+35)</f>
        <v>2103.69936034115</v>
      </c>
      <c r="AT17" s="66" t="n">
        <f aca="false">IFERROR(AR17/(2_Market_Gross_USD!E15+35),0)</f>
        <v>1.46388078508074</v>
      </c>
      <c r="AU17" s="63" t="n">
        <f aca="false">2_Market_Gross_USD!E15*(1-0.065)</f>
        <v>4207.5</v>
      </c>
      <c r="AV17" s="53" t="n">
        <f aca="false">AU17/0.627</f>
        <v>6710.52631578947</v>
      </c>
      <c r="AW17" s="58" t="n">
        <f aca="false">AV17*0+0</f>
        <v>0</v>
      </c>
      <c r="AX17" s="55" t="n">
        <f aca="false">AV17+AW17</f>
        <v>6710.52631578947</v>
      </c>
      <c r="AY17" s="58" t="n">
        <f aca="false">AX17-(2_Market_Gross_USD!E15+35)</f>
        <v>2175.52631578947</v>
      </c>
      <c r="AZ17" s="66" t="n">
        <f aca="false">IFERROR(AX17/(2_Market_Gross_USD!E15+35),0)</f>
        <v>1.47971914350374</v>
      </c>
      <c r="BA17" s="63" t="n">
        <f aca="false">2_Market_Gross_USD!E15*(1-0.065)</f>
        <v>4207.5</v>
      </c>
      <c r="BB17" s="53" t="n">
        <f aca="false">BA17/0.7035</f>
        <v>5980.81023454158</v>
      </c>
      <c r="BC17" s="58" t="n">
        <f aca="false">BB17*0.11+500</f>
        <v>1157.88912579957</v>
      </c>
      <c r="BD17" s="55" t="n">
        <f aca="false">BB17+BC17</f>
        <v>7138.69936034115</v>
      </c>
      <c r="BE17" s="58" t="n">
        <f aca="false">BD17-(2_Market_Gross_USD!E15+35)</f>
        <v>2603.69936034115</v>
      </c>
      <c r="BF17" s="66" t="n">
        <f aca="false">IFERROR(BD17/(2_Market_Gross_USD!E15+35),0)</f>
        <v>1.57413436832219</v>
      </c>
      <c r="BG17" s="63" t="n">
        <f aca="false">2_Market_Gross_USD!E15*(1-0.065)</f>
        <v>4207.5</v>
      </c>
      <c r="BH17" s="53" t="n">
        <f aca="false">BG17/0.5215</f>
        <v>8068.07286673059</v>
      </c>
      <c r="BI17" s="58" t="n">
        <f aca="false">BH17*0.21+0</f>
        <v>1694.29530201342</v>
      </c>
      <c r="BJ17" s="55" t="n">
        <f aca="false">BH17+BI17</f>
        <v>9762.36816874401</v>
      </c>
      <c r="BK17" s="58" t="n">
        <f aca="false">BJ17-(2_Market_Gross_USD!E15+35)</f>
        <v>5227.36816874401</v>
      </c>
      <c r="BL17" s="66" t="n">
        <f aca="false">IFERROR(BJ17/(2_Market_Gross_USD!E15+35),0)</f>
        <v>2.1526721430527</v>
      </c>
      <c r="BM17" s="63" t="n">
        <f aca="false">2_Market_Gross_USD!E15*(1-0.065)</f>
        <v>4207.5</v>
      </c>
      <c r="BN17" s="53" t="n">
        <f aca="false">BM17/0.75</f>
        <v>5610</v>
      </c>
      <c r="BO17" s="58" t="n">
        <f aca="false">BN17*0+0</f>
        <v>0</v>
      </c>
      <c r="BP17" s="55" t="n">
        <f aca="false">BN17+BO17</f>
        <v>5610</v>
      </c>
      <c r="BQ17" s="58" t="n">
        <f aca="false">BP17-(2_Market_Gross_USD!E15+35)</f>
        <v>1075</v>
      </c>
      <c r="BR17" s="66" t="n">
        <f aca="false">IFERROR(BP17/(2_Market_Gross_USD!E15+35),0)</f>
        <v>1.23704520396913</v>
      </c>
      <c r="BS17" s="63" t="n">
        <f aca="false">2_Market_Gross_USD!E15*(1-0.065)</f>
        <v>4207.5</v>
      </c>
      <c r="BT17" s="53" t="n">
        <f aca="false">BS17/0.5215</f>
        <v>8068.07286673059</v>
      </c>
      <c r="BU17" s="58" t="n">
        <f aca="false">BT17*0.21+500</f>
        <v>2194.29530201342</v>
      </c>
      <c r="BV17" s="55" t="n">
        <f aca="false">BT17+BU17</f>
        <v>10262.368168744</v>
      </c>
      <c r="BW17" s="58" t="n">
        <f aca="false">BV17-(2_Market_Gross_USD!E15+35)</f>
        <v>5727.36816874401</v>
      </c>
      <c r="BX17" s="66" t="n">
        <f aca="false">IFERROR(BV17/(2_Market_Gross_USD!E15+35),0)</f>
        <v>2.26292572629416</v>
      </c>
      <c r="BY17" s="63" t="n">
        <f aca="false">2_Market_Gross_USD!E15*(1-0.065)</f>
        <v>4207.5</v>
      </c>
      <c r="BZ17" s="53" t="n">
        <f aca="false">BY17/0.6303</f>
        <v>6675.39267015707</v>
      </c>
      <c r="CA17" s="58" t="n">
        <f aca="false">BZ17*0.2+0</f>
        <v>1335.07853403141</v>
      </c>
      <c r="CB17" s="55" t="n">
        <f aca="false">BZ17+CA17</f>
        <v>8010.47120418848</v>
      </c>
      <c r="CC17" s="58" t="n">
        <f aca="false">CB17-(2_Market_Gross_USD!E15+35)</f>
        <v>3475.47120418848</v>
      </c>
      <c r="CD17" s="66" t="n">
        <f aca="false">IFERROR(CB17/(2_Market_Gross_USD!E15+35),0)</f>
        <v>1.76636630742855</v>
      </c>
      <c r="CE17" s="63" t="n">
        <f aca="false">2_Market_Gross_USD!E15*(1-0.065)</f>
        <v>4207.5</v>
      </c>
      <c r="CF17" s="53" t="n">
        <f aca="false">CE17/0.6303</f>
        <v>6675.39267015707</v>
      </c>
      <c r="CG17" s="58" t="n">
        <f aca="false">CF17*0+0</f>
        <v>0</v>
      </c>
      <c r="CH17" s="55" t="n">
        <f aca="false">CF17+CG17</f>
        <v>6675.39267015707</v>
      </c>
      <c r="CI17" s="58" t="n">
        <f aca="false">CH17-(2_Market_Gross_USD!E15+35)</f>
        <v>2140.39267015707</v>
      </c>
      <c r="CJ17" s="66" t="n">
        <f aca="false">IFERROR(CH17/(2_Market_Gross_USD!E15+35),0)</f>
        <v>1.47197192285713</v>
      </c>
      <c r="CK17" s="63" t="n">
        <f aca="false">2_Market_Gross_USD!E15*(1-0.065)</f>
        <v>4207.5</v>
      </c>
      <c r="CL17" s="53" t="n">
        <f aca="false">CK17/0.6303</f>
        <v>6675.39267015707</v>
      </c>
      <c r="CM17" s="58" t="n">
        <f aca="false">CL17*0.2+500</f>
        <v>1835.07853403141</v>
      </c>
      <c r="CN17" s="55" t="n">
        <f aca="false">CL17+CM17</f>
        <v>8510.47120418848</v>
      </c>
      <c r="CO17" s="58" t="n">
        <f aca="false">CN17-(2_Market_Gross_USD!E15+35)</f>
        <v>3975.47120418848</v>
      </c>
      <c r="CP17" s="66" t="n">
        <f aca="false">IFERROR(CN17/(2_Market_Gross_USD!E15+35),0)</f>
        <v>1.87661989067001</v>
      </c>
      <c r="CQ17" s="63" t="n">
        <f aca="false">2_Market_Gross_USD!E15*(1-0.065)</f>
        <v>4207.5</v>
      </c>
      <c r="CR17" s="53" t="n">
        <f aca="false">CQ17/0.74</f>
        <v>5685.81081081081</v>
      </c>
      <c r="CS17" s="58" t="n">
        <f aca="false">CR17*0.338+0</f>
        <v>1921.80405405405</v>
      </c>
      <c r="CT17" s="55" t="n">
        <f aca="false">CR17+CS17</f>
        <v>7607.61486486487</v>
      </c>
      <c r="CU17" s="58" t="n">
        <f aca="false">CT17-(2_Market_Gross_USD!E15+35)</f>
        <v>3072.61486486487</v>
      </c>
      <c r="CV17" s="66" t="n">
        <f aca="false">IFERROR(CT17/(2_Market_Gross_USD!E15+35),0)</f>
        <v>1.67753359754462</v>
      </c>
      <c r="CW17" s="63" t="n">
        <f aca="false">2_Market_Gross_USD!E15*(1-0.065)</f>
        <v>4207.5</v>
      </c>
      <c r="CX17" s="53" t="n">
        <f aca="false">CW17/0.85</f>
        <v>4950</v>
      </c>
      <c r="CY17" s="58" t="n">
        <f aca="false">CX17*0+0</f>
        <v>0</v>
      </c>
      <c r="CZ17" s="55" t="n">
        <f aca="false">CX17+CY17</f>
        <v>4950</v>
      </c>
      <c r="DA17" s="58" t="n">
        <f aca="false">CZ17-(2_Market_Gross_USD!E15+35)</f>
        <v>415</v>
      </c>
      <c r="DB17" s="66" t="n">
        <f aca="false">IFERROR(CZ17/(2_Market_Gross_USD!E15+35),0)</f>
        <v>1.09151047409041</v>
      </c>
      <c r="DC17" s="63" t="n">
        <f aca="false">2_Market_Gross_USD!E15*(1-0.065)</f>
        <v>4207.5</v>
      </c>
      <c r="DD17" s="53" t="n">
        <f aca="false">DC17/0.74</f>
        <v>5685.81081081081</v>
      </c>
      <c r="DE17" s="58" t="n">
        <f aca="false">DD17*0.338+500</f>
        <v>2421.80405405405</v>
      </c>
      <c r="DF17" s="55" t="n">
        <f aca="false">DD17+DE17</f>
        <v>8107.61486486487</v>
      </c>
      <c r="DG17" s="58" t="n">
        <f aca="false">DF17-(2_Market_Gross_USD!E15+35)</f>
        <v>3572.61486486487</v>
      </c>
      <c r="DH17" s="66" t="n">
        <f aca="false">IFERROR(DF17/(2_Market_Gross_USD!E15+35),0)</f>
        <v>1.78778718078608</v>
      </c>
      <c r="DI17" s="63" t="n">
        <f aca="false">2_Market_Gross_USD!E15*(1-0.065)</f>
        <v>4207.5</v>
      </c>
      <c r="DJ17" s="53" t="n">
        <f aca="false">DI17/0.66</f>
        <v>6375</v>
      </c>
      <c r="DK17" s="58" t="n">
        <f aca="false">DJ17*0.2375+0</f>
        <v>1514.0625</v>
      </c>
      <c r="DL17" s="55" t="n">
        <f aca="false">DJ17+DK17</f>
        <v>7889.0625</v>
      </c>
      <c r="DM17" s="58" t="n">
        <f aca="false">DL17-(2_Market_Gross_USD!E15+35)</f>
        <v>3354.0625</v>
      </c>
      <c r="DN17" s="66" t="n">
        <f aca="false">IFERROR(DL17/(2_Market_Gross_USD!E15+35),0)</f>
        <v>1.73959481808159</v>
      </c>
      <c r="DO17" s="63" t="n">
        <f aca="false">2_Market_Gross_USD!E15*(1-0.065)</f>
        <v>4207.5</v>
      </c>
      <c r="DP17" s="53" t="n">
        <f aca="false">DO17/0.8</f>
        <v>5259.375</v>
      </c>
      <c r="DQ17" s="58" t="n">
        <f aca="false">DP17*0+0</f>
        <v>0</v>
      </c>
      <c r="DR17" s="55" t="n">
        <f aca="false">DP17+DQ17</f>
        <v>5259.375</v>
      </c>
      <c r="DS17" s="58" t="n">
        <f aca="false">DR17-(2_Market_Gross_USD!E15+35)</f>
        <v>724.375</v>
      </c>
      <c r="DT17" s="66" t="n">
        <f aca="false">IFERROR(DR17/(2_Market_Gross_USD!E15+35),0)</f>
        <v>1.15972987872106</v>
      </c>
      <c r="DU17" s="63" t="n">
        <f aca="false">2_Market_Gross_USD!E15*(1-0.065)</f>
        <v>4207.5</v>
      </c>
      <c r="DV17" s="53" t="n">
        <f aca="false">DU17/0.66</f>
        <v>6375</v>
      </c>
      <c r="DW17" s="58" t="n">
        <f aca="false">DV17*0.2375+500</f>
        <v>2014.0625</v>
      </c>
      <c r="DX17" s="55" t="n">
        <f aca="false">DV17+DW17</f>
        <v>8389.0625</v>
      </c>
      <c r="DY17" s="58" t="n">
        <f aca="false">DX17-(2_Market_Gross_USD!E15+35)</f>
        <v>3854.0625</v>
      </c>
      <c r="DZ17" s="66" t="n">
        <f aca="false">IFERROR(DX17/(2_Market_Gross_USD!E15+35),0)</f>
        <v>1.84984840132304</v>
      </c>
      <c r="EA17" s="63" t="n">
        <f aca="false">2_Market_Gross_USD!E15*(1-0.065)</f>
        <v>4207.5</v>
      </c>
      <c r="EB17" s="53" t="n">
        <f aca="false">EA17/0.65</f>
        <v>6473.07692307692</v>
      </c>
      <c r="EC17" s="58" t="n">
        <f aca="false">EB17*0.0225+0</f>
        <v>145.644230769231</v>
      </c>
      <c r="ED17" s="55" t="n">
        <f aca="false">EB17+EC17</f>
        <v>6618.72115384615</v>
      </c>
      <c r="EE17" s="58" t="n">
        <f aca="false">ED17-(2_Market_Gross_USD!E15+35)</f>
        <v>2083.72115384615</v>
      </c>
      <c r="EF17" s="66" t="n">
        <f aca="false">IFERROR(ED17/(2_Market_Gross_USD!E15+35),0)</f>
        <v>1.45947544737512</v>
      </c>
      <c r="EG17" s="63" t="n">
        <f aca="false">2_Market_Gross_USD!E15*(1-0.065)</f>
        <v>4207.5</v>
      </c>
      <c r="EH17" s="53" t="n">
        <f aca="false">EG17/0.99</f>
        <v>4250</v>
      </c>
      <c r="EI17" s="58" t="n">
        <f aca="false">EH17*0+0</f>
        <v>0</v>
      </c>
      <c r="EJ17" s="55" t="n">
        <f aca="false">EH17+EI17</f>
        <v>4250</v>
      </c>
      <c r="EK17" s="58" t="n">
        <f aca="false">EJ17-(2_Market_Gross_USD!E15+35)</f>
        <v>-285</v>
      </c>
      <c r="EL17" s="66" t="n">
        <f aca="false">IFERROR(EJ17/(2_Market_Gross_USD!E15+35),0)</f>
        <v>0.93715545755237</v>
      </c>
      <c r="EM17" s="63" t="n">
        <f aca="false">2_Market_Gross_USD!E15*(1-0.065)</f>
        <v>4207.5</v>
      </c>
      <c r="EN17" s="53" t="n">
        <f aca="false">EM17/0.65</f>
        <v>6473.07692307692</v>
      </c>
      <c r="EO17" s="58" t="n">
        <f aca="false">EN17*0.0225+500</f>
        <v>645.644230769231</v>
      </c>
      <c r="EP17" s="55" t="n">
        <f aca="false">EN17+EO17</f>
        <v>7118.72115384615</v>
      </c>
      <c r="EQ17" s="58" t="n">
        <f aca="false">EP17-(2_Market_Gross_USD!E15+35)</f>
        <v>2583.72115384615</v>
      </c>
      <c r="ER17" s="66" t="n">
        <f aca="false">IFERROR(EP17/(2_Market_Gross_USD!E15+35),0)</f>
        <v>1.56972903061657</v>
      </c>
    </row>
    <row r="18" customFormat="false" ht="15" hidden="false" customHeight="false" outlineLevel="0" collapsed="false">
      <c r="A18" s="37" t="n">
        <v>13</v>
      </c>
      <c r="B18" s="32" t="s">
        <v>253</v>
      </c>
      <c r="C18" s="32" t="s">
        <v>256</v>
      </c>
      <c r="D18" s="62" t="s">
        <v>248</v>
      </c>
      <c r="E18" s="63" t="n">
        <f aca="false">2_Market_Gross_USD!E16*(1-0.065)</f>
        <v>1168.75</v>
      </c>
      <c r="F18" s="53" t="n">
        <f aca="false">E18/0.7429</f>
        <v>1573.22654462243</v>
      </c>
      <c r="G18" s="54" t="n">
        <f aca="false">F18*0.2038+0</f>
        <v>320.62356979405</v>
      </c>
      <c r="H18" s="55" t="n">
        <f aca="false">F18+G18</f>
        <v>1893.85011441648</v>
      </c>
      <c r="I18" s="54" t="n">
        <f aca="false">H18-(2_Market_Gross_USD!E16+35)</f>
        <v>608.850114416476</v>
      </c>
      <c r="J18" s="64" t="n">
        <f aca="false">IFERROR(H18/(2_Market_Gross_USD!E16+35),0)</f>
        <v>1.47381331861204</v>
      </c>
      <c r="K18" s="63" t="n">
        <f aca="false">2_Market_Gross_USD!E16*(1-0.065)</f>
        <v>1168.75</v>
      </c>
      <c r="L18" s="53" t="n">
        <f aca="false">K18/0.88</f>
        <v>1328.125</v>
      </c>
      <c r="M18" s="54" t="n">
        <f aca="false">L18*0+0</f>
        <v>0</v>
      </c>
      <c r="N18" s="55" t="n">
        <f aca="false">L18+M18</f>
        <v>1328.125</v>
      </c>
      <c r="O18" s="54" t="n">
        <f aca="false">N18-(2_Market_Gross_USD!E16+35)</f>
        <v>43.125</v>
      </c>
      <c r="P18" s="64" t="n">
        <f aca="false">IFERROR(N18/(2_Market_Gross_USD!E16+35),0)</f>
        <v>1.03356031128405</v>
      </c>
      <c r="Q18" s="63" t="n">
        <f aca="false">2_Market_Gross_USD!E16*(1-0.065)</f>
        <v>1168.75</v>
      </c>
      <c r="R18" s="53" t="n">
        <f aca="false">Q18/0.7429</f>
        <v>1573.22654462243</v>
      </c>
      <c r="S18" s="54" t="n">
        <f aca="false">R18*0.2038+500</f>
        <v>820.62356979405</v>
      </c>
      <c r="T18" s="55" t="n">
        <f aca="false">R18+S18</f>
        <v>2393.85011441648</v>
      </c>
      <c r="U18" s="54" t="n">
        <f aca="false">T18-(2_Market_Gross_USD!E16+35)</f>
        <v>1108.85011441648</v>
      </c>
      <c r="V18" s="64" t="n">
        <f aca="false">IFERROR(T18/(2_Market_Gross_USD!E16+35),0)</f>
        <v>1.8629183769778</v>
      </c>
      <c r="W18" s="63" t="n">
        <f aca="false">2_Market_Gross_USD!E16*(1-0.065)</f>
        <v>1168.75</v>
      </c>
      <c r="X18" s="53" t="n">
        <f aca="false">W18/0.72</f>
        <v>1623.26388888889</v>
      </c>
      <c r="Y18" s="54" t="n">
        <f aca="false">X18*0.15+0</f>
        <v>243.489583333333</v>
      </c>
      <c r="Z18" s="55" t="n">
        <f aca="false">X18+Y18</f>
        <v>1866.75347222222</v>
      </c>
      <c r="AA18" s="54" t="n">
        <f aca="false">Z18-(2_Market_Gross_USD!E16+35)</f>
        <v>581.753472222222</v>
      </c>
      <c r="AB18" s="64" t="n">
        <f aca="false">IFERROR(Z18/(2_Market_Gross_USD!E16+35),0)</f>
        <v>1.45272643752702</v>
      </c>
      <c r="AC18" s="63" t="n">
        <f aca="false">2_Market_Gross_USD!E16*(1-0.065)</f>
        <v>1168.75</v>
      </c>
      <c r="AD18" s="53" t="n">
        <f aca="false">AC18/0.81</f>
        <v>1442.9012345679</v>
      </c>
      <c r="AE18" s="54" t="n">
        <f aca="false">AD18*0+0</f>
        <v>0</v>
      </c>
      <c r="AF18" s="55" t="n">
        <f aca="false">AD18+AE18</f>
        <v>1442.9012345679</v>
      </c>
      <c r="AG18" s="54" t="n">
        <f aca="false">AF18-(2_Market_Gross_USD!E16+35)</f>
        <v>157.901234567901</v>
      </c>
      <c r="AH18" s="64" t="n">
        <f aca="false">IFERROR(AF18/(2_Market_Gross_USD!E16+35),0)</f>
        <v>1.12288033818514</v>
      </c>
      <c r="AI18" s="63" t="n">
        <f aca="false">2_Market_Gross_USD!E16*(1-0.065)</f>
        <v>1168.75</v>
      </c>
      <c r="AJ18" s="53" t="n">
        <f aca="false">AI18/0.72</f>
        <v>1623.26388888889</v>
      </c>
      <c r="AK18" s="54" t="n">
        <f aca="false">AJ18*0.15+500</f>
        <v>743.489583333333</v>
      </c>
      <c r="AL18" s="55" t="n">
        <f aca="false">AJ18+AK18</f>
        <v>2366.75347222222</v>
      </c>
      <c r="AM18" s="54" t="n">
        <f aca="false">AL18-(2_Market_Gross_USD!E16+35)</f>
        <v>1081.75347222222</v>
      </c>
      <c r="AN18" s="64" t="n">
        <f aca="false">IFERROR(AL18/(2_Market_Gross_USD!E16+35),0)</f>
        <v>1.84183149589278</v>
      </c>
      <c r="AO18" s="63" t="n">
        <f aca="false">2_Market_Gross_USD!E16*(1-0.065)</f>
        <v>1168.75</v>
      </c>
      <c r="AP18" s="53" t="n">
        <f aca="false">AO18/0.7035</f>
        <v>1661.33617626155</v>
      </c>
      <c r="AQ18" s="54" t="n">
        <f aca="false">AP18*0.11+0</f>
        <v>182.74697938877</v>
      </c>
      <c r="AR18" s="55" t="n">
        <f aca="false">AP18+AQ18</f>
        <v>1844.08315565032</v>
      </c>
      <c r="AS18" s="54" t="n">
        <f aca="false">AR18-(2_Market_Gross_USD!E16+35)</f>
        <v>559.08315565032</v>
      </c>
      <c r="AT18" s="64" t="n">
        <f aca="false">IFERROR(AR18/(2_Market_Gross_USD!E16+35),0)</f>
        <v>1.43508416782126</v>
      </c>
      <c r="AU18" s="63" t="n">
        <f aca="false">2_Market_Gross_USD!E16*(1-0.065)</f>
        <v>1168.75</v>
      </c>
      <c r="AV18" s="53" t="n">
        <f aca="false">AU18/0.627</f>
        <v>1864.0350877193</v>
      </c>
      <c r="AW18" s="54" t="n">
        <f aca="false">AV18*0+0</f>
        <v>0</v>
      </c>
      <c r="AX18" s="55" t="n">
        <f aca="false">AV18+AW18</f>
        <v>1864.0350877193</v>
      </c>
      <c r="AY18" s="54" t="n">
        <f aca="false">AX18-(2_Market_Gross_USD!E16+35)</f>
        <v>579.035087719298</v>
      </c>
      <c r="AZ18" s="64" t="n">
        <f aca="false">IFERROR(AX18/(2_Market_Gross_USD!E16+35),0)</f>
        <v>1.45061096320568</v>
      </c>
      <c r="BA18" s="63" t="n">
        <f aca="false">2_Market_Gross_USD!E16*(1-0.065)</f>
        <v>1168.75</v>
      </c>
      <c r="BB18" s="53" t="n">
        <f aca="false">BA18/0.7035</f>
        <v>1661.33617626155</v>
      </c>
      <c r="BC18" s="54" t="n">
        <f aca="false">BB18*0.11+500</f>
        <v>682.746979388771</v>
      </c>
      <c r="BD18" s="55" t="n">
        <f aca="false">BB18+BC18</f>
        <v>2344.08315565032</v>
      </c>
      <c r="BE18" s="54" t="n">
        <f aca="false">BD18-(2_Market_Gross_USD!E16+35)</f>
        <v>1059.08315565032</v>
      </c>
      <c r="BF18" s="64" t="n">
        <f aca="false">IFERROR(BD18/(2_Market_Gross_USD!E16+35),0)</f>
        <v>1.82418922618702</v>
      </c>
      <c r="BG18" s="63" t="n">
        <f aca="false">2_Market_Gross_USD!E16*(1-0.065)</f>
        <v>1168.75</v>
      </c>
      <c r="BH18" s="53" t="n">
        <f aca="false">BG18/0.5215</f>
        <v>2241.13135186961</v>
      </c>
      <c r="BI18" s="54" t="n">
        <f aca="false">BH18*0.21+0</f>
        <v>470.637583892617</v>
      </c>
      <c r="BJ18" s="55" t="n">
        <f aca="false">BH18+BI18</f>
        <v>2711.76893576222</v>
      </c>
      <c r="BK18" s="54" t="n">
        <f aca="false">BJ18-(2_Market_Gross_USD!E16+35)</f>
        <v>1426.76893576222</v>
      </c>
      <c r="BL18" s="64" t="n">
        <f aca="false">IFERROR(BJ18/(2_Market_Gross_USD!E16+35),0)</f>
        <v>2.11032602004842</v>
      </c>
      <c r="BM18" s="63" t="n">
        <f aca="false">2_Market_Gross_USD!E16*(1-0.065)</f>
        <v>1168.75</v>
      </c>
      <c r="BN18" s="53" t="n">
        <f aca="false">BM18/0.75</f>
        <v>1558.33333333333</v>
      </c>
      <c r="BO18" s="54" t="n">
        <f aca="false">BN18*0+0</f>
        <v>0</v>
      </c>
      <c r="BP18" s="55" t="n">
        <f aca="false">BN18+BO18</f>
        <v>1558.33333333333</v>
      </c>
      <c r="BQ18" s="54" t="n">
        <f aca="false">BP18-(2_Market_Gross_USD!E16+35)</f>
        <v>273.333333333333</v>
      </c>
      <c r="BR18" s="64" t="n">
        <f aca="false">IFERROR(BP18/(2_Market_Gross_USD!E16+35),0)</f>
        <v>1.21271076523995</v>
      </c>
      <c r="BS18" s="63" t="n">
        <f aca="false">2_Market_Gross_USD!E16*(1-0.065)</f>
        <v>1168.75</v>
      </c>
      <c r="BT18" s="53" t="n">
        <f aca="false">BS18/0.5215</f>
        <v>2241.13135186961</v>
      </c>
      <c r="BU18" s="54" t="n">
        <f aca="false">BT18*0.21+500</f>
        <v>970.637583892617</v>
      </c>
      <c r="BV18" s="55" t="n">
        <f aca="false">BT18+BU18</f>
        <v>3211.76893576222</v>
      </c>
      <c r="BW18" s="54" t="n">
        <f aca="false">BV18-(2_Market_Gross_USD!E16+35)</f>
        <v>1926.76893576222</v>
      </c>
      <c r="BX18" s="64" t="n">
        <f aca="false">IFERROR(BV18/(2_Market_Gross_USD!E16+35),0)</f>
        <v>2.49943107841418</v>
      </c>
      <c r="BY18" s="63" t="n">
        <f aca="false">2_Market_Gross_USD!E16*(1-0.065)</f>
        <v>1168.75</v>
      </c>
      <c r="BZ18" s="53" t="n">
        <f aca="false">BY18/0.6303</f>
        <v>1854.2757417103</v>
      </c>
      <c r="CA18" s="54" t="n">
        <f aca="false">BZ18*0.2+0</f>
        <v>370.855148342059</v>
      </c>
      <c r="CB18" s="55" t="n">
        <f aca="false">BZ18+CA18</f>
        <v>2225.13089005236</v>
      </c>
      <c r="CC18" s="54" t="n">
        <f aca="false">CB18-(2_Market_Gross_USD!E16+35)</f>
        <v>940.130890052356</v>
      </c>
      <c r="CD18" s="64" t="n">
        <f aca="false">IFERROR(CB18/(2_Market_Gross_USD!E16+35),0)</f>
        <v>1.73161936969055</v>
      </c>
      <c r="CE18" s="63" t="n">
        <f aca="false">2_Market_Gross_USD!E16*(1-0.065)</f>
        <v>1168.75</v>
      </c>
      <c r="CF18" s="53" t="n">
        <f aca="false">CE18/0.6303</f>
        <v>1854.2757417103</v>
      </c>
      <c r="CG18" s="54" t="n">
        <f aca="false">CF18*0+0</f>
        <v>0</v>
      </c>
      <c r="CH18" s="55" t="n">
        <f aca="false">CF18+CG18</f>
        <v>1854.2757417103</v>
      </c>
      <c r="CI18" s="54" t="n">
        <f aca="false">CH18-(2_Market_Gross_USD!E16+35)</f>
        <v>569.275741710297</v>
      </c>
      <c r="CJ18" s="64" t="n">
        <f aca="false">IFERROR(CH18/(2_Market_Gross_USD!E16+35),0)</f>
        <v>1.44301614140879</v>
      </c>
      <c r="CK18" s="63" t="n">
        <f aca="false">2_Market_Gross_USD!E16*(1-0.065)</f>
        <v>1168.75</v>
      </c>
      <c r="CL18" s="53" t="n">
        <f aca="false">CK18/0.6303</f>
        <v>1854.2757417103</v>
      </c>
      <c r="CM18" s="54" t="n">
        <f aca="false">CL18*0.2+500</f>
        <v>870.85514834206</v>
      </c>
      <c r="CN18" s="55" t="n">
        <f aca="false">CL18+CM18</f>
        <v>2725.13089005236</v>
      </c>
      <c r="CO18" s="54" t="n">
        <f aca="false">CN18-(2_Market_Gross_USD!E16+35)</f>
        <v>1440.13089005236</v>
      </c>
      <c r="CP18" s="64" t="n">
        <f aca="false">IFERROR(CN18/(2_Market_Gross_USD!E16+35),0)</f>
        <v>2.12072442805631</v>
      </c>
      <c r="CQ18" s="63" t="n">
        <f aca="false">2_Market_Gross_USD!E16*(1-0.065)</f>
        <v>1168.75</v>
      </c>
      <c r="CR18" s="53" t="n">
        <f aca="false">CQ18/0.74</f>
        <v>1579.39189189189</v>
      </c>
      <c r="CS18" s="54" t="n">
        <f aca="false">CR18*0.338+0</f>
        <v>533.83445945946</v>
      </c>
      <c r="CT18" s="55" t="n">
        <f aca="false">CR18+CS18</f>
        <v>2113.22635135135</v>
      </c>
      <c r="CU18" s="54" t="n">
        <f aca="false">CT18-(2_Market_Gross_USD!E16+35)</f>
        <v>828.226351351351</v>
      </c>
      <c r="CV18" s="64" t="n">
        <f aca="false">IFERROR(CT18/(2_Market_Gross_USD!E16+35),0)</f>
        <v>1.64453412556525</v>
      </c>
      <c r="CW18" s="63" t="n">
        <f aca="false">2_Market_Gross_USD!E16*(1-0.065)</f>
        <v>1168.75</v>
      </c>
      <c r="CX18" s="53" t="n">
        <f aca="false">CW18/0.85</f>
        <v>1375</v>
      </c>
      <c r="CY18" s="54" t="n">
        <f aca="false">CX18*0+0</f>
        <v>0</v>
      </c>
      <c r="CZ18" s="55" t="n">
        <f aca="false">CX18+CY18</f>
        <v>1375</v>
      </c>
      <c r="DA18" s="54" t="n">
        <f aca="false">CZ18-(2_Market_Gross_USD!E16+35)</f>
        <v>90</v>
      </c>
      <c r="DB18" s="64" t="n">
        <f aca="false">IFERROR(CZ18/(2_Market_Gross_USD!E16+35),0)</f>
        <v>1.07003891050584</v>
      </c>
      <c r="DC18" s="63" t="n">
        <f aca="false">2_Market_Gross_USD!E16*(1-0.065)</f>
        <v>1168.75</v>
      </c>
      <c r="DD18" s="53" t="n">
        <f aca="false">DC18/0.74</f>
        <v>1579.39189189189</v>
      </c>
      <c r="DE18" s="54" t="n">
        <f aca="false">DD18*0.338+500</f>
        <v>1033.83445945946</v>
      </c>
      <c r="DF18" s="55" t="n">
        <f aca="false">DD18+DE18</f>
        <v>2613.22635135135</v>
      </c>
      <c r="DG18" s="54" t="n">
        <f aca="false">DF18-(2_Market_Gross_USD!E16+35)</f>
        <v>1328.22635135135</v>
      </c>
      <c r="DH18" s="64" t="n">
        <f aca="false">IFERROR(DF18/(2_Market_Gross_USD!E16+35),0)</f>
        <v>2.03363918393101</v>
      </c>
      <c r="DI18" s="63" t="n">
        <f aca="false">2_Market_Gross_USD!E16*(1-0.065)</f>
        <v>1168.75</v>
      </c>
      <c r="DJ18" s="53" t="n">
        <f aca="false">DI18/0.66</f>
        <v>1770.83333333333</v>
      </c>
      <c r="DK18" s="54" t="n">
        <f aca="false">DJ18*0.2375+0</f>
        <v>420.572916666667</v>
      </c>
      <c r="DL18" s="55" t="n">
        <f aca="false">DJ18+DK18</f>
        <v>2191.40625</v>
      </c>
      <c r="DM18" s="54" t="n">
        <f aca="false">DL18-(2_Market_Gross_USD!E16+35)</f>
        <v>906.40625</v>
      </c>
      <c r="DN18" s="64" t="n">
        <f aca="false">IFERROR(DL18/(2_Market_Gross_USD!E16+35),0)</f>
        <v>1.70537451361868</v>
      </c>
      <c r="DO18" s="63" t="n">
        <f aca="false">2_Market_Gross_USD!E16*(1-0.065)</f>
        <v>1168.75</v>
      </c>
      <c r="DP18" s="53" t="n">
        <f aca="false">DO18/0.8</f>
        <v>1460.9375</v>
      </c>
      <c r="DQ18" s="54" t="n">
        <f aca="false">DP18*0+0</f>
        <v>0</v>
      </c>
      <c r="DR18" s="55" t="n">
        <f aca="false">DP18+DQ18</f>
        <v>1460.9375</v>
      </c>
      <c r="DS18" s="54" t="n">
        <f aca="false">DR18-(2_Market_Gross_USD!E16+35)</f>
        <v>175.9375</v>
      </c>
      <c r="DT18" s="64" t="n">
        <f aca="false">IFERROR(DR18/(2_Market_Gross_USD!E16+35),0)</f>
        <v>1.13691634241245</v>
      </c>
      <c r="DU18" s="63" t="n">
        <f aca="false">2_Market_Gross_USD!E16*(1-0.065)</f>
        <v>1168.75</v>
      </c>
      <c r="DV18" s="53" t="n">
        <f aca="false">DU18/0.66</f>
        <v>1770.83333333333</v>
      </c>
      <c r="DW18" s="54" t="n">
        <f aca="false">DV18*0.2375+500</f>
        <v>920.572916666667</v>
      </c>
      <c r="DX18" s="55" t="n">
        <f aca="false">DV18+DW18</f>
        <v>2691.40625</v>
      </c>
      <c r="DY18" s="54" t="n">
        <f aca="false">DX18-(2_Market_Gross_USD!E16+35)</f>
        <v>1406.40625</v>
      </c>
      <c r="DZ18" s="64" t="n">
        <f aca="false">IFERROR(DX18/(2_Market_Gross_USD!E16+35),0)</f>
        <v>2.09447957198444</v>
      </c>
      <c r="EA18" s="63" t="n">
        <f aca="false">2_Market_Gross_USD!E16*(1-0.065)</f>
        <v>1168.75</v>
      </c>
      <c r="EB18" s="53" t="n">
        <f aca="false">EA18/0.65</f>
        <v>1798.07692307692</v>
      </c>
      <c r="EC18" s="54" t="n">
        <f aca="false">EB18*0.0225+0</f>
        <v>40.4567307692308</v>
      </c>
      <c r="ED18" s="55" t="n">
        <f aca="false">EB18+EC18</f>
        <v>1838.53365384615</v>
      </c>
      <c r="EE18" s="54" t="n">
        <f aca="false">ED18-(2_Market_Gross_USD!E16+35)</f>
        <v>553.533653846154</v>
      </c>
      <c r="EF18" s="64" t="n">
        <f aca="false">IFERROR(ED18/(2_Market_Gross_USD!E16+35),0)</f>
        <v>1.43076548937444</v>
      </c>
      <c r="EG18" s="63" t="n">
        <f aca="false">2_Market_Gross_USD!E16*(1-0.065)</f>
        <v>1168.75</v>
      </c>
      <c r="EH18" s="53" t="n">
        <f aca="false">EG18/0.99</f>
        <v>1180.55555555556</v>
      </c>
      <c r="EI18" s="54" t="n">
        <f aca="false">EH18*0+0</f>
        <v>0</v>
      </c>
      <c r="EJ18" s="55" t="n">
        <f aca="false">EH18+EI18</f>
        <v>1180.55555555556</v>
      </c>
      <c r="EK18" s="54" t="n">
        <f aca="false">EJ18-(2_Market_Gross_USD!E16+35)</f>
        <v>-104.444444444444</v>
      </c>
      <c r="EL18" s="64" t="n">
        <f aca="false">IFERROR(EJ18/(2_Market_Gross_USD!E16+35),0)</f>
        <v>0.918720276696931</v>
      </c>
      <c r="EM18" s="63" t="n">
        <f aca="false">2_Market_Gross_USD!E16*(1-0.065)</f>
        <v>1168.75</v>
      </c>
      <c r="EN18" s="53" t="n">
        <f aca="false">EM18/0.65</f>
        <v>1798.07692307692</v>
      </c>
      <c r="EO18" s="54" t="n">
        <f aca="false">EN18*0.0225+500</f>
        <v>540.456730769231</v>
      </c>
      <c r="EP18" s="55" t="n">
        <f aca="false">EN18+EO18</f>
        <v>2338.53365384615</v>
      </c>
      <c r="EQ18" s="54" t="n">
        <f aca="false">EP18-(2_Market_Gross_USD!E16+35)</f>
        <v>1053.53365384615</v>
      </c>
      <c r="ER18" s="64" t="n">
        <f aca="false">IFERROR(EP18/(2_Market_Gross_USD!E16+35),0)</f>
        <v>1.8198705477402</v>
      </c>
    </row>
    <row r="19" customFormat="false" ht="15" hidden="false" customHeight="false" outlineLevel="0" collapsed="false">
      <c r="A19" s="41" t="n">
        <v>14</v>
      </c>
      <c r="B19" s="28" t="s">
        <v>253</v>
      </c>
      <c r="C19" s="8" t="s">
        <v>256</v>
      </c>
      <c r="D19" s="65" t="s">
        <v>249</v>
      </c>
      <c r="E19" s="63" t="n">
        <f aca="false">2_Market_Gross_USD!E17*(1-0.065)</f>
        <v>3038.75</v>
      </c>
      <c r="F19" s="53" t="n">
        <f aca="false">E19/0.7429</f>
        <v>4090.38901601831</v>
      </c>
      <c r="G19" s="58" t="n">
        <f aca="false">F19*0.2038+0</f>
        <v>833.621281464531</v>
      </c>
      <c r="H19" s="55" t="n">
        <f aca="false">F19+G19</f>
        <v>4924.01029748284</v>
      </c>
      <c r="I19" s="58" t="n">
        <f aca="false">H19-(2_Market_Gross_USD!E17+35)</f>
        <v>1639.01029748284</v>
      </c>
      <c r="J19" s="66" t="n">
        <f aca="false">IFERROR(H19/(2_Market_Gross_USD!E17+35),0)</f>
        <v>1.49893768568732</v>
      </c>
      <c r="K19" s="63" t="n">
        <f aca="false">2_Market_Gross_USD!E17*(1-0.065)</f>
        <v>3038.75</v>
      </c>
      <c r="L19" s="53" t="n">
        <f aca="false">K19/0.88</f>
        <v>3453.125</v>
      </c>
      <c r="M19" s="58" t="n">
        <f aca="false">L19*0+0</f>
        <v>0</v>
      </c>
      <c r="N19" s="55" t="n">
        <f aca="false">L19+M19</f>
        <v>3453.125</v>
      </c>
      <c r="O19" s="58" t="n">
        <f aca="false">N19-(2_Market_Gross_USD!E17+35)</f>
        <v>168.125</v>
      </c>
      <c r="P19" s="66" t="n">
        <f aca="false">IFERROR(N19/(2_Market_Gross_USD!E17+35),0)</f>
        <v>1.0511796042618</v>
      </c>
      <c r="Q19" s="63" t="n">
        <f aca="false">2_Market_Gross_USD!E17*(1-0.065)</f>
        <v>3038.75</v>
      </c>
      <c r="R19" s="53" t="n">
        <f aca="false">Q19/0.7429</f>
        <v>4090.38901601831</v>
      </c>
      <c r="S19" s="58" t="n">
        <f aca="false">R19*0.2038+500</f>
        <v>1333.62128146453</v>
      </c>
      <c r="T19" s="55" t="n">
        <f aca="false">R19+S19</f>
        <v>5424.01029748284</v>
      </c>
      <c r="U19" s="58" t="n">
        <f aca="false">T19-(2_Market_Gross_USD!E17+35)</f>
        <v>2139.01029748284</v>
      </c>
      <c r="V19" s="66" t="n">
        <f aca="false">IFERROR(T19/(2_Market_Gross_USD!E17+35),0)</f>
        <v>1.65114468720939</v>
      </c>
      <c r="W19" s="63" t="n">
        <f aca="false">2_Market_Gross_USD!E17*(1-0.065)</f>
        <v>3038.75</v>
      </c>
      <c r="X19" s="53" t="n">
        <f aca="false">W19/0.72</f>
        <v>4220.48611111111</v>
      </c>
      <c r="Y19" s="58" t="n">
        <f aca="false">X19*0.15+0</f>
        <v>633.072916666667</v>
      </c>
      <c r="Z19" s="55" t="n">
        <f aca="false">X19+Y19</f>
        <v>4853.55902777778</v>
      </c>
      <c r="AA19" s="58" t="n">
        <f aca="false">Z19-(2_Market_Gross_USD!E17+35)</f>
        <v>1568.55902777778</v>
      </c>
      <c r="AB19" s="66" t="n">
        <f aca="false">IFERROR(Z19/(2_Market_Gross_USD!E17+35),0)</f>
        <v>1.47749133265686</v>
      </c>
      <c r="AC19" s="63" t="n">
        <f aca="false">2_Market_Gross_USD!E17*(1-0.065)</f>
        <v>3038.75</v>
      </c>
      <c r="AD19" s="53" t="n">
        <f aca="false">AC19/0.81</f>
        <v>3751.54320987654</v>
      </c>
      <c r="AE19" s="58" t="n">
        <f aca="false">AD19*0+0</f>
        <v>0</v>
      </c>
      <c r="AF19" s="55" t="n">
        <f aca="false">AD19+AE19</f>
        <v>3751.54320987654</v>
      </c>
      <c r="AG19" s="58" t="n">
        <f aca="false">AF19-(2_Market_Gross_USD!E17+35)</f>
        <v>466.543209876543</v>
      </c>
      <c r="AH19" s="66" t="n">
        <f aca="false">IFERROR(AF19/(2_Market_Gross_USD!E17+35),0)</f>
        <v>1.14202228611158</v>
      </c>
      <c r="AI19" s="63" t="n">
        <f aca="false">2_Market_Gross_USD!E17*(1-0.065)</f>
        <v>3038.75</v>
      </c>
      <c r="AJ19" s="53" t="n">
        <f aca="false">AI19/0.72</f>
        <v>4220.48611111111</v>
      </c>
      <c r="AK19" s="58" t="n">
        <f aca="false">AJ19*0.15+500</f>
        <v>1133.07291666667</v>
      </c>
      <c r="AL19" s="55" t="n">
        <f aca="false">AJ19+AK19</f>
        <v>5353.55902777778</v>
      </c>
      <c r="AM19" s="58" t="n">
        <f aca="false">AL19-(2_Market_Gross_USD!E17+35)</f>
        <v>2068.55902777778</v>
      </c>
      <c r="AN19" s="66" t="n">
        <f aca="false">IFERROR(AL19/(2_Market_Gross_USD!E17+35),0)</f>
        <v>1.62969833417893</v>
      </c>
      <c r="AO19" s="63" t="n">
        <f aca="false">2_Market_Gross_USD!E17*(1-0.065)</f>
        <v>3038.75</v>
      </c>
      <c r="AP19" s="53" t="n">
        <f aca="false">AO19/0.7035</f>
        <v>4319.47405828003</v>
      </c>
      <c r="AQ19" s="58" t="n">
        <f aca="false">AP19*0.11+0</f>
        <v>475.142146410803</v>
      </c>
      <c r="AR19" s="55" t="n">
        <f aca="false">AP19+AQ19</f>
        <v>4794.61620469083</v>
      </c>
      <c r="AS19" s="58" t="n">
        <f aca="false">AR19-(2_Market_Gross_USD!E17+35)</f>
        <v>1509.61620469083</v>
      </c>
      <c r="AT19" s="66" t="n">
        <f aca="false">IFERROR(AR19/(2_Market_Gross_USD!E17+35),0)</f>
        <v>1.45954831193024</v>
      </c>
      <c r="AU19" s="63" t="n">
        <f aca="false">2_Market_Gross_USD!E17*(1-0.065)</f>
        <v>3038.75</v>
      </c>
      <c r="AV19" s="53" t="n">
        <f aca="false">AU19/0.627</f>
        <v>4846.49122807018</v>
      </c>
      <c r="AW19" s="58" t="n">
        <f aca="false">AV19*0+0</f>
        <v>0</v>
      </c>
      <c r="AX19" s="55" t="n">
        <f aca="false">AV19+AW19</f>
        <v>4846.49122807018</v>
      </c>
      <c r="AY19" s="58" t="n">
        <f aca="false">AX19-(2_Market_Gross_USD!E17+35)</f>
        <v>1561.49122807018</v>
      </c>
      <c r="AZ19" s="66" t="n">
        <f aca="false">IFERROR(AX19/(2_Market_Gross_USD!E17+35),0)</f>
        <v>1.47533979545515</v>
      </c>
      <c r="BA19" s="63" t="n">
        <f aca="false">2_Market_Gross_USD!E17*(1-0.065)</f>
        <v>3038.75</v>
      </c>
      <c r="BB19" s="53" t="n">
        <f aca="false">BA19/0.7035</f>
        <v>4319.47405828003</v>
      </c>
      <c r="BC19" s="58" t="n">
        <f aca="false">BB19*0.11+500</f>
        <v>975.142146410803</v>
      </c>
      <c r="BD19" s="55" t="n">
        <f aca="false">BB19+BC19</f>
        <v>5294.61620469083</v>
      </c>
      <c r="BE19" s="58" t="n">
        <f aca="false">BD19-(2_Market_Gross_USD!E17+35)</f>
        <v>2009.61620469083</v>
      </c>
      <c r="BF19" s="66" t="n">
        <f aca="false">IFERROR(BD19/(2_Market_Gross_USD!E17+35),0)</f>
        <v>1.61175531345231</v>
      </c>
      <c r="BG19" s="63" t="n">
        <f aca="false">2_Market_Gross_USD!E17*(1-0.065)</f>
        <v>3038.75</v>
      </c>
      <c r="BH19" s="53" t="n">
        <f aca="false">BG19/0.5215</f>
        <v>5826.94151486098</v>
      </c>
      <c r="BI19" s="58" t="n">
        <f aca="false">BH19*0.21+0</f>
        <v>1223.65771812081</v>
      </c>
      <c r="BJ19" s="55" t="n">
        <f aca="false">BH19+BI19</f>
        <v>7050.59923298178</v>
      </c>
      <c r="BK19" s="58" t="n">
        <f aca="false">BJ19-(2_Market_Gross_USD!E17+35)</f>
        <v>3765.59923298178</v>
      </c>
      <c r="BL19" s="66" t="n">
        <f aca="false">IFERROR(BJ19/(2_Market_Gross_USD!E17+35),0)</f>
        <v>2.14630113637193</v>
      </c>
      <c r="BM19" s="63" t="n">
        <f aca="false">2_Market_Gross_USD!E17*(1-0.065)</f>
        <v>3038.75</v>
      </c>
      <c r="BN19" s="53" t="n">
        <f aca="false">BM19/0.75</f>
        <v>4051.66666666667</v>
      </c>
      <c r="BO19" s="58" t="n">
        <f aca="false">BN19*0+0</f>
        <v>0</v>
      </c>
      <c r="BP19" s="55" t="n">
        <f aca="false">BN19+BO19</f>
        <v>4051.66666666667</v>
      </c>
      <c r="BQ19" s="58" t="n">
        <f aca="false">BP19-(2_Market_Gross_USD!E17+35)</f>
        <v>766.666666666667</v>
      </c>
      <c r="BR19" s="66" t="n">
        <f aca="false">IFERROR(BP19/(2_Market_Gross_USD!E17+35),0)</f>
        <v>1.23338406900051</v>
      </c>
      <c r="BS19" s="63" t="n">
        <f aca="false">2_Market_Gross_USD!E17*(1-0.065)</f>
        <v>3038.75</v>
      </c>
      <c r="BT19" s="53" t="n">
        <f aca="false">BS19/0.5215</f>
        <v>5826.94151486098</v>
      </c>
      <c r="BU19" s="58" t="n">
        <f aca="false">BT19*0.21+500</f>
        <v>1723.65771812081</v>
      </c>
      <c r="BV19" s="55" t="n">
        <f aca="false">BT19+BU19</f>
        <v>7550.59923298178</v>
      </c>
      <c r="BW19" s="58" t="n">
        <f aca="false">BV19-(2_Market_Gross_USD!E17+35)</f>
        <v>4265.59923298178</v>
      </c>
      <c r="BX19" s="66" t="n">
        <f aca="false">IFERROR(BV19/(2_Market_Gross_USD!E17+35),0)</f>
        <v>2.298508137894</v>
      </c>
      <c r="BY19" s="63" t="n">
        <f aca="false">2_Market_Gross_USD!E17*(1-0.065)</f>
        <v>3038.75</v>
      </c>
      <c r="BZ19" s="53" t="n">
        <f aca="false">BY19/0.6303</f>
        <v>4821.11692844677</v>
      </c>
      <c r="CA19" s="58" t="n">
        <f aca="false">BZ19*0.2+0</f>
        <v>964.223385689354</v>
      </c>
      <c r="CB19" s="55" t="n">
        <f aca="false">BZ19+CA19</f>
        <v>5785.34031413613</v>
      </c>
      <c r="CC19" s="58" t="n">
        <f aca="false">CB19-(2_Market_Gross_USD!E17+35)</f>
        <v>2500.34031413613</v>
      </c>
      <c r="CD19" s="66" t="n">
        <f aca="false">IFERROR(CB19/(2_Market_Gross_USD!E17+35),0)</f>
        <v>1.76113860399882</v>
      </c>
      <c r="CE19" s="63" t="n">
        <f aca="false">2_Market_Gross_USD!E17*(1-0.065)</f>
        <v>3038.75</v>
      </c>
      <c r="CF19" s="53" t="n">
        <f aca="false">CE19/0.6303</f>
        <v>4821.11692844677</v>
      </c>
      <c r="CG19" s="58" t="n">
        <f aca="false">CF19*0+0</f>
        <v>0</v>
      </c>
      <c r="CH19" s="55" t="n">
        <f aca="false">CF19+CG19</f>
        <v>4821.11692844677</v>
      </c>
      <c r="CI19" s="58" t="n">
        <f aca="false">CH19-(2_Market_Gross_USD!E17+35)</f>
        <v>1536.11692844677</v>
      </c>
      <c r="CJ19" s="66" t="n">
        <f aca="false">IFERROR(CH19/(2_Market_Gross_USD!E17+35),0)</f>
        <v>1.46761550333235</v>
      </c>
      <c r="CK19" s="63" t="n">
        <f aca="false">2_Market_Gross_USD!E17*(1-0.065)</f>
        <v>3038.75</v>
      </c>
      <c r="CL19" s="53" t="n">
        <f aca="false">CK19/0.6303</f>
        <v>4821.11692844677</v>
      </c>
      <c r="CM19" s="58" t="n">
        <f aca="false">CL19*0.2+500</f>
        <v>1464.22338568935</v>
      </c>
      <c r="CN19" s="55" t="n">
        <f aca="false">CL19+CM19</f>
        <v>6285.34031413613</v>
      </c>
      <c r="CO19" s="58" t="n">
        <f aca="false">CN19-(2_Market_Gross_USD!E17+35)</f>
        <v>3000.34031413613</v>
      </c>
      <c r="CP19" s="66" t="n">
        <f aca="false">IFERROR(CN19/(2_Market_Gross_USD!E17+35),0)</f>
        <v>1.91334560552089</v>
      </c>
      <c r="CQ19" s="63" t="n">
        <f aca="false">2_Market_Gross_USD!E17*(1-0.065)</f>
        <v>3038.75</v>
      </c>
      <c r="CR19" s="53" t="n">
        <f aca="false">CQ19/0.74</f>
        <v>4106.41891891892</v>
      </c>
      <c r="CS19" s="58" t="n">
        <f aca="false">CR19*0.338+0</f>
        <v>1387.96959459459</v>
      </c>
      <c r="CT19" s="55" t="n">
        <f aca="false">CR19+CS19</f>
        <v>5494.38851351351</v>
      </c>
      <c r="CU19" s="58" t="n">
        <f aca="false">CT19-(2_Market_Gross_USD!E17+35)</f>
        <v>2209.38851351351</v>
      </c>
      <c r="CV19" s="66" t="n">
        <f aca="false">IFERROR(CT19/(2_Market_Gross_USD!E17+35),0)</f>
        <v>1.67256880167839</v>
      </c>
      <c r="CW19" s="63" t="n">
        <f aca="false">2_Market_Gross_USD!E17*(1-0.065)</f>
        <v>3038.75</v>
      </c>
      <c r="CX19" s="53" t="n">
        <f aca="false">CW19/0.85</f>
        <v>3575</v>
      </c>
      <c r="CY19" s="58" t="n">
        <f aca="false">CX19*0+0</f>
        <v>0</v>
      </c>
      <c r="CZ19" s="55" t="n">
        <f aca="false">CX19+CY19</f>
        <v>3575</v>
      </c>
      <c r="DA19" s="58" t="n">
        <f aca="false">CZ19-(2_Market_Gross_USD!E17+35)</f>
        <v>290</v>
      </c>
      <c r="DB19" s="66" t="n">
        <f aca="false">IFERROR(CZ19/(2_Market_Gross_USD!E17+35),0)</f>
        <v>1.0882800608828</v>
      </c>
      <c r="DC19" s="63" t="n">
        <f aca="false">2_Market_Gross_USD!E17*(1-0.065)</f>
        <v>3038.75</v>
      </c>
      <c r="DD19" s="53" t="n">
        <f aca="false">DC19/0.74</f>
        <v>4106.41891891892</v>
      </c>
      <c r="DE19" s="58" t="n">
        <f aca="false">DD19*0.338+500</f>
        <v>1887.96959459459</v>
      </c>
      <c r="DF19" s="55" t="n">
        <f aca="false">DD19+DE19</f>
        <v>5994.38851351351</v>
      </c>
      <c r="DG19" s="58" t="n">
        <f aca="false">DF19-(2_Market_Gross_USD!E17+35)</f>
        <v>2709.38851351351</v>
      </c>
      <c r="DH19" s="66" t="n">
        <f aca="false">IFERROR(DF19/(2_Market_Gross_USD!E17+35),0)</f>
        <v>1.82477580320046</v>
      </c>
      <c r="DI19" s="63" t="n">
        <f aca="false">2_Market_Gross_USD!E17*(1-0.065)</f>
        <v>3038.75</v>
      </c>
      <c r="DJ19" s="53" t="n">
        <f aca="false">DI19/0.66</f>
        <v>4604.16666666667</v>
      </c>
      <c r="DK19" s="58" t="n">
        <f aca="false">DJ19*0.2375+0</f>
        <v>1093.48958333333</v>
      </c>
      <c r="DL19" s="55" t="n">
        <f aca="false">DJ19+DK19</f>
        <v>5697.65625</v>
      </c>
      <c r="DM19" s="58" t="n">
        <f aca="false">DL19-(2_Market_Gross_USD!E17+35)</f>
        <v>2412.65625</v>
      </c>
      <c r="DN19" s="66" t="n">
        <f aca="false">IFERROR(DL19/(2_Market_Gross_USD!E17+35),0)</f>
        <v>1.73444634703196</v>
      </c>
      <c r="DO19" s="63" t="n">
        <f aca="false">2_Market_Gross_USD!E17*(1-0.065)</f>
        <v>3038.75</v>
      </c>
      <c r="DP19" s="53" t="n">
        <f aca="false">DO19/0.8</f>
        <v>3798.4375</v>
      </c>
      <c r="DQ19" s="58" t="n">
        <f aca="false">DP19*0+0</f>
        <v>0</v>
      </c>
      <c r="DR19" s="55" t="n">
        <f aca="false">DP19+DQ19</f>
        <v>3798.4375</v>
      </c>
      <c r="DS19" s="58" t="n">
        <f aca="false">DR19-(2_Market_Gross_USD!E17+35)</f>
        <v>513.4375</v>
      </c>
      <c r="DT19" s="66" t="n">
        <f aca="false">IFERROR(DR19/(2_Market_Gross_USD!E17+35),0)</f>
        <v>1.15629756468798</v>
      </c>
      <c r="DU19" s="63" t="n">
        <f aca="false">2_Market_Gross_USD!E17*(1-0.065)</f>
        <v>3038.75</v>
      </c>
      <c r="DV19" s="53" t="n">
        <f aca="false">DU19/0.66</f>
        <v>4604.16666666667</v>
      </c>
      <c r="DW19" s="58" t="n">
        <f aca="false">DV19*0.2375+500</f>
        <v>1593.48958333333</v>
      </c>
      <c r="DX19" s="55" t="n">
        <f aca="false">DV19+DW19</f>
        <v>6197.65625</v>
      </c>
      <c r="DY19" s="58" t="n">
        <f aca="false">DX19-(2_Market_Gross_USD!E17+35)</f>
        <v>2912.65625</v>
      </c>
      <c r="DZ19" s="66" t="n">
        <f aca="false">IFERROR(DX19/(2_Market_Gross_USD!E17+35),0)</f>
        <v>1.88665334855403</v>
      </c>
      <c r="EA19" s="63" t="n">
        <f aca="false">2_Market_Gross_USD!E17*(1-0.065)</f>
        <v>3038.75</v>
      </c>
      <c r="EB19" s="53" t="n">
        <f aca="false">EA19/0.65</f>
        <v>4675</v>
      </c>
      <c r="EC19" s="58" t="n">
        <f aca="false">EB19*0.0225+0</f>
        <v>105.1875</v>
      </c>
      <c r="ED19" s="55" t="n">
        <f aca="false">EB19+EC19</f>
        <v>4780.1875</v>
      </c>
      <c r="EE19" s="58" t="n">
        <f aca="false">ED19-(2_Market_Gross_USD!E17+35)</f>
        <v>1495.1875</v>
      </c>
      <c r="EF19" s="66" t="n">
        <f aca="false">IFERROR(ED19/(2_Market_Gross_USD!E17+35),0)</f>
        <v>1.45515601217656</v>
      </c>
      <c r="EG19" s="63" t="n">
        <f aca="false">2_Market_Gross_USD!E17*(1-0.065)</f>
        <v>3038.75</v>
      </c>
      <c r="EH19" s="53" t="n">
        <f aca="false">EG19/0.99</f>
        <v>3069.44444444444</v>
      </c>
      <c r="EI19" s="58" t="n">
        <f aca="false">EH19*0+0</f>
        <v>0</v>
      </c>
      <c r="EJ19" s="55" t="n">
        <f aca="false">EH19+EI19</f>
        <v>3069.44444444444</v>
      </c>
      <c r="EK19" s="58" t="n">
        <f aca="false">EJ19-(2_Market_Gross_USD!E17+35)</f>
        <v>-215.555555555556</v>
      </c>
      <c r="EL19" s="66" t="n">
        <f aca="false">IFERROR(EJ19/(2_Market_Gross_USD!E17+35),0)</f>
        <v>0.93438187045493</v>
      </c>
      <c r="EM19" s="63" t="n">
        <f aca="false">2_Market_Gross_USD!E17*(1-0.065)</f>
        <v>3038.75</v>
      </c>
      <c r="EN19" s="53" t="n">
        <f aca="false">EM19/0.65</f>
        <v>4675</v>
      </c>
      <c r="EO19" s="58" t="n">
        <f aca="false">EN19*0.0225+500</f>
        <v>605.1875</v>
      </c>
      <c r="EP19" s="55" t="n">
        <f aca="false">EN19+EO19</f>
        <v>5280.1875</v>
      </c>
      <c r="EQ19" s="58" t="n">
        <f aca="false">EP19-(2_Market_Gross_USD!E17+35)</f>
        <v>1995.1875</v>
      </c>
      <c r="ER19" s="66" t="n">
        <f aca="false">IFERROR(EP19/(2_Market_Gross_USD!E17+35),0)</f>
        <v>1.60736301369863</v>
      </c>
    </row>
    <row r="20" customFormat="false" ht="15" hidden="false" customHeight="false" outlineLevel="0" collapsed="false">
      <c r="A20" s="37" t="n">
        <v>15</v>
      </c>
      <c r="B20" s="32" t="s">
        <v>253</v>
      </c>
      <c r="C20" s="32" t="s">
        <v>257</v>
      </c>
      <c r="D20" s="62" t="s">
        <v>248</v>
      </c>
      <c r="E20" s="63" t="n">
        <f aca="false">2_Market_Gross_USD!E18*(1-0.065)</f>
        <v>1355.75</v>
      </c>
      <c r="F20" s="53" t="n">
        <f aca="false">E20/0.7429</f>
        <v>1824.94279176201</v>
      </c>
      <c r="G20" s="54" t="n">
        <f aca="false">F20*0.2038+0</f>
        <v>371.923340961098</v>
      </c>
      <c r="H20" s="55" t="n">
        <f aca="false">F20+G20</f>
        <v>2196.86613272311</v>
      </c>
      <c r="I20" s="54" t="n">
        <f aca="false">H20-(2_Market_Gross_USD!E18+35)</f>
        <v>711.866132723112</v>
      </c>
      <c r="J20" s="64" t="n">
        <f aca="false">IFERROR(H20/(2_Market_Gross_USD!E18+35),0)</f>
        <v>1.47937113314688</v>
      </c>
      <c r="K20" s="63" t="n">
        <f aca="false">2_Market_Gross_USD!E18*(1-0.065)</f>
        <v>1355.75</v>
      </c>
      <c r="L20" s="53" t="n">
        <f aca="false">K20/0.88</f>
        <v>1540.625</v>
      </c>
      <c r="M20" s="54" t="n">
        <f aca="false">L20*0+0</f>
        <v>0</v>
      </c>
      <c r="N20" s="55" t="n">
        <f aca="false">L20+M20</f>
        <v>1540.625</v>
      </c>
      <c r="O20" s="54" t="n">
        <f aca="false">N20-(2_Market_Gross_USD!E18+35)</f>
        <v>55.625</v>
      </c>
      <c r="P20" s="64" t="n">
        <f aca="false">IFERROR(N20/(2_Market_Gross_USD!E18+35),0)</f>
        <v>1.03745791245791</v>
      </c>
      <c r="Q20" s="63" t="n">
        <f aca="false">2_Market_Gross_USD!E18*(1-0.065)</f>
        <v>1355.75</v>
      </c>
      <c r="R20" s="53" t="n">
        <f aca="false">Q20/0.7429</f>
        <v>1824.94279176201</v>
      </c>
      <c r="S20" s="54" t="n">
        <f aca="false">R20*0.2038+500</f>
        <v>871.923340961098</v>
      </c>
      <c r="T20" s="55" t="n">
        <f aca="false">R20+S20</f>
        <v>2696.86613272311</v>
      </c>
      <c r="U20" s="54" t="n">
        <f aca="false">T20-(2_Market_Gross_USD!E18+35)</f>
        <v>1211.86613272311</v>
      </c>
      <c r="V20" s="64" t="n">
        <f aca="false">IFERROR(T20/(2_Market_Gross_USD!E18+35),0)</f>
        <v>1.81607146984721</v>
      </c>
      <c r="W20" s="63" t="n">
        <f aca="false">2_Market_Gross_USD!E18*(1-0.065)</f>
        <v>1355.75</v>
      </c>
      <c r="X20" s="53" t="n">
        <f aca="false">W20/0.72</f>
        <v>1882.98611111111</v>
      </c>
      <c r="Y20" s="54" t="n">
        <f aca="false">X20*0.15+0</f>
        <v>282.447916666667</v>
      </c>
      <c r="Z20" s="55" t="n">
        <f aca="false">X20+Y20</f>
        <v>2165.43402777778</v>
      </c>
      <c r="AA20" s="54" t="n">
        <f aca="false">Z20-(2_Market_Gross_USD!E18+35)</f>
        <v>680.434027777778</v>
      </c>
      <c r="AB20" s="64" t="n">
        <f aca="false">IFERROR(Z20/(2_Market_Gross_USD!E18+35),0)</f>
        <v>1.45820473251029</v>
      </c>
      <c r="AC20" s="63" t="n">
        <f aca="false">2_Market_Gross_USD!E18*(1-0.065)</f>
        <v>1355.75</v>
      </c>
      <c r="AD20" s="53" t="n">
        <f aca="false">AC20/0.81</f>
        <v>1673.76543209877</v>
      </c>
      <c r="AE20" s="54" t="n">
        <f aca="false">AD20*0+0</f>
        <v>0</v>
      </c>
      <c r="AF20" s="55" t="n">
        <f aca="false">AD20+AE20</f>
        <v>1673.76543209877</v>
      </c>
      <c r="AG20" s="54" t="n">
        <f aca="false">AF20-(2_Market_Gross_USD!E18+35)</f>
        <v>188.765432098765</v>
      </c>
      <c r="AH20" s="64" t="n">
        <f aca="false">IFERROR(AF20/(2_Market_Gross_USD!E18+35),0)</f>
        <v>1.12711476909008</v>
      </c>
      <c r="AI20" s="63" t="n">
        <f aca="false">2_Market_Gross_USD!E18*(1-0.065)</f>
        <v>1355.75</v>
      </c>
      <c r="AJ20" s="53" t="n">
        <f aca="false">AI20/0.72</f>
        <v>1882.98611111111</v>
      </c>
      <c r="AK20" s="54" t="n">
        <f aca="false">AJ20*0.15+500</f>
        <v>782.447916666667</v>
      </c>
      <c r="AL20" s="55" t="n">
        <f aca="false">AJ20+AK20</f>
        <v>2665.43402777778</v>
      </c>
      <c r="AM20" s="54" t="n">
        <f aca="false">AL20-(2_Market_Gross_USD!E18+35)</f>
        <v>1180.43402777778</v>
      </c>
      <c r="AN20" s="64" t="n">
        <f aca="false">IFERROR(AL20/(2_Market_Gross_USD!E18+35),0)</f>
        <v>1.79490506921062</v>
      </c>
      <c r="AO20" s="63" t="n">
        <f aca="false">2_Market_Gross_USD!E18*(1-0.065)</f>
        <v>1355.75</v>
      </c>
      <c r="AP20" s="53" t="n">
        <f aca="false">AO20/0.7035</f>
        <v>1927.1499644634</v>
      </c>
      <c r="AQ20" s="54" t="n">
        <f aca="false">AP20*0.11+0</f>
        <v>211.986496090974</v>
      </c>
      <c r="AR20" s="55" t="n">
        <f aca="false">AP20+AQ20</f>
        <v>2139.13646055437</v>
      </c>
      <c r="AS20" s="54" t="n">
        <f aca="false">AR20-(2_Market_Gross_USD!E18+35)</f>
        <v>654.136460554371</v>
      </c>
      <c r="AT20" s="64" t="n">
        <f aca="false">IFERROR(AR20/(2_Market_Gross_USD!E18+35),0)</f>
        <v>1.44049593303325</v>
      </c>
      <c r="AU20" s="63" t="n">
        <f aca="false">2_Market_Gross_USD!E18*(1-0.065)</f>
        <v>1355.75</v>
      </c>
      <c r="AV20" s="53" t="n">
        <f aca="false">AU20/0.627</f>
        <v>2162.28070175439</v>
      </c>
      <c r="AW20" s="54" t="n">
        <f aca="false">AV20*0+0</f>
        <v>0</v>
      </c>
      <c r="AX20" s="55" t="n">
        <f aca="false">AV20+AW20</f>
        <v>2162.28070175439</v>
      </c>
      <c r="AY20" s="54" t="n">
        <f aca="false">AX20-(2_Market_Gross_USD!E18+35)</f>
        <v>677.280701754386</v>
      </c>
      <c r="AZ20" s="64" t="n">
        <f aca="false">IFERROR(AX20/(2_Market_Gross_USD!E18+35),0)</f>
        <v>1.45608128064268</v>
      </c>
      <c r="BA20" s="63" t="n">
        <f aca="false">2_Market_Gross_USD!E18*(1-0.065)</f>
        <v>1355.75</v>
      </c>
      <c r="BB20" s="53" t="n">
        <f aca="false">BA20/0.7035</f>
        <v>1927.1499644634</v>
      </c>
      <c r="BC20" s="54" t="n">
        <f aca="false">BB20*0.11+500</f>
        <v>711.986496090974</v>
      </c>
      <c r="BD20" s="55" t="n">
        <f aca="false">BB20+BC20</f>
        <v>2639.13646055437</v>
      </c>
      <c r="BE20" s="54" t="n">
        <f aca="false">BD20-(2_Market_Gross_USD!E18+35)</f>
        <v>1154.13646055437</v>
      </c>
      <c r="BF20" s="64" t="n">
        <f aca="false">IFERROR(BD20/(2_Market_Gross_USD!E18+35),0)</f>
        <v>1.77719626973358</v>
      </c>
      <c r="BG20" s="63" t="n">
        <f aca="false">2_Market_Gross_USD!E18*(1-0.065)</f>
        <v>1355.75</v>
      </c>
      <c r="BH20" s="53" t="n">
        <f aca="false">BG20/0.5215</f>
        <v>2599.71236816874</v>
      </c>
      <c r="BI20" s="54" t="n">
        <f aca="false">BH20*0.21+0</f>
        <v>545.939597315436</v>
      </c>
      <c r="BJ20" s="55" t="n">
        <f aca="false">BH20+BI20</f>
        <v>3145.65196548418</v>
      </c>
      <c r="BK20" s="54" t="n">
        <f aca="false">BJ20-(2_Market_Gross_USD!E18+35)</f>
        <v>1660.65196548418</v>
      </c>
      <c r="BL20" s="64" t="n">
        <f aca="false">IFERROR(BJ20/(2_Market_Gross_USD!E18+35),0)</f>
        <v>2.1182841518412</v>
      </c>
      <c r="BM20" s="63" t="n">
        <f aca="false">2_Market_Gross_USD!E18*(1-0.065)</f>
        <v>1355.75</v>
      </c>
      <c r="BN20" s="53" t="n">
        <f aca="false">BM20/0.75</f>
        <v>1807.66666666667</v>
      </c>
      <c r="BO20" s="54" t="n">
        <f aca="false">BN20*0+0</f>
        <v>0</v>
      </c>
      <c r="BP20" s="55" t="n">
        <f aca="false">BN20+BO20</f>
        <v>1807.66666666667</v>
      </c>
      <c r="BQ20" s="54" t="n">
        <f aca="false">BP20-(2_Market_Gross_USD!E18+35)</f>
        <v>322.666666666667</v>
      </c>
      <c r="BR20" s="64" t="n">
        <f aca="false">IFERROR(BP20/(2_Market_Gross_USD!E18+35),0)</f>
        <v>1.21728395061728</v>
      </c>
      <c r="BS20" s="63" t="n">
        <f aca="false">2_Market_Gross_USD!E18*(1-0.065)</f>
        <v>1355.75</v>
      </c>
      <c r="BT20" s="53" t="n">
        <f aca="false">BS20/0.5215</f>
        <v>2599.71236816874</v>
      </c>
      <c r="BU20" s="54" t="n">
        <f aca="false">BT20*0.21+500</f>
        <v>1045.93959731544</v>
      </c>
      <c r="BV20" s="55" t="n">
        <f aca="false">BT20+BU20</f>
        <v>3645.65196548418</v>
      </c>
      <c r="BW20" s="54" t="n">
        <f aca="false">BV20-(2_Market_Gross_USD!E18+35)</f>
        <v>2160.65196548418</v>
      </c>
      <c r="BX20" s="64" t="n">
        <f aca="false">IFERROR(BV20/(2_Market_Gross_USD!E18+35),0)</f>
        <v>2.45498448854154</v>
      </c>
      <c r="BY20" s="63" t="n">
        <f aca="false">2_Market_Gross_USD!E18*(1-0.065)</f>
        <v>1355.75</v>
      </c>
      <c r="BZ20" s="53" t="n">
        <f aca="false">BY20/0.6303</f>
        <v>2150.95986038394</v>
      </c>
      <c r="CA20" s="54" t="n">
        <f aca="false">BZ20*0.2+0</f>
        <v>430.191972076789</v>
      </c>
      <c r="CB20" s="55" t="n">
        <f aca="false">BZ20+CA20</f>
        <v>2581.15183246073</v>
      </c>
      <c r="CC20" s="54" t="n">
        <f aca="false">CB20-(2_Market_Gross_USD!E18+35)</f>
        <v>1096.15183246073</v>
      </c>
      <c r="CD20" s="64" t="n">
        <f aca="false">IFERROR(CB20/(2_Market_Gross_USD!E18+35),0)</f>
        <v>1.73814938212844</v>
      </c>
      <c r="CE20" s="63" t="n">
        <f aca="false">2_Market_Gross_USD!E18*(1-0.065)</f>
        <v>1355.75</v>
      </c>
      <c r="CF20" s="53" t="n">
        <f aca="false">CE20/0.6303</f>
        <v>2150.95986038394</v>
      </c>
      <c r="CG20" s="54" t="n">
        <f aca="false">CF20*0+0</f>
        <v>0</v>
      </c>
      <c r="CH20" s="55" t="n">
        <f aca="false">CF20+CG20</f>
        <v>2150.95986038394</v>
      </c>
      <c r="CI20" s="54" t="n">
        <f aca="false">CH20-(2_Market_Gross_USD!E18+35)</f>
        <v>665.959860383944</v>
      </c>
      <c r="CJ20" s="64" t="n">
        <f aca="false">IFERROR(CH20/(2_Market_Gross_USD!E18+35),0)</f>
        <v>1.44845781844037</v>
      </c>
      <c r="CK20" s="63" t="n">
        <f aca="false">2_Market_Gross_USD!E18*(1-0.065)</f>
        <v>1355.75</v>
      </c>
      <c r="CL20" s="53" t="n">
        <f aca="false">CK20/0.6303</f>
        <v>2150.95986038394</v>
      </c>
      <c r="CM20" s="54" t="n">
        <f aca="false">CL20*0.2+500</f>
        <v>930.191972076789</v>
      </c>
      <c r="CN20" s="55" t="n">
        <f aca="false">CL20+CM20</f>
        <v>3081.15183246073</v>
      </c>
      <c r="CO20" s="54" t="n">
        <f aca="false">CN20-(2_Market_Gross_USD!E18+35)</f>
        <v>1596.15183246073</v>
      </c>
      <c r="CP20" s="64" t="n">
        <f aca="false">IFERROR(CN20/(2_Market_Gross_USD!E18+35),0)</f>
        <v>2.07484971882878</v>
      </c>
      <c r="CQ20" s="63" t="n">
        <f aca="false">2_Market_Gross_USD!E18*(1-0.065)</f>
        <v>1355.75</v>
      </c>
      <c r="CR20" s="53" t="n">
        <f aca="false">CQ20/0.74</f>
        <v>1832.09459459459</v>
      </c>
      <c r="CS20" s="54" t="n">
        <f aca="false">CR20*0.338+0</f>
        <v>619.247972972973</v>
      </c>
      <c r="CT20" s="55" t="n">
        <f aca="false">CR20+CS20</f>
        <v>2451.34256756757</v>
      </c>
      <c r="CU20" s="54" t="n">
        <f aca="false">CT20-(2_Market_Gross_USD!E18+35)</f>
        <v>966.342567567568</v>
      </c>
      <c r="CV20" s="64" t="n">
        <f aca="false">IFERROR(CT20/(2_Market_Gross_USD!E18+35),0)</f>
        <v>1.65073573573574</v>
      </c>
      <c r="CW20" s="63" t="n">
        <f aca="false">2_Market_Gross_USD!E18*(1-0.065)</f>
        <v>1355.75</v>
      </c>
      <c r="CX20" s="53" t="n">
        <f aca="false">CW20/0.85</f>
        <v>1595</v>
      </c>
      <c r="CY20" s="54" t="n">
        <f aca="false">CX20*0+0</f>
        <v>0</v>
      </c>
      <c r="CZ20" s="55" t="n">
        <f aca="false">CX20+CY20</f>
        <v>1595</v>
      </c>
      <c r="DA20" s="54" t="n">
        <f aca="false">CZ20-(2_Market_Gross_USD!E18+35)</f>
        <v>110</v>
      </c>
      <c r="DB20" s="64" t="n">
        <f aca="false">IFERROR(CZ20/(2_Market_Gross_USD!E18+35),0)</f>
        <v>1.07407407407407</v>
      </c>
      <c r="DC20" s="63" t="n">
        <f aca="false">2_Market_Gross_USD!E18*(1-0.065)</f>
        <v>1355.75</v>
      </c>
      <c r="DD20" s="53" t="n">
        <f aca="false">DC20/0.74</f>
        <v>1832.09459459459</v>
      </c>
      <c r="DE20" s="54" t="n">
        <f aca="false">DD20*0.338+500</f>
        <v>1119.24797297297</v>
      </c>
      <c r="DF20" s="55" t="n">
        <f aca="false">DD20+DE20</f>
        <v>2951.34256756757</v>
      </c>
      <c r="DG20" s="54" t="n">
        <f aca="false">DF20-(2_Market_Gross_USD!E18+35)</f>
        <v>1466.34256756757</v>
      </c>
      <c r="DH20" s="64" t="n">
        <f aca="false">IFERROR(DF20/(2_Market_Gross_USD!E18+35),0)</f>
        <v>1.98743607243607</v>
      </c>
      <c r="DI20" s="63" t="n">
        <f aca="false">2_Market_Gross_USD!E18*(1-0.065)</f>
        <v>1355.75</v>
      </c>
      <c r="DJ20" s="53" t="n">
        <f aca="false">DI20/0.66</f>
        <v>2054.16666666667</v>
      </c>
      <c r="DK20" s="54" t="n">
        <f aca="false">DJ20*0.2375+0</f>
        <v>487.864583333333</v>
      </c>
      <c r="DL20" s="55" t="n">
        <f aca="false">DJ20+DK20</f>
        <v>2542.03125</v>
      </c>
      <c r="DM20" s="54" t="n">
        <f aca="false">DL20-(2_Market_Gross_USD!E18+35)</f>
        <v>1057.03125</v>
      </c>
      <c r="DN20" s="64" t="n">
        <f aca="false">IFERROR(DL20/(2_Market_Gross_USD!E18+35),0)</f>
        <v>1.71180555555556</v>
      </c>
      <c r="DO20" s="63" t="n">
        <f aca="false">2_Market_Gross_USD!E18*(1-0.065)</f>
        <v>1355.75</v>
      </c>
      <c r="DP20" s="53" t="n">
        <f aca="false">DO20/0.8</f>
        <v>1694.6875</v>
      </c>
      <c r="DQ20" s="54" t="n">
        <f aca="false">DP20*0+0</f>
        <v>0</v>
      </c>
      <c r="DR20" s="55" t="n">
        <f aca="false">DP20+DQ20</f>
        <v>1694.6875</v>
      </c>
      <c r="DS20" s="54" t="n">
        <f aca="false">DR20-(2_Market_Gross_USD!E18+35)</f>
        <v>209.6875</v>
      </c>
      <c r="DT20" s="64" t="n">
        <f aca="false">IFERROR(DR20/(2_Market_Gross_USD!E18+35),0)</f>
        <v>1.1412037037037</v>
      </c>
      <c r="DU20" s="63" t="n">
        <f aca="false">2_Market_Gross_USD!E18*(1-0.065)</f>
        <v>1355.75</v>
      </c>
      <c r="DV20" s="53" t="n">
        <f aca="false">DU20/0.66</f>
        <v>2054.16666666667</v>
      </c>
      <c r="DW20" s="54" t="n">
        <f aca="false">DV20*0.2375+500</f>
        <v>987.864583333333</v>
      </c>
      <c r="DX20" s="55" t="n">
        <f aca="false">DV20+DW20</f>
        <v>3042.03125</v>
      </c>
      <c r="DY20" s="54" t="n">
        <f aca="false">DX20-(2_Market_Gross_USD!E18+35)</f>
        <v>1557.03125</v>
      </c>
      <c r="DZ20" s="64" t="n">
        <f aca="false">IFERROR(DX20/(2_Market_Gross_USD!E18+35),0)</f>
        <v>2.04850589225589</v>
      </c>
      <c r="EA20" s="63" t="n">
        <f aca="false">2_Market_Gross_USD!E18*(1-0.065)</f>
        <v>1355.75</v>
      </c>
      <c r="EB20" s="53" t="n">
        <f aca="false">EA20/0.65</f>
        <v>2085.76923076923</v>
      </c>
      <c r="EC20" s="54" t="n">
        <f aca="false">EB20*0.0225+0</f>
        <v>46.9298076923077</v>
      </c>
      <c r="ED20" s="55" t="n">
        <f aca="false">EB20+EC20</f>
        <v>2132.69903846154</v>
      </c>
      <c r="EE20" s="54" t="n">
        <f aca="false">ED20-(2_Market_Gross_USD!E18+35)</f>
        <v>647.699038461538</v>
      </c>
      <c r="EF20" s="64" t="n">
        <f aca="false">IFERROR(ED20/(2_Market_Gross_USD!E18+35),0)</f>
        <v>1.43616096866097</v>
      </c>
      <c r="EG20" s="63" t="n">
        <f aca="false">2_Market_Gross_USD!E18*(1-0.065)</f>
        <v>1355.75</v>
      </c>
      <c r="EH20" s="53" t="n">
        <f aca="false">EG20/0.99</f>
        <v>1369.44444444444</v>
      </c>
      <c r="EI20" s="54" t="n">
        <f aca="false">EH20*0+0</f>
        <v>0</v>
      </c>
      <c r="EJ20" s="55" t="n">
        <f aca="false">EH20+EI20</f>
        <v>1369.44444444444</v>
      </c>
      <c r="EK20" s="54" t="n">
        <f aca="false">EJ20-(2_Market_Gross_USD!E18+35)</f>
        <v>-115.555555555556</v>
      </c>
      <c r="EL20" s="64" t="n">
        <f aca="false">IFERROR(EJ20/(2_Market_Gross_USD!E18+35),0)</f>
        <v>0.9221848110737</v>
      </c>
      <c r="EM20" s="63" t="n">
        <f aca="false">2_Market_Gross_USD!E18*(1-0.065)</f>
        <v>1355.75</v>
      </c>
      <c r="EN20" s="53" t="n">
        <f aca="false">EM20/0.65</f>
        <v>2085.76923076923</v>
      </c>
      <c r="EO20" s="54" t="n">
        <f aca="false">EN20*0.0225+500</f>
        <v>546.929807692308</v>
      </c>
      <c r="EP20" s="55" t="n">
        <f aca="false">EN20+EO20</f>
        <v>2632.69903846154</v>
      </c>
      <c r="EQ20" s="54" t="n">
        <f aca="false">EP20-(2_Market_Gross_USD!E18+35)</f>
        <v>1147.69903846154</v>
      </c>
      <c r="ER20" s="64" t="n">
        <f aca="false">IFERROR(EP20/(2_Market_Gross_USD!E18+35),0)</f>
        <v>1.77286130536131</v>
      </c>
    </row>
    <row r="21" customFormat="false" ht="15" hidden="false" customHeight="false" outlineLevel="0" collapsed="false">
      <c r="A21" s="41" t="n">
        <v>16</v>
      </c>
      <c r="B21" s="28" t="s">
        <v>253</v>
      </c>
      <c r="C21" s="8" t="s">
        <v>257</v>
      </c>
      <c r="D21" s="65" t="s">
        <v>249</v>
      </c>
      <c r="E21" s="63" t="n">
        <f aca="false">2_Market_Gross_USD!E19*(1-0.065)</f>
        <v>4160.75</v>
      </c>
      <c r="F21" s="53" t="n">
        <f aca="false">E21/0.7429</f>
        <v>5600.68649885584</v>
      </c>
      <c r="G21" s="58" t="n">
        <f aca="false">F21*0.2038+0</f>
        <v>1141.41990846682</v>
      </c>
      <c r="H21" s="55" t="n">
        <f aca="false">F21+G21</f>
        <v>6742.10640732266</v>
      </c>
      <c r="I21" s="58" t="n">
        <f aca="false">H21-(2_Market_Gross_USD!E19+35)</f>
        <v>2257.10640732266</v>
      </c>
      <c r="J21" s="66" t="n">
        <f aca="false">IFERROR(H21/(2_Market_Gross_USD!E19+35),0)</f>
        <v>1.50325672404073</v>
      </c>
      <c r="K21" s="63" t="n">
        <f aca="false">2_Market_Gross_USD!E19*(1-0.065)</f>
        <v>4160.75</v>
      </c>
      <c r="L21" s="53" t="n">
        <f aca="false">K21/0.88</f>
        <v>4728.125</v>
      </c>
      <c r="M21" s="58" t="n">
        <f aca="false">L21*0+0</f>
        <v>0</v>
      </c>
      <c r="N21" s="55" t="n">
        <f aca="false">L21+M21</f>
        <v>4728.125</v>
      </c>
      <c r="O21" s="58" t="n">
        <f aca="false">N21-(2_Market_Gross_USD!E19+35)</f>
        <v>243.125</v>
      </c>
      <c r="P21" s="66" t="n">
        <f aca="false">IFERROR(N21/(2_Market_Gross_USD!E19+35),0)</f>
        <v>1.05420847268673</v>
      </c>
      <c r="Q21" s="63" t="n">
        <f aca="false">2_Market_Gross_USD!E19*(1-0.065)</f>
        <v>4160.75</v>
      </c>
      <c r="R21" s="53" t="n">
        <f aca="false">Q21/0.7429</f>
        <v>5600.68649885584</v>
      </c>
      <c r="S21" s="58" t="n">
        <f aca="false">R21*0.2038+500</f>
        <v>1641.41990846682</v>
      </c>
      <c r="T21" s="55" t="n">
        <f aca="false">R21+S21</f>
        <v>7242.10640732266</v>
      </c>
      <c r="U21" s="58" t="n">
        <f aca="false">T21-(2_Market_Gross_USD!E19+35)</f>
        <v>2757.10640732266</v>
      </c>
      <c r="V21" s="66" t="n">
        <f aca="false">IFERROR(T21/(2_Market_Gross_USD!E19+35),0)</f>
        <v>1.6147394442191</v>
      </c>
      <c r="W21" s="63" t="n">
        <f aca="false">2_Market_Gross_USD!E19*(1-0.065)</f>
        <v>4160.75</v>
      </c>
      <c r="X21" s="53" t="n">
        <f aca="false">W21/0.72</f>
        <v>5778.81944444444</v>
      </c>
      <c r="Y21" s="58" t="n">
        <f aca="false">X21*0.15+0</f>
        <v>866.822916666667</v>
      </c>
      <c r="Z21" s="55" t="n">
        <f aca="false">X21+Y21</f>
        <v>6645.64236111111</v>
      </c>
      <c r="AA21" s="58" t="n">
        <f aca="false">Z21-(2_Market_Gross_USD!E19+35)</f>
        <v>2160.64236111111</v>
      </c>
      <c r="AB21" s="66" t="n">
        <f aca="false">IFERROR(Z21/(2_Market_Gross_USD!E19+35),0)</f>
        <v>1.48174857549858</v>
      </c>
      <c r="AC21" s="63" t="n">
        <f aca="false">2_Market_Gross_USD!E19*(1-0.065)</f>
        <v>4160.75</v>
      </c>
      <c r="AD21" s="53" t="n">
        <f aca="false">AC21/0.81</f>
        <v>5136.72839506173</v>
      </c>
      <c r="AE21" s="58" t="n">
        <f aca="false">AD21*0+0</f>
        <v>0</v>
      </c>
      <c r="AF21" s="55" t="n">
        <f aca="false">AD21+AE21</f>
        <v>5136.72839506173</v>
      </c>
      <c r="AG21" s="58" t="n">
        <f aca="false">AF21-(2_Market_Gross_USD!E19+35)</f>
        <v>651.728395061728</v>
      </c>
      <c r="AH21" s="66" t="n">
        <f aca="false">IFERROR(AF21/(2_Market_Gross_USD!E19+35),0)</f>
        <v>1.14531290859793</v>
      </c>
      <c r="AI21" s="63" t="n">
        <f aca="false">2_Market_Gross_USD!E19*(1-0.065)</f>
        <v>4160.75</v>
      </c>
      <c r="AJ21" s="53" t="n">
        <f aca="false">AI21/0.72</f>
        <v>5778.81944444444</v>
      </c>
      <c r="AK21" s="58" t="n">
        <f aca="false">AJ21*0.15+500</f>
        <v>1366.82291666667</v>
      </c>
      <c r="AL21" s="55" t="n">
        <f aca="false">AJ21+AK21</f>
        <v>7145.64236111111</v>
      </c>
      <c r="AM21" s="58" t="n">
        <f aca="false">AL21-(2_Market_Gross_USD!E19+35)</f>
        <v>2660.64236111111</v>
      </c>
      <c r="AN21" s="66" t="n">
        <f aca="false">IFERROR(AL21/(2_Market_Gross_USD!E19+35),0)</f>
        <v>1.59323129567695</v>
      </c>
      <c r="AO21" s="63" t="n">
        <f aca="false">2_Market_Gross_USD!E19*(1-0.065)</f>
        <v>4160.75</v>
      </c>
      <c r="AP21" s="53" t="n">
        <f aca="false">AO21/0.7035</f>
        <v>5914.35678749112</v>
      </c>
      <c r="AQ21" s="58" t="n">
        <f aca="false">AP21*0.11+0</f>
        <v>650.579246624023</v>
      </c>
      <c r="AR21" s="55" t="n">
        <f aca="false">AP21+AQ21</f>
        <v>6564.93603411514</v>
      </c>
      <c r="AS21" s="58" t="n">
        <f aca="false">AR21-(2_Market_Gross_USD!E19+35)</f>
        <v>2079.93603411514</v>
      </c>
      <c r="AT21" s="66" t="n">
        <f aca="false">IFERROR(AR21/(2_Market_Gross_USD!E19+35),0)</f>
        <v>1.46375385376034</v>
      </c>
      <c r="AU21" s="63" t="n">
        <f aca="false">2_Market_Gross_USD!E19*(1-0.065)</f>
        <v>4160.75</v>
      </c>
      <c r="AV21" s="53" t="n">
        <f aca="false">AU21/0.627</f>
        <v>6635.9649122807</v>
      </c>
      <c r="AW21" s="58" t="n">
        <f aca="false">AV21*0+0</f>
        <v>0</v>
      </c>
      <c r="AX21" s="55" t="n">
        <f aca="false">AV21+AW21</f>
        <v>6635.9649122807</v>
      </c>
      <c r="AY21" s="58" t="n">
        <f aca="false">AX21-(2_Market_Gross_USD!E19+35)</f>
        <v>2150.9649122807</v>
      </c>
      <c r="AZ21" s="66" t="n">
        <f aca="false">IFERROR(AX21/(2_Market_Gross_USD!E19+35),0)</f>
        <v>1.47959083885857</v>
      </c>
      <c r="BA21" s="63" t="n">
        <f aca="false">2_Market_Gross_USD!E19*(1-0.065)</f>
        <v>4160.75</v>
      </c>
      <c r="BB21" s="53" t="n">
        <f aca="false">BA21/0.7035</f>
        <v>5914.35678749112</v>
      </c>
      <c r="BC21" s="58" t="n">
        <f aca="false">BB21*0.11+500</f>
        <v>1150.57924662402</v>
      </c>
      <c r="BD21" s="55" t="n">
        <f aca="false">BB21+BC21</f>
        <v>7064.93603411514</v>
      </c>
      <c r="BE21" s="58" t="n">
        <f aca="false">BD21-(2_Market_Gross_USD!E19+35)</f>
        <v>2579.93603411514</v>
      </c>
      <c r="BF21" s="66" t="n">
        <f aca="false">IFERROR(BD21/(2_Market_Gross_USD!E19+35),0)</f>
        <v>1.57523657393872</v>
      </c>
      <c r="BG21" s="63" t="n">
        <f aca="false">2_Market_Gross_USD!E19*(1-0.065)</f>
        <v>4160.75</v>
      </c>
      <c r="BH21" s="53" t="n">
        <f aca="false">BG21/0.5215</f>
        <v>7978.4276126558</v>
      </c>
      <c r="BI21" s="58" t="n">
        <f aca="false">BH21*0.21+0</f>
        <v>1675.46979865772</v>
      </c>
      <c r="BJ21" s="55" t="n">
        <f aca="false">BH21+BI21</f>
        <v>9653.89741131352</v>
      </c>
      <c r="BK21" s="58" t="n">
        <f aca="false">BJ21-(2_Market_Gross_USD!E19+35)</f>
        <v>5168.89741131352</v>
      </c>
      <c r="BL21" s="66" t="n">
        <f aca="false">IFERROR(BJ21/(2_Market_Gross_USD!E19+35),0)</f>
        <v>2.15248548747236</v>
      </c>
      <c r="BM21" s="63" t="n">
        <f aca="false">2_Market_Gross_USD!E19*(1-0.065)</f>
        <v>4160.75</v>
      </c>
      <c r="BN21" s="53" t="n">
        <f aca="false">BM21/0.75</f>
        <v>5547.66666666667</v>
      </c>
      <c r="BO21" s="58" t="n">
        <f aca="false">BN21*0+0</f>
        <v>0</v>
      </c>
      <c r="BP21" s="55" t="n">
        <f aca="false">BN21+BO21</f>
        <v>5547.66666666667</v>
      </c>
      <c r="BQ21" s="58" t="n">
        <f aca="false">BP21-(2_Market_Gross_USD!E19+35)</f>
        <v>1062.66666666667</v>
      </c>
      <c r="BR21" s="66" t="n">
        <f aca="false">IFERROR(BP21/(2_Market_Gross_USD!E19+35),0)</f>
        <v>1.23693794128577</v>
      </c>
      <c r="BS21" s="63" t="n">
        <f aca="false">2_Market_Gross_USD!E19*(1-0.065)</f>
        <v>4160.75</v>
      </c>
      <c r="BT21" s="53" t="n">
        <f aca="false">BS21/0.5215</f>
        <v>7978.4276126558</v>
      </c>
      <c r="BU21" s="58" t="n">
        <f aca="false">BT21*0.21+500</f>
        <v>2175.46979865772</v>
      </c>
      <c r="BV21" s="55" t="n">
        <f aca="false">BT21+BU21</f>
        <v>10153.8974113135</v>
      </c>
      <c r="BW21" s="58" t="n">
        <f aca="false">BV21-(2_Market_Gross_USD!E19+35)</f>
        <v>5668.89741131352</v>
      </c>
      <c r="BX21" s="66" t="n">
        <f aca="false">IFERROR(BV21/(2_Market_Gross_USD!E19+35),0)</f>
        <v>2.26396820765073</v>
      </c>
      <c r="BY21" s="63" t="n">
        <f aca="false">2_Market_Gross_USD!E19*(1-0.065)</f>
        <v>4160.75</v>
      </c>
      <c r="BZ21" s="53" t="n">
        <f aca="false">BY21/0.6303</f>
        <v>6601.22164048866</v>
      </c>
      <c r="CA21" s="58" t="n">
        <f aca="false">BZ21*0.2+0</f>
        <v>1320.24432809773</v>
      </c>
      <c r="CB21" s="55" t="n">
        <f aca="false">BZ21+CA21</f>
        <v>7921.46596858639</v>
      </c>
      <c r="CC21" s="58" t="n">
        <f aca="false">CB21-(2_Market_Gross_USD!E19+35)</f>
        <v>3436.46596858639</v>
      </c>
      <c r="CD21" s="66" t="n">
        <f aca="false">IFERROR(CB21/(2_Market_Gross_USD!E19+35),0)</f>
        <v>1.76621314795683</v>
      </c>
      <c r="CE21" s="63" t="n">
        <f aca="false">2_Market_Gross_USD!E19*(1-0.065)</f>
        <v>4160.75</v>
      </c>
      <c r="CF21" s="53" t="n">
        <f aca="false">CE21/0.6303</f>
        <v>6601.22164048866</v>
      </c>
      <c r="CG21" s="58" t="n">
        <f aca="false">CF21*0+0</f>
        <v>0</v>
      </c>
      <c r="CH21" s="55" t="n">
        <f aca="false">CF21+CG21</f>
        <v>6601.22164048866</v>
      </c>
      <c r="CI21" s="58" t="n">
        <f aca="false">CH21-(2_Market_Gross_USD!E19+35)</f>
        <v>2116.22164048866</v>
      </c>
      <c r="CJ21" s="66" t="n">
        <f aca="false">IFERROR(CH21/(2_Market_Gross_USD!E19+35),0)</f>
        <v>1.47184428996403</v>
      </c>
      <c r="CK21" s="63" t="n">
        <f aca="false">2_Market_Gross_USD!E19*(1-0.065)</f>
        <v>4160.75</v>
      </c>
      <c r="CL21" s="53" t="n">
        <f aca="false">CK21/0.6303</f>
        <v>6601.22164048866</v>
      </c>
      <c r="CM21" s="58" t="n">
        <f aca="false">CL21*0.2+500</f>
        <v>1820.24432809773</v>
      </c>
      <c r="CN21" s="55" t="n">
        <f aca="false">CL21+CM21</f>
        <v>8421.46596858639</v>
      </c>
      <c r="CO21" s="58" t="n">
        <f aca="false">CN21-(2_Market_Gross_USD!E19+35)</f>
        <v>3936.46596858639</v>
      </c>
      <c r="CP21" s="66" t="n">
        <f aca="false">IFERROR(CN21/(2_Market_Gross_USD!E19+35),0)</f>
        <v>1.8776958681352</v>
      </c>
      <c r="CQ21" s="63" t="n">
        <f aca="false">2_Market_Gross_USD!E19*(1-0.065)</f>
        <v>4160.75</v>
      </c>
      <c r="CR21" s="53" t="n">
        <f aca="false">CQ21/0.74</f>
        <v>5622.63513513514</v>
      </c>
      <c r="CS21" s="58" t="n">
        <f aca="false">CR21*0.338+0</f>
        <v>1900.45067567568</v>
      </c>
      <c r="CT21" s="55" t="n">
        <f aca="false">CR21+CS21</f>
        <v>7523.08581081081</v>
      </c>
      <c r="CU21" s="58" t="n">
        <f aca="false">CT21-(2_Market_Gross_USD!E19+35)</f>
        <v>3038.08581081081</v>
      </c>
      <c r="CV21" s="66" t="n">
        <f aca="false">IFERROR(CT21/(2_Market_Gross_USD!E19+35),0)</f>
        <v>1.67738814064901</v>
      </c>
      <c r="CW21" s="63" t="n">
        <f aca="false">2_Market_Gross_USD!E19*(1-0.065)</f>
        <v>4160.75</v>
      </c>
      <c r="CX21" s="53" t="n">
        <f aca="false">CW21/0.85</f>
        <v>4895</v>
      </c>
      <c r="CY21" s="58" t="n">
        <f aca="false">CX21*0+0</f>
        <v>0</v>
      </c>
      <c r="CZ21" s="55" t="n">
        <f aca="false">CX21+CY21</f>
        <v>4895</v>
      </c>
      <c r="DA21" s="58" t="n">
        <f aca="false">CZ21-(2_Market_Gross_USD!E19+35)</f>
        <v>410</v>
      </c>
      <c r="DB21" s="66" t="n">
        <f aca="false">IFERROR(CZ21/(2_Market_Gross_USD!E19+35),0)</f>
        <v>1.09141583054627</v>
      </c>
      <c r="DC21" s="63" t="n">
        <f aca="false">2_Market_Gross_USD!E19*(1-0.065)</f>
        <v>4160.75</v>
      </c>
      <c r="DD21" s="53" t="n">
        <f aca="false">DC21/0.74</f>
        <v>5622.63513513514</v>
      </c>
      <c r="DE21" s="58" t="n">
        <f aca="false">DD21*0.338+500</f>
        <v>2400.45067567568</v>
      </c>
      <c r="DF21" s="55" t="n">
        <f aca="false">DD21+DE21</f>
        <v>8023.08581081081</v>
      </c>
      <c r="DG21" s="58" t="n">
        <f aca="false">DF21-(2_Market_Gross_USD!E19+35)</f>
        <v>3538.08581081081</v>
      </c>
      <c r="DH21" s="66" t="n">
        <f aca="false">IFERROR(DF21/(2_Market_Gross_USD!E19+35),0)</f>
        <v>1.78887086082738</v>
      </c>
      <c r="DI21" s="63" t="n">
        <f aca="false">2_Market_Gross_USD!E19*(1-0.065)</f>
        <v>4160.75</v>
      </c>
      <c r="DJ21" s="53" t="n">
        <f aca="false">DI21/0.66</f>
        <v>6304.16666666667</v>
      </c>
      <c r="DK21" s="58" t="n">
        <f aca="false">DJ21*0.2375+0</f>
        <v>1497.23958333333</v>
      </c>
      <c r="DL21" s="55" t="n">
        <f aca="false">DJ21+DK21</f>
        <v>7801.40625</v>
      </c>
      <c r="DM21" s="58" t="n">
        <f aca="false">DL21-(2_Market_Gross_USD!E19+35)</f>
        <v>3316.40625</v>
      </c>
      <c r="DN21" s="66" t="n">
        <f aca="false">IFERROR(DL21/(2_Market_Gross_USD!E19+35),0)</f>
        <v>1.73944397993311</v>
      </c>
      <c r="DO21" s="63" t="n">
        <f aca="false">2_Market_Gross_USD!E19*(1-0.065)</f>
        <v>4160.75</v>
      </c>
      <c r="DP21" s="53" t="n">
        <f aca="false">DO21/0.8</f>
        <v>5200.9375</v>
      </c>
      <c r="DQ21" s="58" t="n">
        <f aca="false">DP21*0+0</f>
        <v>0</v>
      </c>
      <c r="DR21" s="55" t="n">
        <f aca="false">DP21+DQ21</f>
        <v>5200.9375</v>
      </c>
      <c r="DS21" s="58" t="n">
        <f aca="false">DR21-(2_Market_Gross_USD!E19+35)</f>
        <v>715.9375</v>
      </c>
      <c r="DT21" s="66" t="n">
        <f aca="false">IFERROR(DR21/(2_Market_Gross_USD!E19+35),0)</f>
        <v>1.15962931995541</v>
      </c>
      <c r="DU21" s="63" t="n">
        <f aca="false">2_Market_Gross_USD!E19*(1-0.065)</f>
        <v>4160.75</v>
      </c>
      <c r="DV21" s="53" t="n">
        <f aca="false">DU21/0.66</f>
        <v>6304.16666666667</v>
      </c>
      <c r="DW21" s="58" t="n">
        <f aca="false">DV21*0.2375+500</f>
        <v>1997.23958333333</v>
      </c>
      <c r="DX21" s="55" t="n">
        <f aca="false">DV21+DW21</f>
        <v>8301.40625</v>
      </c>
      <c r="DY21" s="58" t="n">
        <f aca="false">DX21-(2_Market_Gross_USD!E19+35)</f>
        <v>3816.40625</v>
      </c>
      <c r="DZ21" s="66" t="n">
        <f aca="false">IFERROR(DX21/(2_Market_Gross_USD!E19+35),0)</f>
        <v>1.85092670011148</v>
      </c>
      <c r="EA21" s="63" t="n">
        <f aca="false">2_Market_Gross_USD!E19*(1-0.065)</f>
        <v>4160.75</v>
      </c>
      <c r="EB21" s="53" t="n">
        <f aca="false">EA21/0.65</f>
        <v>6401.15384615385</v>
      </c>
      <c r="EC21" s="58" t="n">
        <f aca="false">EB21*0.0225+0</f>
        <v>144.025961538462</v>
      </c>
      <c r="ED21" s="55" t="n">
        <f aca="false">EB21+EC21</f>
        <v>6545.17980769231</v>
      </c>
      <c r="EE21" s="58" t="n">
        <f aca="false">ED21-(2_Market_Gross_USD!E19+35)</f>
        <v>2060.17980769231</v>
      </c>
      <c r="EF21" s="66" t="n">
        <f aca="false">IFERROR(ED21/(2_Market_Gross_USD!E19+35),0)</f>
        <v>1.45934889803619</v>
      </c>
      <c r="EG21" s="63" t="n">
        <f aca="false">2_Market_Gross_USD!E19*(1-0.065)</f>
        <v>4160.75</v>
      </c>
      <c r="EH21" s="53" t="n">
        <f aca="false">EG21/0.99</f>
        <v>4202.77777777778</v>
      </c>
      <c r="EI21" s="58" t="n">
        <f aca="false">EH21*0+0</f>
        <v>0</v>
      </c>
      <c r="EJ21" s="55" t="n">
        <f aca="false">EH21+EI21</f>
        <v>4202.77777777778</v>
      </c>
      <c r="EK21" s="58" t="n">
        <f aca="false">EJ21-(2_Market_Gross_USD!E19+35)</f>
        <v>-282.222222222223</v>
      </c>
      <c r="EL21" s="66" t="n">
        <f aca="false">IFERROR(EJ21/(2_Market_Gross_USD!E19+35),0)</f>
        <v>0.937074197943763</v>
      </c>
      <c r="EM21" s="63" t="n">
        <f aca="false">2_Market_Gross_USD!E19*(1-0.065)</f>
        <v>4160.75</v>
      </c>
      <c r="EN21" s="53" t="n">
        <f aca="false">EM21/0.65</f>
        <v>6401.15384615385</v>
      </c>
      <c r="EO21" s="58" t="n">
        <f aca="false">EN21*0.0225+500</f>
        <v>644.025961538462</v>
      </c>
      <c r="EP21" s="55" t="n">
        <f aca="false">EN21+EO21</f>
        <v>7045.17980769231</v>
      </c>
      <c r="EQ21" s="58" t="n">
        <f aca="false">EP21-(2_Market_Gross_USD!E19+35)</f>
        <v>2560.17980769231</v>
      </c>
      <c r="ER21" s="66" t="n">
        <f aca="false">IFERROR(EP21/(2_Market_Gross_USD!E19+35),0)</f>
        <v>1.57083161821456</v>
      </c>
    </row>
    <row r="22" customFormat="false" ht="15" hidden="false" customHeight="false" outlineLevel="0" collapsed="false">
      <c r="A22" s="37" t="n">
        <v>17</v>
      </c>
      <c r="B22" s="32" t="s">
        <v>253</v>
      </c>
      <c r="C22" s="32" t="s">
        <v>258</v>
      </c>
      <c r="D22" s="62" t="s">
        <v>248</v>
      </c>
      <c r="E22" s="63" t="n">
        <f aca="false">2_Market_Gross_USD!E20*(1-0.065)</f>
        <v>1391.28</v>
      </c>
      <c r="F22" s="53" t="n">
        <f aca="false">E22/0.7429</f>
        <v>1872.76887871854</v>
      </c>
      <c r="G22" s="54" t="n">
        <f aca="false">F22*0.2038+0</f>
        <v>381.670297482838</v>
      </c>
      <c r="H22" s="55" t="n">
        <f aca="false">F22+G22</f>
        <v>2254.43917620137</v>
      </c>
      <c r="I22" s="54" t="n">
        <f aca="false">H22-(2_Market_Gross_USD!E20+35)</f>
        <v>731.439176201373</v>
      </c>
      <c r="J22" s="64" t="n">
        <f aca="false">IFERROR(H22/(2_Market_Gross_USD!E20+35),0)</f>
        <v>1.48026209862204</v>
      </c>
      <c r="K22" s="63" t="n">
        <f aca="false">2_Market_Gross_USD!E20*(1-0.065)</f>
        <v>1391.28</v>
      </c>
      <c r="L22" s="53" t="n">
        <f aca="false">K22/0.88</f>
        <v>1581</v>
      </c>
      <c r="M22" s="54" t="n">
        <f aca="false">L22*0+0</f>
        <v>0</v>
      </c>
      <c r="N22" s="55" t="n">
        <f aca="false">L22+M22</f>
        <v>1581</v>
      </c>
      <c r="O22" s="54" t="n">
        <f aca="false">N22-(2_Market_Gross_USD!E20+35)</f>
        <v>58</v>
      </c>
      <c r="P22" s="64" t="n">
        <f aca="false">IFERROR(N22/(2_Market_Gross_USD!E20+35),0)</f>
        <v>1.03808273145108</v>
      </c>
      <c r="Q22" s="63" t="n">
        <f aca="false">2_Market_Gross_USD!E20*(1-0.065)</f>
        <v>1391.28</v>
      </c>
      <c r="R22" s="53" t="n">
        <f aca="false">Q22/0.7429</f>
        <v>1872.76887871854</v>
      </c>
      <c r="S22" s="54" t="n">
        <f aca="false">R22*0.2038+500</f>
        <v>881.670297482838</v>
      </c>
      <c r="T22" s="55" t="n">
        <f aca="false">R22+S22</f>
        <v>2754.43917620137</v>
      </c>
      <c r="U22" s="54" t="n">
        <f aca="false">T22-(2_Market_Gross_USD!E20+35)</f>
        <v>1231.43917620137</v>
      </c>
      <c r="V22" s="64" t="n">
        <f aca="false">IFERROR(T22/(2_Market_Gross_USD!E20+35),0)</f>
        <v>1.80856150768311</v>
      </c>
      <c r="W22" s="63" t="n">
        <f aca="false">2_Market_Gross_USD!E20*(1-0.065)</f>
        <v>1391.28</v>
      </c>
      <c r="X22" s="53" t="n">
        <f aca="false">W22/0.72</f>
        <v>1932.33333333333</v>
      </c>
      <c r="Y22" s="54" t="n">
        <f aca="false">X22*0.15+0</f>
        <v>289.85</v>
      </c>
      <c r="Z22" s="55" t="n">
        <f aca="false">X22+Y22</f>
        <v>2222.18333333333</v>
      </c>
      <c r="AA22" s="54" t="n">
        <f aca="false">Z22-(2_Market_Gross_USD!E20+35)</f>
        <v>699.183333333333</v>
      </c>
      <c r="AB22" s="64" t="n">
        <f aca="false">IFERROR(Z22/(2_Market_Gross_USD!E20+35),0)</f>
        <v>1.45908295031736</v>
      </c>
      <c r="AC22" s="63" t="n">
        <f aca="false">2_Market_Gross_USD!E20*(1-0.065)</f>
        <v>1391.28</v>
      </c>
      <c r="AD22" s="53" t="n">
        <f aca="false">AC22/0.81</f>
        <v>1717.62962962963</v>
      </c>
      <c r="AE22" s="54" t="n">
        <f aca="false">AD22*0+0</f>
        <v>0</v>
      </c>
      <c r="AF22" s="55" t="n">
        <f aca="false">AD22+AE22</f>
        <v>1717.62962962963</v>
      </c>
      <c r="AG22" s="54" t="n">
        <f aca="false">AF22-(2_Market_Gross_USD!E20+35)</f>
        <v>194.62962962963</v>
      </c>
      <c r="AH22" s="64" t="n">
        <f aca="false">IFERROR(AF22/(2_Market_Gross_USD!E20+35),0)</f>
        <v>1.12779358478636</v>
      </c>
      <c r="AI22" s="63" t="n">
        <f aca="false">2_Market_Gross_USD!E20*(1-0.065)</f>
        <v>1391.28</v>
      </c>
      <c r="AJ22" s="53" t="n">
        <f aca="false">AI22/0.72</f>
        <v>1932.33333333333</v>
      </c>
      <c r="AK22" s="54" t="n">
        <f aca="false">AJ22*0.15+500</f>
        <v>789.85</v>
      </c>
      <c r="AL22" s="55" t="n">
        <f aca="false">AJ22+AK22</f>
        <v>2722.18333333333</v>
      </c>
      <c r="AM22" s="54" t="n">
        <f aca="false">AL22-(2_Market_Gross_USD!E20+35)</f>
        <v>1199.18333333333</v>
      </c>
      <c r="AN22" s="64" t="n">
        <f aca="false">IFERROR(AL22/(2_Market_Gross_USD!E20+35),0)</f>
        <v>1.78738235937842</v>
      </c>
      <c r="AO22" s="63" t="n">
        <f aca="false">2_Market_Gross_USD!E20*(1-0.065)</f>
        <v>1391.28</v>
      </c>
      <c r="AP22" s="53" t="n">
        <f aca="false">AO22/0.7035</f>
        <v>1977.65458422175</v>
      </c>
      <c r="AQ22" s="54" t="n">
        <f aca="false">AP22*0.11+0</f>
        <v>217.542004264392</v>
      </c>
      <c r="AR22" s="55" t="n">
        <f aca="false">AP22+AQ22</f>
        <v>2195.19658848614</v>
      </c>
      <c r="AS22" s="54" t="n">
        <f aca="false">AR22-(2_Market_Gross_USD!E20+35)</f>
        <v>672.196588486141</v>
      </c>
      <c r="AT22" s="64" t="n">
        <f aca="false">IFERROR(AR22/(2_Market_Gross_USD!E20+35),0)</f>
        <v>1.44136348554573</v>
      </c>
      <c r="AU22" s="63" t="n">
        <f aca="false">2_Market_Gross_USD!E20*(1-0.065)</f>
        <v>1391.28</v>
      </c>
      <c r="AV22" s="53" t="n">
        <f aca="false">AU22/0.627</f>
        <v>2218.94736842105</v>
      </c>
      <c r="AW22" s="54" t="n">
        <f aca="false">AV22*0+0</f>
        <v>0</v>
      </c>
      <c r="AX22" s="55" t="n">
        <f aca="false">AV22+AW22</f>
        <v>2218.94736842105</v>
      </c>
      <c r="AY22" s="54" t="n">
        <f aca="false">AX22-(2_Market_Gross_USD!E20+35)</f>
        <v>695.947368421053</v>
      </c>
      <c r="AZ22" s="64" t="n">
        <f aca="false">IFERROR(AX22/(2_Market_Gross_USD!E20+35),0)</f>
        <v>1.45695821958047</v>
      </c>
      <c r="BA22" s="63" t="n">
        <f aca="false">2_Market_Gross_USD!E20*(1-0.065)</f>
        <v>1391.28</v>
      </c>
      <c r="BB22" s="53" t="n">
        <f aca="false">BA22/0.7035</f>
        <v>1977.65458422175</v>
      </c>
      <c r="BC22" s="54" t="n">
        <f aca="false">BB22*0.11+500</f>
        <v>717.542004264392</v>
      </c>
      <c r="BD22" s="55" t="n">
        <f aca="false">BB22+BC22</f>
        <v>2695.19658848614</v>
      </c>
      <c r="BE22" s="54" t="n">
        <f aca="false">BD22-(2_Market_Gross_USD!E20+35)</f>
        <v>1172.19658848614</v>
      </c>
      <c r="BF22" s="64" t="n">
        <f aca="false">IFERROR(BD22/(2_Market_Gross_USD!E20+35),0)</f>
        <v>1.76966289460679</v>
      </c>
      <c r="BG22" s="63" t="n">
        <f aca="false">2_Market_Gross_USD!E20*(1-0.065)</f>
        <v>1391.28</v>
      </c>
      <c r="BH22" s="53" t="n">
        <f aca="false">BG22/0.5215</f>
        <v>2667.84276126558</v>
      </c>
      <c r="BI22" s="54" t="n">
        <f aca="false">BH22*0.21+0</f>
        <v>560.246979865772</v>
      </c>
      <c r="BJ22" s="55" t="n">
        <f aca="false">BH22+BI22</f>
        <v>3228.08974113135</v>
      </c>
      <c r="BK22" s="54" t="n">
        <f aca="false">BJ22-(2_Market_Gross_USD!E20+35)</f>
        <v>1705.08974113135</v>
      </c>
      <c r="BL22" s="64" t="n">
        <f aca="false">IFERROR(BJ22/(2_Market_Gross_USD!E20+35),0)</f>
        <v>2.11955990881901</v>
      </c>
      <c r="BM22" s="63" t="n">
        <f aca="false">2_Market_Gross_USD!E20*(1-0.065)</f>
        <v>1391.28</v>
      </c>
      <c r="BN22" s="53" t="n">
        <f aca="false">BM22/0.75</f>
        <v>1855.04</v>
      </c>
      <c r="BO22" s="54" t="n">
        <f aca="false">BN22*0+0</f>
        <v>0</v>
      </c>
      <c r="BP22" s="55" t="n">
        <f aca="false">BN22+BO22</f>
        <v>1855.04</v>
      </c>
      <c r="BQ22" s="54" t="n">
        <f aca="false">BP22-(2_Market_Gross_USD!E20+35)</f>
        <v>332.04</v>
      </c>
      <c r="BR22" s="64" t="n">
        <f aca="false">IFERROR(BP22/(2_Market_Gross_USD!E20+35),0)</f>
        <v>1.21801707156927</v>
      </c>
      <c r="BS22" s="63" t="n">
        <f aca="false">2_Market_Gross_USD!E20*(1-0.065)</f>
        <v>1391.28</v>
      </c>
      <c r="BT22" s="53" t="n">
        <f aca="false">BS22/0.5215</f>
        <v>2667.84276126558</v>
      </c>
      <c r="BU22" s="54" t="n">
        <f aca="false">BT22*0.21+500</f>
        <v>1060.24697986577</v>
      </c>
      <c r="BV22" s="55" t="n">
        <f aca="false">BT22+BU22</f>
        <v>3728.08974113135</v>
      </c>
      <c r="BW22" s="54" t="n">
        <f aca="false">BV22-(2_Market_Gross_USD!E20+35)</f>
        <v>2205.08974113135</v>
      </c>
      <c r="BX22" s="64" t="n">
        <f aca="false">IFERROR(BV22/(2_Market_Gross_USD!E20+35),0)</f>
        <v>2.44785931788007</v>
      </c>
      <c r="BY22" s="63" t="n">
        <f aca="false">2_Market_Gross_USD!E20*(1-0.065)</f>
        <v>1391.28</v>
      </c>
      <c r="BZ22" s="53" t="n">
        <f aca="false">BY22/0.6303</f>
        <v>2207.32984293194</v>
      </c>
      <c r="CA22" s="54" t="n">
        <f aca="false">BZ22*0.2+0</f>
        <v>441.465968586387</v>
      </c>
      <c r="CB22" s="55" t="n">
        <f aca="false">BZ22+CA22</f>
        <v>2648.79581151832</v>
      </c>
      <c r="CC22" s="54" t="n">
        <f aca="false">CB22-(2_Market_Gross_USD!E20+35)</f>
        <v>1125.79581151832</v>
      </c>
      <c r="CD22" s="64" t="n">
        <f aca="false">IFERROR(CB22/(2_Market_Gross_USD!E20+35),0)</f>
        <v>1.73919619928977</v>
      </c>
      <c r="CE22" s="63" t="n">
        <f aca="false">2_Market_Gross_USD!E20*(1-0.065)</f>
        <v>1391.28</v>
      </c>
      <c r="CF22" s="53" t="n">
        <f aca="false">CE22/0.6303</f>
        <v>2207.32984293194</v>
      </c>
      <c r="CG22" s="54" t="n">
        <f aca="false">CF22*0+0</f>
        <v>0</v>
      </c>
      <c r="CH22" s="55" t="n">
        <f aca="false">CF22+CG22</f>
        <v>2207.32984293194</v>
      </c>
      <c r="CI22" s="54" t="n">
        <f aca="false">CH22-(2_Market_Gross_USD!E20+35)</f>
        <v>684.329842931937</v>
      </c>
      <c r="CJ22" s="64" t="n">
        <f aca="false">IFERROR(CH22/(2_Market_Gross_USD!E20+35),0)</f>
        <v>1.44933016607481</v>
      </c>
      <c r="CK22" s="63" t="n">
        <f aca="false">2_Market_Gross_USD!E20*(1-0.065)</f>
        <v>1391.28</v>
      </c>
      <c r="CL22" s="53" t="n">
        <f aca="false">CK22/0.6303</f>
        <v>2207.32984293194</v>
      </c>
      <c r="CM22" s="54" t="n">
        <f aca="false">CL22*0.2+500</f>
        <v>941.465968586387</v>
      </c>
      <c r="CN22" s="55" t="n">
        <f aca="false">CL22+CM22</f>
        <v>3148.79581151832</v>
      </c>
      <c r="CO22" s="54" t="n">
        <f aca="false">CN22-(2_Market_Gross_USD!E20+35)</f>
        <v>1625.79581151832</v>
      </c>
      <c r="CP22" s="64" t="n">
        <f aca="false">IFERROR(CN22/(2_Market_Gross_USD!E20+35),0)</f>
        <v>2.06749560835084</v>
      </c>
      <c r="CQ22" s="63" t="n">
        <f aca="false">2_Market_Gross_USD!E20*(1-0.065)</f>
        <v>1391.28</v>
      </c>
      <c r="CR22" s="53" t="n">
        <f aca="false">CQ22/0.74</f>
        <v>1880.10810810811</v>
      </c>
      <c r="CS22" s="54" t="n">
        <f aca="false">CR22*0.338+0</f>
        <v>635.476540540541</v>
      </c>
      <c r="CT22" s="55" t="n">
        <f aca="false">CR22+CS22</f>
        <v>2515.58464864865</v>
      </c>
      <c r="CU22" s="54" t="n">
        <f aca="false">CT22-(2_Market_Gross_USD!E20+35)</f>
        <v>992.584648648649</v>
      </c>
      <c r="CV22" s="64" t="n">
        <f aca="false">IFERROR(CT22/(2_Market_Gross_USD!E20+35),0)</f>
        <v>1.65172990718887</v>
      </c>
      <c r="CW22" s="63" t="n">
        <f aca="false">2_Market_Gross_USD!E20*(1-0.065)</f>
        <v>1391.28</v>
      </c>
      <c r="CX22" s="53" t="n">
        <f aca="false">CW22/0.85</f>
        <v>1636.8</v>
      </c>
      <c r="CY22" s="54" t="n">
        <f aca="false">CX22*0+0</f>
        <v>0</v>
      </c>
      <c r="CZ22" s="55" t="n">
        <f aca="false">CX22+CY22</f>
        <v>1636.8</v>
      </c>
      <c r="DA22" s="54" t="n">
        <f aca="false">CZ22-(2_Market_Gross_USD!E20+35)</f>
        <v>113.8</v>
      </c>
      <c r="DB22" s="64" t="n">
        <f aca="false">IFERROR(CZ22/(2_Market_Gross_USD!E20+35),0)</f>
        <v>1.0747209455023</v>
      </c>
      <c r="DC22" s="63" t="n">
        <f aca="false">2_Market_Gross_USD!E20*(1-0.065)</f>
        <v>1391.28</v>
      </c>
      <c r="DD22" s="53" t="n">
        <f aca="false">DC22/0.74</f>
        <v>1880.10810810811</v>
      </c>
      <c r="DE22" s="54" t="n">
        <f aca="false">DD22*0.338+500</f>
        <v>1135.47654054054</v>
      </c>
      <c r="DF22" s="55" t="n">
        <f aca="false">DD22+DE22</f>
        <v>3015.58464864865</v>
      </c>
      <c r="DG22" s="54" t="n">
        <f aca="false">DF22-(2_Market_Gross_USD!E20+35)</f>
        <v>1492.58464864865</v>
      </c>
      <c r="DH22" s="64" t="n">
        <f aca="false">IFERROR(DF22/(2_Market_Gross_USD!E20+35),0)</f>
        <v>1.98002931624993</v>
      </c>
      <c r="DI22" s="63" t="n">
        <f aca="false">2_Market_Gross_USD!E20*(1-0.065)</f>
        <v>1391.28</v>
      </c>
      <c r="DJ22" s="53" t="n">
        <f aca="false">DI22/0.66</f>
        <v>2108</v>
      </c>
      <c r="DK22" s="54" t="n">
        <f aca="false">DJ22*0.2375+0</f>
        <v>500.65</v>
      </c>
      <c r="DL22" s="55" t="n">
        <f aca="false">DJ22+DK22</f>
        <v>2608.65</v>
      </c>
      <c r="DM22" s="54" t="n">
        <f aca="false">DL22-(2_Market_Gross_USD!E20+35)</f>
        <v>1085.65</v>
      </c>
      <c r="DN22" s="64" t="n">
        <f aca="false">IFERROR(DL22/(2_Market_Gross_USD!E20+35),0)</f>
        <v>1.71283650689429</v>
      </c>
      <c r="DO22" s="63" t="n">
        <f aca="false">2_Market_Gross_USD!E20*(1-0.065)</f>
        <v>1391.28</v>
      </c>
      <c r="DP22" s="53" t="n">
        <f aca="false">DO22/0.8</f>
        <v>1739.1</v>
      </c>
      <c r="DQ22" s="54" t="n">
        <f aca="false">DP22*0+0</f>
        <v>0</v>
      </c>
      <c r="DR22" s="55" t="n">
        <f aca="false">DP22+DQ22</f>
        <v>1739.1</v>
      </c>
      <c r="DS22" s="54" t="n">
        <f aca="false">DR22-(2_Market_Gross_USD!E20+35)</f>
        <v>216.1</v>
      </c>
      <c r="DT22" s="64" t="n">
        <f aca="false">IFERROR(DR22/(2_Market_Gross_USD!E20+35),0)</f>
        <v>1.14189100459619</v>
      </c>
      <c r="DU22" s="63" t="n">
        <f aca="false">2_Market_Gross_USD!E20*(1-0.065)</f>
        <v>1391.28</v>
      </c>
      <c r="DV22" s="53" t="n">
        <f aca="false">DU22/0.66</f>
        <v>2108</v>
      </c>
      <c r="DW22" s="54" t="n">
        <f aca="false">DV22*0.2375+500</f>
        <v>1000.65</v>
      </c>
      <c r="DX22" s="55" t="n">
        <f aca="false">DV22+DW22</f>
        <v>3108.65</v>
      </c>
      <c r="DY22" s="54" t="n">
        <f aca="false">DX22-(2_Market_Gross_USD!E20+35)</f>
        <v>1585.65</v>
      </c>
      <c r="DZ22" s="64" t="n">
        <f aca="false">IFERROR(DX22/(2_Market_Gross_USD!E20+35),0)</f>
        <v>2.04113591595535</v>
      </c>
      <c r="EA22" s="63" t="n">
        <f aca="false">2_Market_Gross_USD!E20*(1-0.065)</f>
        <v>1391.28</v>
      </c>
      <c r="EB22" s="53" t="n">
        <f aca="false">EA22/0.65</f>
        <v>2140.43076923077</v>
      </c>
      <c r="EC22" s="54" t="n">
        <f aca="false">EB22*0.0225+0</f>
        <v>48.1596923076923</v>
      </c>
      <c r="ED22" s="55" t="n">
        <f aca="false">EB22+EC22</f>
        <v>2188.59046153846</v>
      </c>
      <c r="EE22" s="54" t="n">
        <f aca="false">ED22-(2_Market_Gross_USD!E20+35)</f>
        <v>665.590461538462</v>
      </c>
      <c r="EF22" s="64" t="n">
        <f aca="false">IFERROR(ED22/(2_Market_Gross_USD!E20+35),0)</f>
        <v>1.43702591039952</v>
      </c>
      <c r="EG22" s="63" t="n">
        <f aca="false">2_Market_Gross_USD!E20*(1-0.065)</f>
        <v>1391.28</v>
      </c>
      <c r="EH22" s="53" t="n">
        <f aca="false">EG22/0.99</f>
        <v>1405.33333333333</v>
      </c>
      <c r="EI22" s="54" t="n">
        <f aca="false">EH22*0+0</f>
        <v>0</v>
      </c>
      <c r="EJ22" s="55" t="n">
        <f aca="false">EH22+EI22</f>
        <v>1405.33333333333</v>
      </c>
      <c r="EK22" s="54" t="n">
        <f aca="false">EJ22-(2_Market_Gross_USD!E20+35)</f>
        <v>-117.666666666667</v>
      </c>
      <c r="EL22" s="64" t="n">
        <f aca="false">IFERROR(EJ22/(2_Market_Gross_USD!E20+35),0)</f>
        <v>0.922740205734296</v>
      </c>
      <c r="EM22" s="63" t="n">
        <f aca="false">2_Market_Gross_USD!E20*(1-0.065)</f>
        <v>1391.28</v>
      </c>
      <c r="EN22" s="53" t="n">
        <f aca="false">EM22/0.65</f>
        <v>2140.43076923077</v>
      </c>
      <c r="EO22" s="54" t="n">
        <f aca="false">EN22*0.0225+500</f>
        <v>548.159692307692</v>
      </c>
      <c r="EP22" s="55" t="n">
        <f aca="false">EN22+EO22</f>
        <v>2688.59046153846</v>
      </c>
      <c r="EQ22" s="54" t="n">
        <f aca="false">EP22-(2_Market_Gross_USD!E20+35)</f>
        <v>1165.59046153846</v>
      </c>
      <c r="ER22" s="64" t="n">
        <f aca="false">IFERROR(EP22/(2_Market_Gross_USD!E20+35),0)</f>
        <v>1.76532531946058</v>
      </c>
    </row>
    <row r="23" customFormat="false" ht="15" hidden="false" customHeight="false" outlineLevel="0" collapsed="false">
      <c r="A23" s="41" t="n">
        <v>18</v>
      </c>
      <c r="B23" s="28" t="s">
        <v>253</v>
      </c>
      <c r="C23" s="8" t="s">
        <v>258</v>
      </c>
      <c r="D23" s="65" t="s">
        <v>249</v>
      </c>
      <c r="E23" s="63" t="n">
        <f aca="false">2_Market_Gross_USD!E21*(1-0.065)</f>
        <v>4207.5</v>
      </c>
      <c r="F23" s="53" t="n">
        <f aca="false">E23/0.7429</f>
        <v>5663.61556064073</v>
      </c>
      <c r="G23" s="58" t="n">
        <f aca="false">F23*0.2038+0</f>
        <v>1154.24485125858</v>
      </c>
      <c r="H23" s="55" t="n">
        <f aca="false">F23+G23</f>
        <v>6817.86041189931</v>
      </c>
      <c r="I23" s="58" t="n">
        <f aca="false">H23-(2_Market_Gross_USD!E21+35)</f>
        <v>2282.86041189931</v>
      </c>
      <c r="J23" s="66" t="n">
        <f aca="false">IFERROR(H23/(2_Market_Gross_USD!E21+35),0)</f>
        <v>1.50338708090393</v>
      </c>
      <c r="K23" s="63" t="n">
        <f aca="false">2_Market_Gross_USD!E21*(1-0.065)</f>
        <v>4207.5</v>
      </c>
      <c r="L23" s="53" t="n">
        <f aca="false">K23/0.88</f>
        <v>4781.25</v>
      </c>
      <c r="M23" s="58" t="n">
        <f aca="false">L23*0+0</f>
        <v>0</v>
      </c>
      <c r="N23" s="55" t="n">
        <f aca="false">L23+M23</f>
        <v>4781.25</v>
      </c>
      <c r="O23" s="58" t="n">
        <f aca="false">N23-(2_Market_Gross_USD!E21+35)</f>
        <v>246.25</v>
      </c>
      <c r="P23" s="66" t="n">
        <f aca="false">IFERROR(N23/(2_Market_Gross_USD!E21+35),0)</f>
        <v>1.05429988974642</v>
      </c>
      <c r="Q23" s="63" t="n">
        <f aca="false">2_Market_Gross_USD!E21*(1-0.065)</f>
        <v>4207.5</v>
      </c>
      <c r="R23" s="53" t="n">
        <f aca="false">Q23/0.7429</f>
        <v>5663.61556064073</v>
      </c>
      <c r="S23" s="58" t="n">
        <f aca="false">R23*0.2038+500</f>
        <v>1654.24485125858</v>
      </c>
      <c r="T23" s="55" t="n">
        <f aca="false">R23+S23</f>
        <v>7317.86041189931</v>
      </c>
      <c r="U23" s="58" t="n">
        <f aca="false">T23-(2_Market_Gross_USD!E21+35)</f>
        <v>2782.86041189931</v>
      </c>
      <c r="V23" s="66" t="n">
        <f aca="false">IFERROR(T23/(2_Market_Gross_USD!E21+35),0)</f>
        <v>1.61364066414538</v>
      </c>
      <c r="W23" s="63" t="n">
        <f aca="false">2_Market_Gross_USD!E21*(1-0.065)</f>
        <v>4207.5</v>
      </c>
      <c r="X23" s="53" t="n">
        <f aca="false">W23/0.72</f>
        <v>5843.75</v>
      </c>
      <c r="Y23" s="58" t="n">
        <f aca="false">X23*0.15+0</f>
        <v>876.5625</v>
      </c>
      <c r="Z23" s="55" t="n">
        <f aca="false">X23+Y23</f>
        <v>6720.3125</v>
      </c>
      <c r="AA23" s="58" t="n">
        <f aca="false">Z23-(2_Market_Gross_USD!E21+35)</f>
        <v>2185.3125</v>
      </c>
      <c r="AB23" s="66" t="n">
        <f aca="false">IFERROR(Z23/(2_Market_Gross_USD!E21+35),0)</f>
        <v>1.48187706725469</v>
      </c>
      <c r="AC23" s="63" t="n">
        <f aca="false">2_Market_Gross_USD!E21*(1-0.065)</f>
        <v>4207.5</v>
      </c>
      <c r="AD23" s="53" t="n">
        <f aca="false">AC23/0.81</f>
        <v>5194.44444444444</v>
      </c>
      <c r="AE23" s="58" t="n">
        <f aca="false">AD23*0+0</f>
        <v>0</v>
      </c>
      <c r="AF23" s="55" t="n">
        <f aca="false">AD23+AE23</f>
        <v>5194.44444444444</v>
      </c>
      <c r="AG23" s="58" t="n">
        <f aca="false">AF23-(2_Market_Gross_USD!E21+35)</f>
        <v>659.444444444444</v>
      </c>
      <c r="AH23" s="66" t="n">
        <f aca="false">IFERROR(AF23/(2_Market_Gross_USD!E21+35),0)</f>
        <v>1.14541222589734</v>
      </c>
      <c r="AI23" s="63" t="n">
        <f aca="false">2_Market_Gross_USD!E21*(1-0.065)</f>
        <v>4207.5</v>
      </c>
      <c r="AJ23" s="53" t="n">
        <f aca="false">AI23/0.72</f>
        <v>5843.75</v>
      </c>
      <c r="AK23" s="58" t="n">
        <f aca="false">AJ23*0.15+500</f>
        <v>1376.5625</v>
      </c>
      <c r="AL23" s="55" t="n">
        <f aca="false">AJ23+AK23</f>
        <v>7220.3125</v>
      </c>
      <c r="AM23" s="58" t="n">
        <f aca="false">AL23-(2_Market_Gross_USD!E21+35)</f>
        <v>2685.3125</v>
      </c>
      <c r="AN23" s="66" t="n">
        <f aca="false">IFERROR(AL23/(2_Market_Gross_USD!E21+35),0)</f>
        <v>1.59213065049614</v>
      </c>
      <c r="AO23" s="63" t="n">
        <f aca="false">2_Market_Gross_USD!E21*(1-0.065)</f>
        <v>4207.5</v>
      </c>
      <c r="AP23" s="53" t="n">
        <f aca="false">AO23/0.7035</f>
        <v>5980.81023454158</v>
      </c>
      <c r="AQ23" s="58" t="n">
        <f aca="false">AP23*0.11+0</f>
        <v>657.889125799574</v>
      </c>
      <c r="AR23" s="55" t="n">
        <f aca="false">AP23+AQ23</f>
        <v>6638.69936034115</v>
      </c>
      <c r="AS23" s="58" t="n">
        <f aca="false">AR23-(2_Market_Gross_USD!E21+35)</f>
        <v>2103.69936034115</v>
      </c>
      <c r="AT23" s="66" t="n">
        <f aca="false">IFERROR(AR23/(2_Market_Gross_USD!E21+35),0)</f>
        <v>1.46388078508074</v>
      </c>
      <c r="AU23" s="63" t="n">
        <f aca="false">2_Market_Gross_USD!E21*(1-0.065)</f>
        <v>4207.5</v>
      </c>
      <c r="AV23" s="53" t="n">
        <f aca="false">AU23/0.627</f>
        <v>6710.52631578947</v>
      </c>
      <c r="AW23" s="58" t="n">
        <f aca="false">AV23*0+0</f>
        <v>0</v>
      </c>
      <c r="AX23" s="55" t="n">
        <f aca="false">AV23+AW23</f>
        <v>6710.52631578947</v>
      </c>
      <c r="AY23" s="58" t="n">
        <f aca="false">AX23-(2_Market_Gross_USD!E21+35)</f>
        <v>2175.52631578947</v>
      </c>
      <c r="AZ23" s="66" t="n">
        <f aca="false">IFERROR(AX23/(2_Market_Gross_USD!E21+35),0)</f>
        <v>1.47971914350374</v>
      </c>
      <c r="BA23" s="63" t="n">
        <f aca="false">2_Market_Gross_USD!E21*(1-0.065)</f>
        <v>4207.5</v>
      </c>
      <c r="BB23" s="53" t="n">
        <f aca="false">BA23/0.7035</f>
        <v>5980.81023454158</v>
      </c>
      <c r="BC23" s="58" t="n">
        <f aca="false">BB23*0.11+500</f>
        <v>1157.88912579957</v>
      </c>
      <c r="BD23" s="55" t="n">
        <f aca="false">BB23+BC23</f>
        <v>7138.69936034115</v>
      </c>
      <c r="BE23" s="58" t="n">
        <f aca="false">BD23-(2_Market_Gross_USD!E21+35)</f>
        <v>2603.69936034115</v>
      </c>
      <c r="BF23" s="66" t="n">
        <f aca="false">IFERROR(BD23/(2_Market_Gross_USD!E21+35),0)</f>
        <v>1.57413436832219</v>
      </c>
      <c r="BG23" s="63" t="n">
        <f aca="false">2_Market_Gross_USD!E21*(1-0.065)</f>
        <v>4207.5</v>
      </c>
      <c r="BH23" s="53" t="n">
        <f aca="false">BG23/0.5215</f>
        <v>8068.07286673059</v>
      </c>
      <c r="BI23" s="58" t="n">
        <f aca="false">BH23*0.21+0</f>
        <v>1694.29530201342</v>
      </c>
      <c r="BJ23" s="55" t="n">
        <f aca="false">BH23+BI23</f>
        <v>9762.36816874401</v>
      </c>
      <c r="BK23" s="58" t="n">
        <f aca="false">BJ23-(2_Market_Gross_USD!E21+35)</f>
        <v>5227.36816874401</v>
      </c>
      <c r="BL23" s="66" t="n">
        <f aca="false">IFERROR(BJ23/(2_Market_Gross_USD!E21+35),0)</f>
        <v>2.1526721430527</v>
      </c>
      <c r="BM23" s="63" t="n">
        <f aca="false">2_Market_Gross_USD!E21*(1-0.065)</f>
        <v>4207.5</v>
      </c>
      <c r="BN23" s="53" t="n">
        <f aca="false">BM23/0.75</f>
        <v>5610</v>
      </c>
      <c r="BO23" s="58" t="n">
        <f aca="false">BN23*0+0</f>
        <v>0</v>
      </c>
      <c r="BP23" s="55" t="n">
        <f aca="false">BN23+BO23</f>
        <v>5610</v>
      </c>
      <c r="BQ23" s="58" t="n">
        <f aca="false">BP23-(2_Market_Gross_USD!E21+35)</f>
        <v>1075</v>
      </c>
      <c r="BR23" s="66" t="n">
        <f aca="false">IFERROR(BP23/(2_Market_Gross_USD!E21+35),0)</f>
        <v>1.23704520396913</v>
      </c>
      <c r="BS23" s="63" t="n">
        <f aca="false">2_Market_Gross_USD!E21*(1-0.065)</f>
        <v>4207.5</v>
      </c>
      <c r="BT23" s="53" t="n">
        <f aca="false">BS23/0.5215</f>
        <v>8068.07286673059</v>
      </c>
      <c r="BU23" s="58" t="n">
        <f aca="false">BT23*0.21+500</f>
        <v>2194.29530201342</v>
      </c>
      <c r="BV23" s="55" t="n">
        <f aca="false">BT23+BU23</f>
        <v>10262.368168744</v>
      </c>
      <c r="BW23" s="58" t="n">
        <f aca="false">BV23-(2_Market_Gross_USD!E21+35)</f>
        <v>5727.36816874401</v>
      </c>
      <c r="BX23" s="66" t="n">
        <f aca="false">IFERROR(BV23/(2_Market_Gross_USD!E21+35),0)</f>
        <v>2.26292572629416</v>
      </c>
      <c r="BY23" s="63" t="n">
        <f aca="false">2_Market_Gross_USD!E21*(1-0.065)</f>
        <v>4207.5</v>
      </c>
      <c r="BZ23" s="53" t="n">
        <f aca="false">BY23/0.6303</f>
        <v>6675.39267015707</v>
      </c>
      <c r="CA23" s="58" t="n">
        <f aca="false">BZ23*0.2+0</f>
        <v>1335.07853403141</v>
      </c>
      <c r="CB23" s="55" t="n">
        <f aca="false">BZ23+CA23</f>
        <v>8010.47120418848</v>
      </c>
      <c r="CC23" s="58" t="n">
        <f aca="false">CB23-(2_Market_Gross_USD!E21+35)</f>
        <v>3475.47120418848</v>
      </c>
      <c r="CD23" s="66" t="n">
        <f aca="false">IFERROR(CB23/(2_Market_Gross_USD!E21+35),0)</f>
        <v>1.76636630742855</v>
      </c>
      <c r="CE23" s="63" t="n">
        <f aca="false">2_Market_Gross_USD!E21*(1-0.065)</f>
        <v>4207.5</v>
      </c>
      <c r="CF23" s="53" t="n">
        <f aca="false">CE23/0.6303</f>
        <v>6675.39267015707</v>
      </c>
      <c r="CG23" s="58" t="n">
        <f aca="false">CF23*0+0</f>
        <v>0</v>
      </c>
      <c r="CH23" s="55" t="n">
        <f aca="false">CF23+CG23</f>
        <v>6675.39267015707</v>
      </c>
      <c r="CI23" s="58" t="n">
        <f aca="false">CH23-(2_Market_Gross_USD!E21+35)</f>
        <v>2140.39267015707</v>
      </c>
      <c r="CJ23" s="66" t="n">
        <f aca="false">IFERROR(CH23/(2_Market_Gross_USD!E21+35),0)</f>
        <v>1.47197192285713</v>
      </c>
      <c r="CK23" s="63" t="n">
        <f aca="false">2_Market_Gross_USD!E21*(1-0.065)</f>
        <v>4207.5</v>
      </c>
      <c r="CL23" s="53" t="n">
        <f aca="false">CK23/0.6303</f>
        <v>6675.39267015707</v>
      </c>
      <c r="CM23" s="58" t="n">
        <f aca="false">CL23*0.2+500</f>
        <v>1835.07853403141</v>
      </c>
      <c r="CN23" s="55" t="n">
        <f aca="false">CL23+CM23</f>
        <v>8510.47120418848</v>
      </c>
      <c r="CO23" s="58" t="n">
        <f aca="false">CN23-(2_Market_Gross_USD!E21+35)</f>
        <v>3975.47120418848</v>
      </c>
      <c r="CP23" s="66" t="n">
        <f aca="false">IFERROR(CN23/(2_Market_Gross_USD!E21+35),0)</f>
        <v>1.87661989067001</v>
      </c>
      <c r="CQ23" s="63" t="n">
        <f aca="false">2_Market_Gross_USD!E21*(1-0.065)</f>
        <v>4207.5</v>
      </c>
      <c r="CR23" s="53" t="n">
        <f aca="false">CQ23/0.74</f>
        <v>5685.81081081081</v>
      </c>
      <c r="CS23" s="58" t="n">
        <f aca="false">CR23*0.338+0</f>
        <v>1921.80405405405</v>
      </c>
      <c r="CT23" s="55" t="n">
        <f aca="false">CR23+CS23</f>
        <v>7607.61486486487</v>
      </c>
      <c r="CU23" s="58" t="n">
        <f aca="false">CT23-(2_Market_Gross_USD!E21+35)</f>
        <v>3072.61486486487</v>
      </c>
      <c r="CV23" s="66" t="n">
        <f aca="false">IFERROR(CT23/(2_Market_Gross_USD!E21+35),0)</f>
        <v>1.67753359754462</v>
      </c>
      <c r="CW23" s="63" t="n">
        <f aca="false">2_Market_Gross_USD!E21*(1-0.065)</f>
        <v>4207.5</v>
      </c>
      <c r="CX23" s="53" t="n">
        <f aca="false">CW23/0.85</f>
        <v>4950</v>
      </c>
      <c r="CY23" s="58" t="n">
        <f aca="false">CX23*0+0</f>
        <v>0</v>
      </c>
      <c r="CZ23" s="55" t="n">
        <f aca="false">CX23+CY23</f>
        <v>4950</v>
      </c>
      <c r="DA23" s="58" t="n">
        <f aca="false">CZ23-(2_Market_Gross_USD!E21+35)</f>
        <v>415</v>
      </c>
      <c r="DB23" s="66" t="n">
        <f aca="false">IFERROR(CZ23/(2_Market_Gross_USD!E21+35),0)</f>
        <v>1.09151047409041</v>
      </c>
      <c r="DC23" s="63" t="n">
        <f aca="false">2_Market_Gross_USD!E21*(1-0.065)</f>
        <v>4207.5</v>
      </c>
      <c r="DD23" s="53" t="n">
        <f aca="false">DC23/0.74</f>
        <v>5685.81081081081</v>
      </c>
      <c r="DE23" s="58" t="n">
        <f aca="false">DD23*0.338+500</f>
        <v>2421.80405405405</v>
      </c>
      <c r="DF23" s="55" t="n">
        <f aca="false">DD23+DE23</f>
        <v>8107.61486486487</v>
      </c>
      <c r="DG23" s="58" t="n">
        <f aca="false">DF23-(2_Market_Gross_USD!E21+35)</f>
        <v>3572.61486486487</v>
      </c>
      <c r="DH23" s="66" t="n">
        <f aca="false">IFERROR(DF23/(2_Market_Gross_USD!E21+35),0)</f>
        <v>1.78778718078608</v>
      </c>
      <c r="DI23" s="63" t="n">
        <f aca="false">2_Market_Gross_USD!E21*(1-0.065)</f>
        <v>4207.5</v>
      </c>
      <c r="DJ23" s="53" t="n">
        <f aca="false">DI23/0.66</f>
        <v>6375</v>
      </c>
      <c r="DK23" s="58" t="n">
        <f aca="false">DJ23*0.2375+0</f>
        <v>1514.0625</v>
      </c>
      <c r="DL23" s="55" t="n">
        <f aca="false">DJ23+DK23</f>
        <v>7889.0625</v>
      </c>
      <c r="DM23" s="58" t="n">
        <f aca="false">DL23-(2_Market_Gross_USD!E21+35)</f>
        <v>3354.0625</v>
      </c>
      <c r="DN23" s="66" t="n">
        <f aca="false">IFERROR(DL23/(2_Market_Gross_USD!E21+35),0)</f>
        <v>1.73959481808159</v>
      </c>
      <c r="DO23" s="63" t="n">
        <f aca="false">2_Market_Gross_USD!E21*(1-0.065)</f>
        <v>4207.5</v>
      </c>
      <c r="DP23" s="53" t="n">
        <f aca="false">DO23/0.8</f>
        <v>5259.375</v>
      </c>
      <c r="DQ23" s="58" t="n">
        <f aca="false">DP23*0+0</f>
        <v>0</v>
      </c>
      <c r="DR23" s="55" t="n">
        <f aca="false">DP23+DQ23</f>
        <v>5259.375</v>
      </c>
      <c r="DS23" s="58" t="n">
        <f aca="false">DR23-(2_Market_Gross_USD!E21+35)</f>
        <v>724.375</v>
      </c>
      <c r="DT23" s="66" t="n">
        <f aca="false">IFERROR(DR23/(2_Market_Gross_USD!E21+35),0)</f>
        <v>1.15972987872106</v>
      </c>
      <c r="DU23" s="63" t="n">
        <f aca="false">2_Market_Gross_USD!E21*(1-0.065)</f>
        <v>4207.5</v>
      </c>
      <c r="DV23" s="53" t="n">
        <f aca="false">DU23/0.66</f>
        <v>6375</v>
      </c>
      <c r="DW23" s="58" t="n">
        <f aca="false">DV23*0.2375+500</f>
        <v>2014.0625</v>
      </c>
      <c r="DX23" s="55" t="n">
        <f aca="false">DV23+DW23</f>
        <v>8389.0625</v>
      </c>
      <c r="DY23" s="58" t="n">
        <f aca="false">DX23-(2_Market_Gross_USD!E21+35)</f>
        <v>3854.0625</v>
      </c>
      <c r="DZ23" s="66" t="n">
        <f aca="false">IFERROR(DX23/(2_Market_Gross_USD!E21+35),0)</f>
        <v>1.84984840132304</v>
      </c>
      <c r="EA23" s="63" t="n">
        <f aca="false">2_Market_Gross_USD!E21*(1-0.065)</f>
        <v>4207.5</v>
      </c>
      <c r="EB23" s="53" t="n">
        <f aca="false">EA23/0.65</f>
        <v>6473.07692307692</v>
      </c>
      <c r="EC23" s="58" t="n">
        <f aca="false">EB23*0.0225+0</f>
        <v>145.644230769231</v>
      </c>
      <c r="ED23" s="55" t="n">
        <f aca="false">EB23+EC23</f>
        <v>6618.72115384615</v>
      </c>
      <c r="EE23" s="58" t="n">
        <f aca="false">ED23-(2_Market_Gross_USD!E21+35)</f>
        <v>2083.72115384615</v>
      </c>
      <c r="EF23" s="66" t="n">
        <f aca="false">IFERROR(ED23/(2_Market_Gross_USD!E21+35),0)</f>
        <v>1.45947544737512</v>
      </c>
      <c r="EG23" s="63" t="n">
        <f aca="false">2_Market_Gross_USD!E21*(1-0.065)</f>
        <v>4207.5</v>
      </c>
      <c r="EH23" s="53" t="n">
        <f aca="false">EG23/0.99</f>
        <v>4250</v>
      </c>
      <c r="EI23" s="58" t="n">
        <f aca="false">EH23*0+0</f>
        <v>0</v>
      </c>
      <c r="EJ23" s="55" t="n">
        <f aca="false">EH23+EI23</f>
        <v>4250</v>
      </c>
      <c r="EK23" s="58" t="n">
        <f aca="false">EJ23-(2_Market_Gross_USD!E21+35)</f>
        <v>-285</v>
      </c>
      <c r="EL23" s="66" t="n">
        <f aca="false">IFERROR(EJ23/(2_Market_Gross_USD!E21+35),0)</f>
        <v>0.93715545755237</v>
      </c>
      <c r="EM23" s="63" t="n">
        <f aca="false">2_Market_Gross_USD!E21*(1-0.065)</f>
        <v>4207.5</v>
      </c>
      <c r="EN23" s="53" t="n">
        <f aca="false">EM23/0.65</f>
        <v>6473.07692307692</v>
      </c>
      <c r="EO23" s="58" t="n">
        <f aca="false">EN23*0.0225+500</f>
        <v>645.644230769231</v>
      </c>
      <c r="EP23" s="55" t="n">
        <f aca="false">EN23+EO23</f>
        <v>7118.72115384615</v>
      </c>
      <c r="EQ23" s="58" t="n">
        <f aca="false">EP23-(2_Market_Gross_USD!E21+35)</f>
        <v>2583.72115384615</v>
      </c>
      <c r="ER23" s="66" t="n">
        <f aca="false">IFERROR(EP23/(2_Market_Gross_USD!E21+35),0)</f>
        <v>1.56972903061657</v>
      </c>
    </row>
    <row r="24" customFormat="false" ht="15" hidden="false" customHeight="false" outlineLevel="0" collapsed="false">
      <c r="A24" s="37" t="n">
        <v>19</v>
      </c>
      <c r="B24" s="32" t="s">
        <v>259</v>
      </c>
      <c r="C24" s="32" t="s">
        <v>260</v>
      </c>
      <c r="D24" s="62" t="s">
        <v>248</v>
      </c>
      <c r="E24" s="63" t="n">
        <f aca="false">2_Market_Gross_USD!E22*(1-0.065)</f>
        <v>1150.985</v>
      </c>
      <c r="F24" s="53" t="n">
        <f aca="false">E24/0.7429</f>
        <v>1549.31350114417</v>
      </c>
      <c r="G24" s="54" t="n">
        <f aca="false">F24*0.2038+0</f>
        <v>315.750091533181</v>
      </c>
      <c r="H24" s="55" t="n">
        <f aca="false">F24+G24</f>
        <v>1865.06359267735</v>
      </c>
      <c r="I24" s="54" t="n">
        <f aca="false">H24-(2_Market_Gross_USD!E22+35)</f>
        <v>599.063592677346</v>
      </c>
      <c r="J24" s="64" t="n">
        <f aca="false">IFERROR(H24/(2_Market_Gross_USD!E22+35),0)</f>
        <v>1.47319399105636</v>
      </c>
      <c r="K24" s="63" t="n">
        <f aca="false">2_Market_Gross_USD!E22*(1-0.065)</f>
        <v>1150.985</v>
      </c>
      <c r="L24" s="53" t="n">
        <f aca="false">K24/0.88</f>
        <v>1307.9375</v>
      </c>
      <c r="M24" s="54" t="n">
        <f aca="false">L24*0+0</f>
        <v>0</v>
      </c>
      <c r="N24" s="55" t="n">
        <f aca="false">L24+M24</f>
        <v>1307.9375</v>
      </c>
      <c r="O24" s="54" t="n">
        <f aca="false">N24-(2_Market_Gross_USD!E22+35)</f>
        <v>41.9375000000002</v>
      </c>
      <c r="P24" s="64" t="n">
        <f aca="false">IFERROR(N24/(2_Market_Gross_USD!E22+35),0)</f>
        <v>1.03312598736177</v>
      </c>
      <c r="Q24" s="63" t="n">
        <f aca="false">2_Market_Gross_USD!E22*(1-0.065)</f>
        <v>1150.985</v>
      </c>
      <c r="R24" s="53" t="n">
        <f aca="false">Q24/0.7429</f>
        <v>1549.31350114417</v>
      </c>
      <c r="S24" s="54" t="n">
        <f aca="false">R24*0.2038+500</f>
        <v>815.750091533181</v>
      </c>
      <c r="T24" s="55" t="n">
        <f aca="false">R24+S24</f>
        <v>2365.06359267735</v>
      </c>
      <c r="U24" s="54" t="n">
        <f aca="false">T24-(2_Market_Gross_USD!E22+35)</f>
        <v>1099.06359267735</v>
      </c>
      <c r="V24" s="64" t="n">
        <f aca="false">IFERROR(T24/(2_Market_Gross_USD!E22+35),0)</f>
        <v>1.86813869879727</v>
      </c>
      <c r="W24" s="63" t="n">
        <f aca="false">2_Market_Gross_USD!E22*(1-0.065)</f>
        <v>1150.985</v>
      </c>
      <c r="X24" s="53" t="n">
        <f aca="false">W24/0.72</f>
        <v>1598.59027777778</v>
      </c>
      <c r="Y24" s="54" t="n">
        <f aca="false">X24*0.15+0</f>
        <v>239.788541666667</v>
      </c>
      <c r="Z24" s="55" t="n">
        <f aca="false">X24+Y24</f>
        <v>1838.37881944444</v>
      </c>
      <c r="AA24" s="54" t="n">
        <f aca="false">Z24-(2_Market_Gross_USD!E22+35)</f>
        <v>572.378819444445</v>
      </c>
      <c r="AB24" s="64" t="n">
        <f aca="false">IFERROR(Z24/(2_Market_Gross_USD!E22+35),0)</f>
        <v>1.45211597112515</v>
      </c>
      <c r="AC24" s="63" t="n">
        <f aca="false">2_Market_Gross_USD!E22*(1-0.065)</f>
        <v>1150.985</v>
      </c>
      <c r="AD24" s="53" t="n">
        <f aca="false">AC24/0.81</f>
        <v>1420.96913580247</v>
      </c>
      <c r="AE24" s="54" t="n">
        <f aca="false">AD24*0+0</f>
        <v>0</v>
      </c>
      <c r="AF24" s="55" t="n">
        <f aca="false">AD24+AE24</f>
        <v>1420.96913580247</v>
      </c>
      <c r="AG24" s="54" t="n">
        <f aca="false">AF24-(2_Market_Gross_USD!E22+35)</f>
        <v>154.969135802469</v>
      </c>
      <c r="AH24" s="64" t="n">
        <f aca="false">IFERROR(AF24/(2_Market_Gross_USD!E22+35),0)</f>
        <v>1.12240848009674</v>
      </c>
      <c r="AI24" s="63" t="n">
        <f aca="false">2_Market_Gross_USD!E22*(1-0.065)</f>
        <v>1150.985</v>
      </c>
      <c r="AJ24" s="53" t="n">
        <f aca="false">AI24/0.72</f>
        <v>1598.59027777778</v>
      </c>
      <c r="AK24" s="54" t="n">
        <f aca="false">AJ24*0.15+500</f>
        <v>739.788541666667</v>
      </c>
      <c r="AL24" s="55" t="n">
        <f aca="false">AJ24+AK24</f>
        <v>2338.37881944444</v>
      </c>
      <c r="AM24" s="54" t="n">
        <f aca="false">AL24-(2_Market_Gross_USD!E22+35)</f>
        <v>1072.37881944444</v>
      </c>
      <c r="AN24" s="64" t="n">
        <f aca="false">IFERROR(AL24/(2_Market_Gross_USD!E22+35),0)</f>
        <v>1.84706067886607</v>
      </c>
      <c r="AO24" s="63" t="n">
        <f aca="false">2_Market_Gross_USD!E22*(1-0.065)</f>
        <v>1150.985</v>
      </c>
      <c r="AP24" s="53" t="n">
        <f aca="false">AO24/0.7035</f>
        <v>1636.08386638237</v>
      </c>
      <c r="AQ24" s="54" t="n">
        <f aca="false">AP24*0.11+0</f>
        <v>179.969225302061</v>
      </c>
      <c r="AR24" s="55" t="n">
        <f aca="false">AP24+AQ24</f>
        <v>1816.05309168444</v>
      </c>
      <c r="AS24" s="54" t="n">
        <f aca="false">AR24-(2_Market_Gross_USD!E22+35)</f>
        <v>550.053091684435</v>
      </c>
      <c r="AT24" s="64" t="n">
        <f aca="false">IFERROR(AR24/(2_Market_Gross_USD!E22+35),0)</f>
        <v>1.43448111507459</v>
      </c>
      <c r="AU24" s="63" t="n">
        <f aca="false">2_Market_Gross_USD!E22*(1-0.065)</f>
        <v>1150.985</v>
      </c>
      <c r="AV24" s="53" t="n">
        <f aca="false">AU24/0.627</f>
        <v>1835.70175438597</v>
      </c>
      <c r="AW24" s="54" t="n">
        <f aca="false">AV24*0+0</f>
        <v>0</v>
      </c>
      <c r="AX24" s="55" t="n">
        <f aca="false">AV24+AW24</f>
        <v>1835.70175438597</v>
      </c>
      <c r="AY24" s="54" t="n">
        <f aca="false">AX24-(2_Market_Gross_USD!E22+35)</f>
        <v>569.701754385965</v>
      </c>
      <c r="AZ24" s="64" t="n">
        <f aca="false">IFERROR(AX24/(2_Market_Gross_USD!E22+35),0)</f>
        <v>1.4500013857709</v>
      </c>
      <c r="BA24" s="63" t="n">
        <f aca="false">2_Market_Gross_USD!E22*(1-0.065)</f>
        <v>1150.985</v>
      </c>
      <c r="BB24" s="53" t="n">
        <f aca="false">BA24/0.7035</f>
        <v>1636.08386638237</v>
      </c>
      <c r="BC24" s="54" t="n">
        <f aca="false">BB24*0.11+500</f>
        <v>679.969225302061</v>
      </c>
      <c r="BD24" s="55" t="n">
        <f aca="false">BB24+BC24</f>
        <v>2316.05309168444</v>
      </c>
      <c r="BE24" s="54" t="n">
        <f aca="false">BD24-(2_Market_Gross_USD!E22+35)</f>
        <v>1050.05309168444</v>
      </c>
      <c r="BF24" s="64" t="n">
        <f aca="false">IFERROR(BD24/(2_Market_Gross_USD!E22+35),0)</f>
        <v>1.82942582281551</v>
      </c>
      <c r="BG24" s="63" t="n">
        <f aca="false">2_Market_Gross_USD!E22*(1-0.065)</f>
        <v>1150.985</v>
      </c>
      <c r="BH24" s="53" t="n">
        <f aca="false">BG24/0.5215</f>
        <v>2207.06615532119</v>
      </c>
      <c r="BI24" s="54" t="n">
        <f aca="false">BH24*0.21+0</f>
        <v>463.48389261745</v>
      </c>
      <c r="BJ24" s="55" t="n">
        <f aca="false">BH24+BI24</f>
        <v>2670.55004793864</v>
      </c>
      <c r="BK24" s="54" t="n">
        <f aca="false">BJ24-(2_Market_Gross_USD!E22+35)</f>
        <v>1404.55004793864</v>
      </c>
      <c r="BL24" s="64" t="n">
        <f aca="false">IFERROR(BJ24/(2_Market_Gross_USD!E22+35),0)</f>
        <v>2.10943921638123</v>
      </c>
      <c r="BM24" s="63" t="n">
        <f aca="false">2_Market_Gross_USD!E22*(1-0.065)</f>
        <v>1150.985</v>
      </c>
      <c r="BN24" s="53" t="n">
        <f aca="false">BM24/0.75</f>
        <v>1534.64666666667</v>
      </c>
      <c r="BO24" s="54" t="n">
        <f aca="false">BN24*0+0</f>
        <v>0</v>
      </c>
      <c r="BP24" s="55" t="n">
        <f aca="false">BN24+BO24</f>
        <v>1534.64666666667</v>
      </c>
      <c r="BQ24" s="54" t="n">
        <f aca="false">BP24-(2_Market_Gross_USD!E22+35)</f>
        <v>268.646666666667</v>
      </c>
      <c r="BR24" s="64" t="n">
        <f aca="false">IFERROR(BP24/(2_Market_Gross_USD!E22+35),0)</f>
        <v>1.21220115850448</v>
      </c>
      <c r="BS24" s="63" t="n">
        <f aca="false">2_Market_Gross_USD!E22*(1-0.065)</f>
        <v>1150.985</v>
      </c>
      <c r="BT24" s="53" t="n">
        <f aca="false">BS24/0.5215</f>
        <v>2207.06615532119</v>
      </c>
      <c r="BU24" s="54" t="n">
        <f aca="false">BT24*0.21+500</f>
        <v>963.48389261745</v>
      </c>
      <c r="BV24" s="55" t="n">
        <f aca="false">BT24+BU24</f>
        <v>3170.55004793864</v>
      </c>
      <c r="BW24" s="54" t="n">
        <f aca="false">BV24-(2_Market_Gross_USD!E22+35)</f>
        <v>1904.55004793864</v>
      </c>
      <c r="BX24" s="64" t="n">
        <f aca="false">IFERROR(BV24/(2_Market_Gross_USD!E22+35),0)</f>
        <v>2.50438392412215</v>
      </c>
      <c r="BY24" s="63" t="n">
        <f aca="false">2_Market_Gross_USD!E22*(1-0.065)</f>
        <v>1150.985</v>
      </c>
      <c r="BZ24" s="53" t="n">
        <f aca="false">BY24/0.6303</f>
        <v>1826.0907504363</v>
      </c>
      <c r="CA24" s="54" t="n">
        <f aca="false">BZ24*0.2+0</f>
        <v>365.21815008726</v>
      </c>
      <c r="CB24" s="55" t="n">
        <f aca="false">BZ24+CA24</f>
        <v>2191.30890052356</v>
      </c>
      <c r="CC24" s="54" t="n">
        <f aca="false">CB24-(2_Market_Gross_USD!E22+35)</f>
        <v>925.308900523561</v>
      </c>
      <c r="CD24" s="64" t="n">
        <f aca="false">IFERROR(CB24/(2_Market_Gross_USD!E22+35),0)</f>
        <v>1.73089170657469</v>
      </c>
      <c r="CE24" s="63" t="n">
        <f aca="false">2_Market_Gross_USD!E22*(1-0.065)</f>
        <v>1150.985</v>
      </c>
      <c r="CF24" s="53" t="n">
        <f aca="false">CE24/0.6303</f>
        <v>1826.0907504363</v>
      </c>
      <c r="CG24" s="54" t="n">
        <f aca="false">CF24*0+0</f>
        <v>0</v>
      </c>
      <c r="CH24" s="55" t="n">
        <f aca="false">CF24+CG24</f>
        <v>1826.0907504363</v>
      </c>
      <c r="CI24" s="54" t="n">
        <f aca="false">CH24-(2_Market_Gross_USD!E22+35)</f>
        <v>560.0907504363</v>
      </c>
      <c r="CJ24" s="64" t="n">
        <f aca="false">IFERROR(CH24/(2_Market_Gross_USD!E22+35),0)</f>
        <v>1.44240975547891</v>
      </c>
      <c r="CK24" s="63" t="n">
        <f aca="false">2_Market_Gross_USD!E22*(1-0.065)</f>
        <v>1150.985</v>
      </c>
      <c r="CL24" s="53" t="n">
        <f aca="false">CK24/0.6303</f>
        <v>1826.0907504363</v>
      </c>
      <c r="CM24" s="54" t="n">
        <f aca="false">CL24*0.2+500</f>
        <v>865.21815008726</v>
      </c>
      <c r="CN24" s="55" t="n">
        <f aca="false">CL24+CM24</f>
        <v>2691.30890052356</v>
      </c>
      <c r="CO24" s="54" t="n">
        <f aca="false">CN24-(2_Market_Gross_USD!E22+35)</f>
        <v>1425.30890052356</v>
      </c>
      <c r="CP24" s="64" t="n">
        <f aca="false">IFERROR(CN24/(2_Market_Gross_USD!E22+35),0)</f>
        <v>2.12583641431561</v>
      </c>
      <c r="CQ24" s="63" t="n">
        <f aca="false">2_Market_Gross_USD!E22*(1-0.065)</f>
        <v>1150.985</v>
      </c>
      <c r="CR24" s="53" t="n">
        <f aca="false">CQ24/0.74</f>
        <v>1555.38513513514</v>
      </c>
      <c r="CS24" s="54" t="n">
        <f aca="false">CR24*0.338+0</f>
        <v>525.720175675676</v>
      </c>
      <c r="CT24" s="55" t="n">
        <f aca="false">CR24+CS24</f>
        <v>2081.10531081081</v>
      </c>
      <c r="CU24" s="54" t="n">
        <f aca="false">CT24-(2_Market_Gross_USD!E22+35)</f>
        <v>815.105310810811</v>
      </c>
      <c r="CV24" s="64" t="n">
        <f aca="false">IFERROR(CT24/(2_Market_Gross_USD!E22+35),0)</f>
        <v>1.64384305751249</v>
      </c>
      <c r="CW24" s="63" t="n">
        <f aca="false">2_Market_Gross_USD!E22*(1-0.065)</f>
        <v>1150.985</v>
      </c>
      <c r="CX24" s="53" t="n">
        <f aca="false">CW24/0.85</f>
        <v>1354.1</v>
      </c>
      <c r="CY24" s="54" t="n">
        <f aca="false">CX24*0+0</f>
        <v>0</v>
      </c>
      <c r="CZ24" s="55" t="n">
        <f aca="false">CX24+CY24</f>
        <v>1354.1</v>
      </c>
      <c r="DA24" s="54" t="n">
        <f aca="false">CZ24-(2_Market_Gross_USD!E22+35)</f>
        <v>88.1000000000001</v>
      </c>
      <c r="DB24" s="64" t="n">
        <f aca="false">IFERROR(CZ24/(2_Market_Gross_USD!E22+35),0)</f>
        <v>1.06958925750395</v>
      </c>
      <c r="DC24" s="63" t="n">
        <f aca="false">2_Market_Gross_USD!E22*(1-0.065)</f>
        <v>1150.985</v>
      </c>
      <c r="DD24" s="53" t="n">
        <f aca="false">DC24/0.74</f>
        <v>1555.38513513514</v>
      </c>
      <c r="DE24" s="54" t="n">
        <f aca="false">DD24*0.338+500</f>
        <v>1025.72017567568</v>
      </c>
      <c r="DF24" s="55" t="n">
        <f aca="false">DD24+DE24</f>
        <v>2581.10531081081</v>
      </c>
      <c r="DG24" s="54" t="n">
        <f aca="false">DF24-(2_Market_Gross_USD!E22+35)</f>
        <v>1315.10531081081</v>
      </c>
      <c r="DH24" s="64" t="n">
        <f aca="false">IFERROR(DF24/(2_Market_Gross_USD!E22+35),0)</f>
        <v>2.03878776525341</v>
      </c>
      <c r="DI24" s="63" t="n">
        <f aca="false">2_Market_Gross_USD!E22*(1-0.065)</f>
        <v>1150.985</v>
      </c>
      <c r="DJ24" s="53" t="n">
        <f aca="false">DI24/0.66</f>
        <v>1743.91666666667</v>
      </c>
      <c r="DK24" s="54" t="n">
        <f aca="false">DJ24*0.2375+0</f>
        <v>414.180208333333</v>
      </c>
      <c r="DL24" s="55" t="n">
        <f aca="false">DJ24+DK24</f>
        <v>2158.096875</v>
      </c>
      <c r="DM24" s="54" t="n">
        <f aca="false">DL24-(2_Market_Gross_USD!E22+35)</f>
        <v>892.096875</v>
      </c>
      <c r="DN24" s="64" t="n">
        <f aca="false">IFERROR(DL24/(2_Market_Gross_USD!E22+35),0)</f>
        <v>1.70465787914692</v>
      </c>
      <c r="DO24" s="63" t="n">
        <f aca="false">2_Market_Gross_USD!E22*(1-0.065)</f>
        <v>1150.985</v>
      </c>
      <c r="DP24" s="53" t="n">
        <f aca="false">DO24/0.8</f>
        <v>1438.73125</v>
      </c>
      <c r="DQ24" s="54" t="n">
        <f aca="false">DP24*0+0</f>
        <v>0</v>
      </c>
      <c r="DR24" s="55" t="n">
        <f aca="false">DP24+DQ24</f>
        <v>1438.73125</v>
      </c>
      <c r="DS24" s="54" t="n">
        <f aca="false">DR24-(2_Market_Gross_USD!E22+35)</f>
        <v>172.73125</v>
      </c>
      <c r="DT24" s="64" t="n">
        <f aca="false">IFERROR(DR24/(2_Market_Gross_USD!E22+35),0)</f>
        <v>1.13643858609795</v>
      </c>
      <c r="DU24" s="63" t="n">
        <f aca="false">2_Market_Gross_USD!E22*(1-0.065)</f>
        <v>1150.985</v>
      </c>
      <c r="DV24" s="53" t="n">
        <f aca="false">DU24/0.66</f>
        <v>1743.91666666667</v>
      </c>
      <c r="DW24" s="54" t="n">
        <f aca="false">DV24*0.2375+500</f>
        <v>914.180208333333</v>
      </c>
      <c r="DX24" s="55" t="n">
        <f aca="false">DV24+DW24</f>
        <v>2658.096875</v>
      </c>
      <c r="DY24" s="54" t="n">
        <f aca="false">DX24-(2_Market_Gross_USD!E22+35)</f>
        <v>1392.096875</v>
      </c>
      <c r="DZ24" s="64" t="n">
        <f aca="false">IFERROR(DX24/(2_Market_Gross_USD!E22+35),0)</f>
        <v>2.09960258688784</v>
      </c>
      <c r="EA24" s="63" t="n">
        <f aca="false">2_Market_Gross_USD!E22*(1-0.065)</f>
        <v>1150.985</v>
      </c>
      <c r="EB24" s="53" t="n">
        <f aca="false">EA24/0.65</f>
        <v>1770.74615384615</v>
      </c>
      <c r="EC24" s="54" t="n">
        <f aca="false">EB24*0.0225+0</f>
        <v>39.8417884615385</v>
      </c>
      <c r="ED24" s="55" t="n">
        <f aca="false">EB24+EC24</f>
        <v>1810.58794230769</v>
      </c>
      <c r="EE24" s="54" t="n">
        <f aca="false">ED24-(2_Market_Gross_USD!E22+35)</f>
        <v>544.587942307692</v>
      </c>
      <c r="EF24" s="64" t="n">
        <f aca="false">IFERROR(ED24/(2_Market_Gross_USD!E22+35),0)</f>
        <v>1.43016425142788</v>
      </c>
      <c r="EG24" s="63" t="n">
        <f aca="false">2_Market_Gross_USD!E22*(1-0.065)</f>
        <v>1150.985</v>
      </c>
      <c r="EH24" s="53" t="n">
        <f aca="false">EG24/0.99</f>
        <v>1162.61111111111</v>
      </c>
      <c r="EI24" s="54" t="n">
        <f aca="false">EH24*0+0</f>
        <v>0</v>
      </c>
      <c r="EJ24" s="55" t="n">
        <f aca="false">EH24+EI24</f>
        <v>1162.61111111111</v>
      </c>
      <c r="EK24" s="54" t="n">
        <f aca="false">EJ24-(2_Market_Gross_USD!E22+35)</f>
        <v>-103.388888888889</v>
      </c>
      <c r="EL24" s="64" t="n">
        <f aca="false">IFERROR(EJ24/(2_Market_Gross_USD!E22+35),0)</f>
        <v>0.91833421098824</v>
      </c>
      <c r="EM24" s="63" t="n">
        <f aca="false">2_Market_Gross_USD!E22*(1-0.065)</f>
        <v>1150.985</v>
      </c>
      <c r="EN24" s="53" t="n">
        <f aca="false">EM24/0.65</f>
        <v>1770.74615384615</v>
      </c>
      <c r="EO24" s="54" t="n">
        <f aca="false">EN24*0.0225+500</f>
        <v>539.841788461539</v>
      </c>
      <c r="EP24" s="55" t="n">
        <f aca="false">EN24+EO24</f>
        <v>2310.58794230769</v>
      </c>
      <c r="EQ24" s="54" t="n">
        <f aca="false">EP24-(2_Market_Gross_USD!E22+35)</f>
        <v>1044.58794230769</v>
      </c>
      <c r="ER24" s="64" t="n">
        <f aca="false">IFERROR(EP24/(2_Market_Gross_USD!E22+35),0)</f>
        <v>1.82510895916879</v>
      </c>
    </row>
    <row r="25" customFormat="false" ht="15" hidden="false" customHeight="false" outlineLevel="0" collapsed="false">
      <c r="A25" s="41" t="n">
        <v>20</v>
      </c>
      <c r="B25" s="28" t="s">
        <v>259</v>
      </c>
      <c r="C25" s="8" t="s">
        <v>260</v>
      </c>
      <c r="D25" s="65" t="s">
        <v>249</v>
      </c>
      <c r="E25" s="63" t="n">
        <f aca="false">2_Market_Gross_USD!E23*(1-0.065)</f>
        <v>3740</v>
      </c>
      <c r="F25" s="53" t="n">
        <f aca="false">E25/0.7429</f>
        <v>5034.32494279176</v>
      </c>
      <c r="G25" s="58" t="n">
        <f aca="false">F25*0.2038+0</f>
        <v>1025.99542334096</v>
      </c>
      <c r="H25" s="55" t="n">
        <f aca="false">F25+G25</f>
        <v>6060.32036613272</v>
      </c>
      <c r="I25" s="58" t="n">
        <f aca="false">H25-(2_Market_Gross_USD!E23+35)</f>
        <v>2025.32036613272</v>
      </c>
      <c r="J25" s="66" t="n">
        <f aca="false">IFERROR(H25/(2_Market_Gross_USD!E23+35),0)</f>
        <v>1.50193813287056</v>
      </c>
      <c r="K25" s="63" t="n">
        <f aca="false">2_Market_Gross_USD!E23*(1-0.065)</f>
        <v>3740</v>
      </c>
      <c r="L25" s="53" t="n">
        <f aca="false">K25/0.88</f>
        <v>4250</v>
      </c>
      <c r="M25" s="58" t="n">
        <f aca="false">L25*0+0</f>
        <v>0</v>
      </c>
      <c r="N25" s="55" t="n">
        <f aca="false">L25+M25</f>
        <v>4250</v>
      </c>
      <c r="O25" s="58" t="n">
        <f aca="false">N25-(2_Market_Gross_USD!E23+35)</f>
        <v>215</v>
      </c>
      <c r="P25" s="66" t="n">
        <f aca="false">IFERROR(N25/(2_Market_Gross_USD!E23+35),0)</f>
        <v>1.05328376703841</v>
      </c>
      <c r="Q25" s="63" t="n">
        <f aca="false">2_Market_Gross_USD!E23*(1-0.065)</f>
        <v>3740</v>
      </c>
      <c r="R25" s="53" t="n">
        <f aca="false">Q25/0.7429</f>
        <v>5034.32494279176</v>
      </c>
      <c r="S25" s="58" t="n">
        <f aca="false">R25*0.2038+500</f>
        <v>1525.99542334096</v>
      </c>
      <c r="T25" s="55" t="n">
        <f aca="false">R25+S25</f>
        <v>6560.32036613272</v>
      </c>
      <c r="U25" s="58" t="n">
        <f aca="false">T25-(2_Market_Gross_USD!E23+35)</f>
        <v>2525.32036613272</v>
      </c>
      <c r="V25" s="66" t="n">
        <f aca="false">IFERROR(T25/(2_Market_Gross_USD!E23+35),0)</f>
        <v>1.6258538701692</v>
      </c>
      <c r="W25" s="63" t="n">
        <f aca="false">2_Market_Gross_USD!E23*(1-0.065)</f>
        <v>3740</v>
      </c>
      <c r="X25" s="53" t="n">
        <f aca="false">W25/0.72</f>
        <v>5194.44444444444</v>
      </c>
      <c r="Y25" s="58" t="n">
        <f aca="false">X25*0.15+0</f>
        <v>779.166666666667</v>
      </c>
      <c r="Z25" s="55" t="n">
        <f aca="false">X25+Y25</f>
        <v>5973.61111111111</v>
      </c>
      <c r="AA25" s="58" t="n">
        <f aca="false">Z25-(2_Market_Gross_USD!E23+35)</f>
        <v>1938.61111111111</v>
      </c>
      <c r="AB25" s="66" t="n">
        <f aca="false">IFERROR(Z25/(2_Market_Gross_USD!E23+35),0)</f>
        <v>1.48044885033733</v>
      </c>
      <c r="AC25" s="63" t="n">
        <f aca="false">2_Market_Gross_USD!E23*(1-0.065)</f>
        <v>3740</v>
      </c>
      <c r="AD25" s="53" t="n">
        <f aca="false">AC25/0.81</f>
        <v>4617.28395061728</v>
      </c>
      <c r="AE25" s="58" t="n">
        <f aca="false">AD25*0+0</f>
        <v>0</v>
      </c>
      <c r="AF25" s="55" t="n">
        <f aca="false">AD25+AE25</f>
        <v>4617.28395061728</v>
      </c>
      <c r="AG25" s="58" t="n">
        <f aca="false">AF25-(2_Market_Gross_USD!E23+35)</f>
        <v>582.283950617284</v>
      </c>
      <c r="AH25" s="66" t="n">
        <f aca="false">IFERROR(AF25/(2_Market_Gross_USD!E23+35),0)</f>
        <v>1.14430829011581</v>
      </c>
      <c r="AI25" s="63" t="n">
        <f aca="false">2_Market_Gross_USD!E23*(1-0.065)</f>
        <v>3740</v>
      </c>
      <c r="AJ25" s="53" t="n">
        <f aca="false">AI25/0.72</f>
        <v>5194.44444444444</v>
      </c>
      <c r="AK25" s="58" t="n">
        <f aca="false">AJ25*0.15+500</f>
        <v>1279.16666666667</v>
      </c>
      <c r="AL25" s="55" t="n">
        <f aca="false">AJ25+AK25</f>
        <v>6473.61111111111</v>
      </c>
      <c r="AM25" s="58" t="n">
        <f aca="false">AL25-(2_Market_Gross_USD!E23+35)</f>
        <v>2438.61111111111</v>
      </c>
      <c r="AN25" s="66" t="n">
        <f aca="false">IFERROR(AL25/(2_Market_Gross_USD!E23+35),0)</f>
        <v>1.60436458763596</v>
      </c>
      <c r="AO25" s="63" t="n">
        <f aca="false">2_Market_Gross_USD!E23*(1-0.065)</f>
        <v>3740</v>
      </c>
      <c r="AP25" s="53" t="n">
        <f aca="false">AO25/0.7035</f>
        <v>5316.27576403696</v>
      </c>
      <c r="AQ25" s="58" t="n">
        <f aca="false">AP25*0.11+0</f>
        <v>584.790334044065</v>
      </c>
      <c r="AR25" s="55" t="n">
        <f aca="false">AP25+AQ25</f>
        <v>5901.06609808102</v>
      </c>
      <c r="AS25" s="58" t="n">
        <f aca="false">AR25-(2_Market_Gross_USD!E23+35)</f>
        <v>1866.06609808102</v>
      </c>
      <c r="AT25" s="66" t="n">
        <f aca="false">IFERROR(AR25/(2_Market_Gross_USD!E23+35),0)</f>
        <v>1.4624699127834</v>
      </c>
      <c r="AU25" s="63" t="n">
        <f aca="false">2_Market_Gross_USD!E23*(1-0.065)</f>
        <v>3740</v>
      </c>
      <c r="AV25" s="53" t="n">
        <f aca="false">AU25/0.627</f>
        <v>5964.91228070176</v>
      </c>
      <c r="AW25" s="58" t="n">
        <f aca="false">AV25*0+0</f>
        <v>0</v>
      </c>
      <c r="AX25" s="55" t="n">
        <f aca="false">AV25+AW25</f>
        <v>5964.91228070176</v>
      </c>
      <c r="AY25" s="58" t="n">
        <f aca="false">AX25-(2_Market_Gross_USD!E23+35)</f>
        <v>1929.91228070175</v>
      </c>
      <c r="AZ25" s="66" t="n">
        <f aca="false">IFERROR(AX25/(2_Market_Gross_USD!E23+35),0)</f>
        <v>1.4782930063697</v>
      </c>
      <c r="BA25" s="63" t="n">
        <f aca="false">2_Market_Gross_USD!E23*(1-0.065)</f>
        <v>3740</v>
      </c>
      <c r="BB25" s="53" t="n">
        <f aca="false">BA25/0.7035</f>
        <v>5316.27576403696</v>
      </c>
      <c r="BC25" s="58" t="n">
        <f aca="false">BB25*0.11+500</f>
        <v>1084.79033404407</v>
      </c>
      <c r="BD25" s="55" t="n">
        <f aca="false">BB25+BC25</f>
        <v>6401.06609808102</v>
      </c>
      <c r="BE25" s="58" t="n">
        <f aca="false">BD25-(2_Market_Gross_USD!E23+35)</f>
        <v>2366.06609808102</v>
      </c>
      <c r="BF25" s="66" t="n">
        <f aca="false">IFERROR(BD25/(2_Market_Gross_USD!E23+35),0)</f>
        <v>1.58638565008204</v>
      </c>
      <c r="BG25" s="63" t="n">
        <f aca="false">2_Market_Gross_USD!E23*(1-0.065)</f>
        <v>3740</v>
      </c>
      <c r="BH25" s="53" t="n">
        <f aca="false">BG25/0.5215</f>
        <v>7171.62032598274</v>
      </c>
      <c r="BI25" s="58" t="n">
        <f aca="false">BH25*0.21+0</f>
        <v>1506.04026845638</v>
      </c>
      <c r="BJ25" s="55" t="n">
        <f aca="false">BH25+BI25</f>
        <v>8677.66059443912</v>
      </c>
      <c r="BK25" s="58" t="n">
        <f aca="false">BJ25-(2_Market_Gross_USD!E23+35)</f>
        <v>4642.66059443912</v>
      </c>
      <c r="BL25" s="66" t="n">
        <f aca="false">IFERROR(BJ25/(2_Market_Gross_USD!E23+35),0)</f>
        <v>2.1505974211745</v>
      </c>
      <c r="BM25" s="63" t="n">
        <f aca="false">2_Market_Gross_USD!E23*(1-0.065)</f>
        <v>3740</v>
      </c>
      <c r="BN25" s="53" t="n">
        <f aca="false">BM25/0.75</f>
        <v>4986.66666666667</v>
      </c>
      <c r="BO25" s="58" t="n">
        <f aca="false">BN25*0+0</f>
        <v>0</v>
      </c>
      <c r="BP25" s="55" t="n">
        <f aca="false">BN25+BO25</f>
        <v>4986.66666666667</v>
      </c>
      <c r="BQ25" s="58" t="n">
        <f aca="false">BP25-(2_Market_Gross_USD!E23+35)</f>
        <v>951.666666666667</v>
      </c>
      <c r="BR25" s="66" t="n">
        <f aca="false">IFERROR(BP25/(2_Market_Gross_USD!E23+35),0)</f>
        <v>1.23585295332507</v>
      </c>
      <c r="BS25" s="63" t="n">
        <f aca="false">2_Market_Gross_USD!E23*(1-0.065)</f>
        <v>3740</v>
      </c>
      <c r="BT25" s="53" t="n">
        <f aca="false">BS25/0.5215</f>
        <v>7171.62032598274</v>
      </c>
      <c r="BU25" s="58" t="n">
        <f aca="false">BT25*0.21+500</f>
        <v>2006.04026845638</v>
      </c>
      <c r="BV25" s="55" t="n">
        <f aca="false">BT25+BU25</f>
        <v>9177.66059443912</v>
      </c>
      <c r="BW25" s="58" t="n">
        <f aca="false">BV25-(2_Market_Gross_USD!E23+35)</f>
        <v>5142.66059443912</v>
      </c>
      <c r="BX25" s="66" t="n">
        <f aca="false">IFERROR(BV25/(2_Market_Gross_USD!E23+35),0)</f>
        <v>2.27451315847314</v>
      </c>
      <c r="BY25" s="63" t="n">
        <f aca="false">2_Market_Gross_USD!E23*(1-0.065)</f>
        <v>3740</v>
      </c>
      <c r="BZ25" s="53" t="n">
        <f aca="false">BY25/0.6303</f>
        <v>5933.68237347295</v>
      </c>
      <c r="CA25" s="58" t="n">
        <f aca="false">BZ25*0.2+0</f>
        <v>1186.73647469459</v>
      </c>
      <c r="CB25" s="55" t="n">
        <f aca="false">BZ25+CA25</f>
        <v>7120.41884816754</v>
      </c>
      <c r="CC25" s="58" t="n">
        <f aca="false">CB25-(2_Market_Gross_USD!E23+35)</f>
        <v>3085.41884816754</v>
      </c>
      <c r="CD25" s="66" t="n">
        <f aca="false">IFERROR(CB25/(2_Market_Gross_USD!E23+35),0)</f>
        <v>1.76466390289158</v>
      </c>
      <c r="CE25" s="63" t="n">
        <f aca="false">2_Market_Gross_USD!E23*(1-0.065)</f>
        <v>3740</v>
      </c>
      <c r="CF25" s="53" t="n">
        <f aca="false">CE25/0.6303</f>
        <v>5933.68237347295</v>
      </c>
      <c r="CG25" s="58" t="n">
        <f aca="false">CF25*0+0</f>
        <v>0</v>
      </c>
      <c r="CH25" s="55" t="n">
        <f aca="false">CF25+CG25</f>
        <v>5933.68237347295</v>
      </c>
      <c r="CI25" s="58" t="n">
        <f aca="false">CH25-(2_Market_Gross_USD!E23+35)</f>
        <v>1898.68237347295</v>
      </c>
      <c r="CJ25" s="66" t="n">
        <f aca="false">IFERROR(CH25/(2_Market_Gross_USD!E23+35),0)</f>
        <v>1.47055325240965</v>
      </c>
      <c r="CK25" s="63" t="n">
        <f aca="false">2_Market_Gross_USD!E23*(1-0.065)</f>
        <v>3740</v>
      </c>
      <c r="CL25" s="53" t="n">
        <f aca="false">CK25/0.6303</f>
        <v>5933.68237347295</v>
      </c>
      <c r="CM25" s="58" t="n">
        <f aca="false">CL25*0.2+500</f>
        <v>1686.73647469459</v>
      </c>
      <c r="CN25" s="55" t="n">
        <f aca="false">CL25+CM25</f>
        <v>7620.41884816754</v>
      </c>
      <c r="CO25" s="58" t="n">
        <f aca="false">CN25-(2_Market_Gross_USD!E23+35)</f>
        <v>3585.41884816754</v>
      </c>
      <c r="CP25" s="66" t="n">
        <f aca="false">IFERROR(CN25/(2_Market_Gross_USD!E23+35),0)</f>
        <v>1.88857964019022</v>
      </c>
      <c r="CQ25" s="63" t="n">
        <f aca="false">2_Market_Gross_USD!E23*(1-0.065)</f>
        <v>3740</v>
      </c>
      <c r="CR25" s="53" t="n">
        <f aca="false">CQ25/0.74</f>
        <v>5054.05405405405</v>
      </c>
      <c r="CS25" s="58" t="n">
        <f aca="false">CR25*0.338+0</f>
        <v>1708.27027027027</v>
      </c>
      <c r="CT25" s="55" t="n">
        <f aca="false">CR25+CS25</f>
        <v>6762.32432432433</v>
      </c>
      <c r="CU25" s="58" t="n">
        <f aca="false">CT25-(2_Market_Gross_USD!E23+35)</f>
        <v>2727.32432432433</v>
      </c>
      <c r="CV25" s="66" t="n">
        <f aca="false">IFERROR(CT25/(2_Market_Gross_USD!E23+35),0)</f>
        <v>1.67591680900231</v>
      </c>
      <c r="CW25" s="63" t="n">
        <f aca="false">2_Market_Gross_USD!E23*(1-0.065)</f>
        <v>3740</v>
      </c>
      <c r="CX25" s="53" t="n">
        <f aca="false">CW25/0.85</f>
        <v>4400</v>
      </c>
      <c r="CY25" s="58" t="n">
        <f aca="false">CX25*0+0</f>
        <v>0</v>
      </c>
      <c r="CZ25" s="55" t="n">
        <f aca="false">CX25+CY25</f>
        <v>4400</v>
      </c>
      <c r="DA25" s="58" t="n">
        <f aca="false">CZ25-(2_Market_Gross_USD!E23+35)</f>
        <v>365</v>
      </c>
      <c r="DB25" s="66" t="n">
        <f aca="false">IFERROR(CZ25/(2_Market_Gross_USD!E23+35),0)</f>
        <v>1.09045848822801</v>
      </c>
      <c r="DC25" s="63" t="n">
        <f aca="false">2_Market_Gross_USD!E23*(1-0.065)</f>
        <v>3740</v>
      </c>
      <c r="DD25" s="53" t="n">
        <f aca="false">DC25/0.74</f>
        <v>5054.05405405405</v>
      </c>
      <c r="DE25" s="58" t="n">
        <f aca="false">DD25*0.338+500</f>
        <v>2208.27027027027</v>
      </c>
      <c r="DF25" s="55" t="n">
        <f aca="false">DD25+DE25</f>
        <v>7262.32432432433</v>
      </c>
      <c r="DG25" s="58" t="n">
        <f aca="false">DF25-(2_Market_Gross_USD!E23+35)</f>
        <v>3227.32432432433</v>
      </c>
      <c r="DH25" s="66" t="n">
        <f aca="false">IFERROR(DF25/(2_Market_Gross_USD!E23+35),0)</f>
        <v>1.79983254630095</v>
      </c>
      <c r="DI25" s="63" t="n">
        <f aca="false">2_Market_Gross_USD!E23*(1-0.065)</f>
        <v>3740</v>
      </c>
      <c r="DJ25" s="53" t="n">
        <f aca="false">DI25/0.66</f>
        <v>5666.66666666667</v>
      </c>
      <c r="DK25" s="58" t="n">
        <f aca="false">DJ25*0.2375+0</f>
        <v>1345.83333333333</v>
      </c>
      <c r="DL25" s="55" t="n">
        <f aca="false">DJ25+DK25</f>
        <v>7012.5</v>
      </c>
      <c r="DM25" s="58" t="n">
        <f aca="false">DL25-(2_Market_Gross_USD!E23+35)</f>
        <v>2977.5</v>
      </c>
      <c r="DN25" s="66" t="n">
        <f aca="false">IFERROR(DL25/(2_Market_Gross_USD!E23+35),0)</f>
        <v>1.73791821561338</v>
      </c>
      <c r="DO25" s="63" t="n">
        <f aca="false">2_Market_Gross_USD!E23*(1-0.065)</f>
        <v>3740</v>
      </c>
      <c r="DP25" s="53" t="n">
        <f aca="false">DO25/0.8</f>
        <v>4675</v>
      </c>
      <c r="DQ25" s="58" t="n">
        <f aca="false">DP25*0+0</f>
        <v>0</v>
      </c>
      <c r="DR25" s="55" t="n">
        <f aca="false">DP25+DQ25</f>
        <v>4675</v>
      </c>
      <c r="DS25" s="58" t="n">
        <f aca="false">DR25-(2_Market_Gross_USD!E23+35)</f>
        <v>640</v>
      </c>
      <c r="DT25" s="66" t="n">
        <f aca="false">IFERROR(DR25/(2_Market_Gross_USD!E23+35),0)</f>
        <v>1.15861214374226</v>
      </c>
      <c r="DU25" s="63" t="n">
        <f aca="false">2_Market_Gross_USD!E23*(1-0.065)</f>
        <v>3740</v>
      </c>
      <c r="DV25" s="53" t="n">
        <f aca="false">DU25/0.66</f>
        <v>5666.66666666667</v>
      </c>
      <c r="DW25" s="58" t="n">
        <f aca="false">DV25*0.2375+500</f>
        <v>1845.83333333333</v>
      </c>
      <c r="DX25" s="55" t="n">
        <f aca="false">DV25+DW25</f>
        <v>7512.5</v>
      </c>
      <c r="DY25" s="58" t="n">
        <f aca="false">DX25-(2_Market_Gross_USD!E23+35)</f>
        <v>3477.5</v>
      </c>
      <c r="DZ25" s="66" t="n">
        <f aca="false">IFERROR(DX25/(2_Market_Gross_USD!E23+35),0)</f>
        <v>1.86183395291202</v>
      </c>
      <c r="EA25" s="63" t="n">
        <f aca="false">2_Market_Gross_USD!E23*(1-0.065)</f>
        <v>3740</v>
      </c>
      <c r="EB25" s="53" t="n">
        <f aca="false">EA25/0.65</f>
        <v>5753.84615384615</v>
      </c>
      <c r="EC25" s="58" t="n">
        <f aca="false">EB25*0.0225+0</f>
        <v>129.461538461538</v>
      </c>
      <c r="ED25" s="55" t="n">
        <f aca="false">EB25+EC25</f>
        <v>5883.30769230769</v>
      </c>
      <c r="EE25" s="58" t="n">
        <f aca="false">ED25-(2_Market_Gross_USD!E23+35)</f>
        <v>1848.30769230769</v>
      </c>
      <c r="EF25" s="66" t="n">
        <f aca="false">IFERROR(ED25/(2_Market_Gross_USD!E23+35),0)</f>
        <v>1.4580688208941</v>
      </c>
      <c r="EG25" s="63" t="n">
        <f aca="false">2_Market_Gross_USD!E23*(1-0.065)</f>
        <v>3740</v>
      </c>
      <c r="EH25" s="53" t="n">
        <f aca="false">EG25/0.99</f>
        <v>3777.77777777778</v>
      </c>
      <c r="EI25" s="58" t="n">
        <f aca="false">EH25*0+0</f>
        <v>0</v>
      </c>
      <c r="EJ25" s="55" t="n">
        <f aca="false">EH25+EI25</f>
        <v>3777.77777777778</v>
      </c>
      <c r="EK25" s="58" t="n">
        <f aca="false">EJ25-(2_Market_Gross_USD!E23+35)</f>
        <v>-257.222222222222</v>
      </c>
      <c r="EL25" s="66" t="n">
        <f aca="false">IFERROR(EJ25/(2_Market_Gross_USD!E23+35),0)</f>
        <v>0.936252237367479</v>
      </c>
      <c r="EM25" s="63" t="n">
        <f aca="false">2_Market_Gross_USD!E23*(1-0.065)</f>
        <v>3740</v>
      </c>
      <c r="EN25" s="53" t="n">
        <f aca="false">EM25/0.65</f>
        <v>5753.84615384615</v>
      </c>
      <c r="EO25" s="58" t="n">
        <f aca="false">EN25*0.0225+500</f>
        <v>629.461538461539</v>
      </c>
      <c r="EP25" s="55" t="n">
        <f aca="false">EN25+EO25</f>
        <v>6383.30769230769</v>
      </c>
      <c r="EQ25" s="58" t="n">
        <f aca="false">EP25-(2_Market_Gross_USD!E23+35)</f>
        <v>2348.30769230769</v>
      </c>
      <c r="ER25" s="66" t="n">
        <f aca="false">IFERROR(EP25/(2_Market_Gross_USD!E23+35),0)</f>
        <v>1.58198455819274</v>
      </c>
    </row>
    <row r="26" customFormat="false" ht="15" hidden="false" customHeight="false" outlineLevel="0" collapsed="false">
      <c r="A26" s="37" t="n">
        <v>21</v>
      </c>
      <c r="B26" s="32" t="s">
        <v>259</v>
      </c>
      <c r="C26" s="32" t="s">
        <v>261</v>
      </c>
      <c r="D26" s="62" t="s">
        <v>248</v>
      </c>
      <c r="E26" s="63" t="n">
        <f aca="false">2_Market_Gross_USD!E24*(1-0.065)</f>
        <v>1402.5</v>
      </c>
      <c r="F26" s="53" t="n">
        <f aca="false">E26/0.7429</f>
        <v>1887.87185354691</v>
      </c>
      <c r="G26" s="54" t="n">
        <f aca="false">F26*0.2038+0</f>
        <v>384.74828375286</v>
      </c>
      <c r="H26" s="55" t="n">
        <f aca="false">F26+G26</f>
        <v>2272.62013729977</v>
      </c>
      <c r="I26" s="54" t="n">
        <f aca="false">H26-(2_Market_Gross_USD!E24+35)</f>
        <v>737.620137299771</v>
      </c>
      <c r="J26" s="64" t="n">
        <f aca="false">IFERROR(H26/(2_Market_Gross_USD!E24+35),0)</f>
        <v>1.4805342914005</v>
      </c>
      <c r="K26" s="63" t="n">
        <f aca="false">2_Market_Gross_USD!E24*(1-0.065)</f>
        <v>1402.5</v>
      </c>
      <c r="L26" s="53" t="n">
        <f aca="false">K26/0.88</f>
        <v>1593.75</v>
      </c>
      <c r="M26" s="54" t="n">
        <f aca="false">L26*0+0</f>
        <v>0</v>
      </c>
      <c r="N26" s="55" t="n">
        <f aca="false">L26+M26</f>
        <v>1593.75</v>
      </c>
      <c r="O26" s="54" t="n">
        <f aca="false">N26-(2_Market_Gross_USD!E24+35)</f>
        <v>58.75</v>
      </c>
      <c r="P26" s="64" t="n">
        <f aca="false">IFERROR(N26/(2_Market_Gross_USD!E24+35),0)</f>
        <v>1.03827361563518</v>
      </c>
      <c r="Q26" s="63" t="n">
        <f aca="false">2_Market_Gross_USD!E24*(1-0.065)</f>
        <v>1402.5</v>
      </c>
      <c r="R26" s="53" t="n">
        <f aca="false">Q26/0.7429</f>
        <v>1887.87185354691</v>
      </c>
      <c r="S26" s="54" t="n">
        <f aca="false">R26*0.2038+500</f>
        <v>884.74828375286</v>
      </c>
      <c r="T26" s="55" t="n">
        <f aca="false">R26+S26</f>
        <v>2772.62013729977</v>
      </c>
      <c r="U26" s="54" t="n">
        <f aca="false">T26-(2_Market_Gross_USD!E24+35)</f>
        <v>1237.62013729977</v>
      </c>
      <c r="V26" s="64" t="n">
        <f aca="false">IFERROR(T26/(2_Market_Gross_USD!E24+35),0)</f>
        <v>1.8062671904233</v>
      </c>
      <c r="W26" s="63" t="n">
        <f aca="false">2_Market_Gross_USD!E24*(1-0.065)</f>
        <v>1402.5</v>
      </c>
      <c r="X26" s="53" t="n">
        <f aca="false">W26/0.72</f>
        <v>1947.91666666667</v>
      </c>
      <c r="Y26" s="54" t="n">
        <f aca="false">X26*0.15+0</f>
        <v>292.1875</v>
      </c>
      <c r="Z26" s="55" t="n">
        <f aca="false">X26+Y26</f>
        <v>2240.10416666667</v>
      </c>
      <c r="AA26" s="54" t="n">
        <f aca="false">Z26-(2_Market_Gross_USD!E24+35)</f>
        <v>705.104166666667</v>
      </c>
      <c r="AB26" s="64" t="n">
        <f aca="false">IFERROR(Z26/(2_Market_Gross_USD!E24+35),0)</f>
        <v>1.45935124864278</v>
      </c>
      <c r="AC26" s="63" t="n">
        <f aca="false">2_Market_Gross_USD!E24*(1-0.065)</f>
        <v>1402.5</v>
      </c>
      <c r="AD26" s="53" t="n">
        <f aca="false">AC26/0.81</f>
        <v>1731.48148148148</v>
      </c>
      <c r="AE26" s="54" t="n">
        <f aca="false">AD26*0+0</f>
        <v>0</v>
      </c>
      <c r="AF26" s="55" t="n">
        <f aca="false">AD26+AE26</f>
        <v>1731.48148148148</v>
      </c>
      <c r="AG26" s="54" t="n">
        <f aca="false">AF26-(2_Market_Gross_USD!E24+35)</f>
        <v>196.481481481481</v>
      </c>
      <c r="AH26" s="64" t="n">
        <f aca="false">IFERROR(AF26/(2_Market_Gross_USD!E24+35),0)</f>
        <v>1.12800096513452</v>
      </c>
      <c r="AI26" s="63" t="n">
        <f aca="false">2_Market_Gross_USD!E24*(1-0.065)</f>
        <v>1402.5</v>
      </c>
      <c r="AJ26" s="53" t="n">
        <f aca="false">AI26/0.72</f>
        <v>1947.91666666667</v>
      </c>
      <c r="AK26" s="54" t="n">
        <f aca="false">AJ26*0.15+500</f>
        <v>792.1875</v>
      </c>
      <c r="AL26" s="55" t="n">
        <f aca="false">AJ26+AK26</f>
        <v>2740.10416666667</v>
      </c>
      <c r="AM26" s="54" t="n">
        <f aca="false">AL26-(2_Market_Gross_USD!E24+35)</f>
        <v>1205.10416666667</v>
      </c>
      <c r="AN26" s="64" t="n">
        <f aca="false">IFERROR(AL26/(2_Market_Gross_USD!E24+35),0)</f>
        <v>1.78508414766558</v>
      </c>
      <c r="AO26" s="63" t="n">
        <f aca="false">2_Market_Gross_USD!E24*(1-0.065)</f>
        <v>1402.5</v>
      </c>
      <c r="AP26" s="53" t="n">
        <f aca="false">AO26/0.7035</f>
        <v>1993.60341151386</v>
      </c>
      <c r="AQ26" s="54" t="n">
        <f aca="false">AP26*0.11+0</f>
        <v>219.296375266525</v>
      </c>
      <c r="AR26" s="55" t="n">
        <f aca="false">AP26+AQ26</f>
        <v>2212.89978678038</v>
      </c>
      <c r="AS26" s="54" t="n">
        <f aca="false">AR26-(2_Market_Gross_USD!E24+35)</f>
        <v>677.899786780384</v>
      </c>
      <c r="AT26" s="64" t="n">
        <f aca="false">IFERROR(AR26/(2_Market_Gross_USD!E24+35),0)</f>
        <v>1.44162852558983</v>
      </c>
      <c r="AU26" s="63" t="n">
        <f aca="false">2_Market_Gross_USD!E24*(1-0.065)</f>
        <v>1402.5</v>
      </c>
      <c r="AV26" s="53" t="n">
        <f aca="false">AU26/0.627</f>
        <v>2236.84210526316</v>
      </c>
      <c r="AW26" s="54" t="n">
        <f aca="false">AV26*0+0</f>
        <v>0</v>
      </c>
      <c r="AX26" s="55" t="n">
        <f aca="false">AV26+AW26</f>
        <v>2236.84210526316</v>
      </c>
      <c r="AY26" s="54" t="n">
        <f aca="false">AX26-(2_Market_Gross_USD!E24+35)</f>
        <v>701.842105263158</v>
      </c>
      <c r="AZ26" s="64" t="n">
        <f aca="false">IFERROR(AX26/(2_Market_Gross_USD!E24+35),0)</f>
        <v>1.45722612720727</v>
      </c>
      <c r="BA26" s="63" t="n">
        <f aca="false">2_Market_Gross_USD!E24*(1-0.065)</f>
        <v>1402.5</v>
      </c>
      <c r="BB26" s="53" t="n">
        <f aca="false">BA26/0.7035</f>
        <v>1993.60341151386</v>
      </c>
      <c r="BC26" s="54" t="n">
        <f aca="false">BB26*0.11+500</f>
        <v>719.296375266525</v>
      </c>
      <c r="BD26" s="55" t="n">
        <f aca="false">BB26+BC26</f>
        <v>2712.89978678038</v>
      </c>
      <c r="BE26" s="54" t="n">
        <f aca="false">BD26-(2_Market_Gross_USD!E24+35)</f>
        <v>1177.89978678038</v>
      </c>
      <c r="BF26" s="64" t="n">
        <f aca="false">IFERROR(BD26/(2_Market_Gross_USD!E24+35),0)</f>
        <v>1.76736142461263</v>
      </c>
      <c r="BG26" s="63" t="n">
        <f aca="false">2_Market_Gross_USD!E24*(1-0.065)</f>
        <v>1402.5</v>
      </c>
      <c r="BH26" s="53" t="n">
        <f aca="false">BG26/0.5215</f>
        <v>2689.35762224353</v>
      </c>
      <c r="BI26" s="54" t="n">
        <f aca="false">BH26*0.21+0</f>
        <v>564.765100671141</v>
      </c>
      <c r="BJ26" s="55" t="n">
        <f aca="false">BH26+BI26</f>
        <v>3254.12272291467</v>
      </c>
      <c r="BK26" s="54" t="n">
        <f aca="false">BJ26-(2_Market_Gross_USD!E24+35)</f>
        <v>1719.12272291467</v>
      </c>
      <c r="BL26" s="64" t="n">
        <f aca="false">IFERROR(BJ26/(2_Market_Gross_USD!E24+35),0)</f>
        <v>2.11994965662193</v>
      </c>
      <c r="BM26" s="63" t="n">
        <f aca="false">2_Market_Gross_USD!E24*(1-0.065)</f>
        <v>1402.5</v>
      </c>
      <c r="BN26" s="53" t="n">
        <f aca="false">BM26/0.75</f>
        <v>1870</v>
      </c>
      <c r="BO26" s="54" t="n">
        <f aca="false">BN26*0+0</f>
        <v>0</v>
      </c>
      <c r="BP26" s="55" t="n">
        <f aca="false">BN26+BO26</f>
        <v>1870</v>
      </c>
      <c r="BQ26" s="54" t="n">
        <f aca="false">BP26-(2_Market_Gross_USD!E24+35)</f>
        <v>335</v>
      </c>
      <c r="BR26" s="64" t="n">
        <f aca="false">IFERROR(BP26/(2_Market_Gross_USD!E24+35),0)</f>
        <v>1.21824104234528</v>
      </c>
      <c r="BS26" s="63" t="n">
        <f aca="false">2_Market_Gross_USD!E24*(1-0.065)</f>
        <v>1402.5</v>
      </c>
      <c r="BT26" s="53" t="n">
        <f aca="false">BS26/0.5215</f>
        <v>2689.35762224353</v>
      </c>
      <c r="BU26" s="54" t="n">
        <f aca="false">BT26*0.21+500</f>
        <v>1064.76510067114</v>
      </c>
      <c r="BV26" s="55" t="n">
        <f aca="false">BT26+BU26</f>
        <v>3754.12272291467</v>
      </c>
      <c r="BW26" s="54" t="n">
        <f aca="false">BV26-(2_Market_Gross_USD!E24+35)</f>
        <v>2219.12272291467</v>
      </c>
      <c r="BX26" s="64" t="n">
        <f aca="false">IFERROR(BV26/(2_Market_Gross_USD!E24+35),0)</f>
        <v>2.44568255564474</v>
      </c>
      <c r="BY26" s="63" t="n">
        <f aca="false">2_Market_Gross_USD!E24*(1-0.065)</f>
        <v>1402.5</v>
      </c>
      <c r="BZ26" s="53" t="n">
        <f aca="false">BY26/0.6303</f>
        <v>2225.13089005236</v>
      </c>
      <c r="CA26" s="54" t="n">
        <f aca="false">BZ26*0.2+0</f>
        <v>445.026178010471</v>
      </c>
      <c r="CB26" s="55" t="n">
        <f aca="false">BZ26+CA26</f>
        <v>2670.15706806283</v>
      </c>
      <c r="CC26" s="54" t="n">
        <f aca="false">CB26-(2_Market_Gross_USD!E24+35)</f>
        <v>1135.15706806283</v>
      </c>
      <c r="CD26" s="64" t="n">
        <f aca="false">IFERROR(CB26/(2_Market_Gross_USD!E24+35),0)</f>
        <v>1.73951600525266</v>
      </c>
      <c r="CE26" s="63" t="n">
        <f aca="false">2_Market_Gross_USD!E24*(1-0.065)</f>
        <v>1402.5</v>
      </c>
      <c r="CF26" s="53" t="n">
        <f aca="false">CE26/0.6303</f>
        <v>2225.13089005236</v>
      </c>
      <c r="CG26" s="54" t="n">
        <f aca="false">CF26*0+0</f>
        <v>0</v>
      </c>
      <c r="CH26" s="55" t="n">
        <f aca="false">CF26+CG26</f>
        <v>2225.13089005236</v>
      </c>
      <c r="CI26" s="54" t="n">
        <f aca="false">CH26-(2_Market_Gross_USD!E24+35)</f>
        <v>690.130890052356</v>
      </c>
      <c r="CJ26" s="64" t="n">
        <f aca="false">IFERROR(CH26/(2_Market_Gross_USD!E24+35),0)</f>
        <v>1.44959667104388</v>
      </c>
      <c r="CK26" s="63" t="n">
        <f aca="false">2_Market_Gross_USD!E24*(1-0.065)</f>
        <v>1402.5</v>
      </c>
      <c r="CL26" s="53" t="n">
        <f aca="false">CK26/0.6303</f>
        <v>2225.13089005236</v>
      </c>
      <c r="CM26" s="54" t="n">
        <f aca="false">CL26*0.2+500</f>
        <v>945.026178010471</v>
      </c>
      <c r="CN26" s="55" t="n">
        <f aca="false">CL26+CM26</f>
        <v>3170.15706806283</v>
      </c>
      <c r="CO26" s="54" t="n">
        <f aca="false">CN26-(2_Market_Gross_USD!E24+35)</f>
        <v>1635.15706806283</v>
      </c>
      <c r="CP26" s="64" t="n">
        <f aca="false">IFERROR(CN26/(2_Market_Gross_USD!E24+35),0)</f>
        <v>2.06524890427546</v>
      </c>
      <c r="CQ26" s="63" t="n">
        <f aca="false">2_Market_Gross_USD!E24*(1-0.065)</f>
        <v>1402.5</v>
      </c>
      <c r="CR26" s="53" t="n">
        <f aca="false">CQ26/0.74</f>
        <v>1895.27027027027</v>
      </c>
      <c r="CS26" s="54" t="n">
        <f aca="false">CR26*0.338+0</f>
        <v>640.601351351351</v>
      </c>
      <c r="CT26" s="55" t="n">
        <f aca="false">CR26+CS26</f>
        <v>2535.87162162162</v>
      </c>
      <c r="CU26" s="54" t="n">
        <f aca="false">CT26-(2_Market_Gross_USD!E24+35)</f>
        <v>1000.87162162162</v>
      </c>
      <c r="CV26" s="64" t="n">
        <f aca="false">IFERROR(CT26/(2_Market_Gross_USD!E24+35),0)</f>
        <v>1.65203362972093</v>
      </c>
      <c r="CW26" s="63" t="n">
        <f aca="false">2_Market_Gross_USD!E24*(1-0.065)</f>
        <v>1402.5</v>
      </c>
      <c r="CX26" s="53" t="n">
        <f aca="false">CW26/0.85</f>
        <v>1650</v>
      </c>
      <c r="CY26" s="54" t="n">
        <f aca="false">CX26*0+0</f>
        <v>0</v>
      </c>
      <c r="CZ26" s="55" t="n">
        <f aca="false">CX26+CY26</f>
        <v>1650</v>
      </c>
      <c r="DA26" s="54" t="n">
        <f aca="false">CZ26-(2_Market_Gross_USD!E24+35)</f>
        <v>115</v>
      </c>
      <c r="DB26" s="64" t="n">
        <f aca="false">IFERROR(CZ26/(2_Market_Gross_USD!E24+35),0)</f>
        <v>1.07491856677524</v>
      </c>
      <c r="DC26" s="63" t="n">
        <f aca="false">2_Market_Gross_USD!E24*(1-0.065)</f>
        <v>1402.5</v>
      </c>
      <c r="DD26" s="53" t="n">
        <f aca="false">DC26/0.74</f>
        <v>1895.27027027027</v>
      </c>
      <c r="DE26" s="54" t="n">
        <f aca="false">DD26*0.338+500</f>
        <v>1140.60135135135</v>
      </c>
      <c r="DF26" s="55" t="n">
        <f aca="false">DD26+DE26</f>
        <v>3035.87162162162</v>
      </c>
      <c r="DG26" s="54" t="n">
        <f aca="false">DF26-(2_Market_Gross_USD!E24+35)</f>
        <v>1500.87162162162</v>
      </c>
      <c r="DH26" s="64" t="n">
        <f aca="false">IFERROR(DF26/(2_Market_Gross_USD!E24+35),0)</f>
        <v>1.97776652874373</v>
      </c>
      <c r="DI26" s="63" t="n">
        <f aca="false">2_Market_Gross_USD!E24*(1-0.065)</f>
        <v>1402.5</v>
      </c>
      <c r="DJ26" s="53" t="n">
        <f aca="false">DI26/0.66</f>
        <v>2125</v>
      </c>
      <c r="DK26" s="54" t="n">
        <f aca="false">DJ26*0.2375+0</f>
        <v>504.6875</v>
      </c>
      <c r="DL26" s="55" t="n">
        <f aca="false">DJ26+DK26</f>
        <v>2629.6875</v>
      </c>
      <c r="DM26" s="54" t="n">
        <f aca="false">DL26-(2_Market_Gross_USD!E24+35)</f>
        <v>1094.6875</v>
      </c>
      <c r="DN26" s="64" t="n">
        <f aca="false">IFERROR(DL26/(2_Market_Gross_USD!E24+35),0)</f>
        <v>1.71315146579805</v>
      </c>
      <c r="DO26" s="63" t="n">
        <f aca="false">2_Market_Gross_USD!E24*(1-0.065)</f>
        <v>1402.5</v>
      </c>
      <c r="DP26" s="53" t="n">
        <f aca="false">DO26/0.8</f>
        <v>1753.125</v>
      </c>
      <c r="DQ26" s="54" t="n">
        <f aca="false">DP26*0+0</f>
        <v>0</v>
      </c>
      <c r="DR26" s="55" t="n">
        <f aca="false">DP26+DQ26</f>
        <v>1753.125</v>
      </c>
      <c r="DS26" s="54" t="n">
        <f aca="false">DR26-(2_Market_Gross_USD!E24+35)</f>
        <v>218.125</v>
      </c>
      <c r="DT26" s="64" t="n">
        <f aca="false">IFERROR(DR26/(2_Market_Gross_USD!E24+35),0)</f>
        <v>1.1421009771987</v>
      </c>
      <c r="DU26" s="63" t="n">
        <f aca="false">2_Market_Gross_USD!E24*(1-0.065)</f>
        <v>1402.5</v>
      </c>
      <c r="DV26" s="53" t="n">
        <f aca="false">DU26/0.66</f>
        <v>2125</v>
      </c>
      <c r="DW26" s="54" t="n">
        <f aca="false">DV26*0.2375+500</f>
        <v>1004.6875</v>
      </c>
      <c r="DX26" s="55" t="n">
        <f aca="false">DV26+DW26</f>
        <v>3129.6875</v>
      </c>
      <c r="DY26" s="54" t="n">
        <f aca="false">DX26-(2_Market_Gross_USD!E24+35)</f>
        <v>1594.6875</v>
      </c>
      <c r="DZ26" s="64" t="n">
        <f aca="false">IFERROR(DX26/(2_Market_Gross_USD!E24+35),0)</f>
        <v>2.03888436482085</v>
      </c>
      <c r="EA26" s="63" t="n">
        <f aca="false">2_Market_Gross_USD!E24*(1-0.065)</f>
        <v>1402.5</v>
      </c>
      <c r="EB26" s="53" t="n">
        <f aca="false">EA26/0.65</f>
        <v>2157.69230769231</v>
      </c>
      <c r="EC26" s="54" t="n">
        <f aca="false">EB26*0.0225+0</f>
        <v>48.5480769230769</v>
      </c>
      <c r="ED26" s="55" t="n">
        <f aca="false">EB26+EC26</f>
        <v>2206.24038461538</v>
      </c>
      <c r="EE26" s="54" t="n">
        <f aca="false">ED26-(2_Market_Gross_USD!E24+35)</f>
        <v>671.240384615385</v>
      </c>
      <c r="EF26" s="64" t="n">
        <f aca="false">IFERROR(ED26/(2_Market_Gross_USD!E24+35),0)</f>
        <v>1.4372901528439</v>
      </c>
      <c r="EG26" s="63" t="n">
        <f aca="false">2_Market_Gross_USD!E24*(1-0.065)</f>
        <v>1402.5</v>
      </c>
      <c r="EH26" s="53" t="n">
        <f aca="false">EG26/0.99</f>
        <v>1416.66666666667</v>
      </c>
      <c r="EI26" s="54" t="n">
        <f aca="false">EH26*0+0</f>
        <v>0</v>
      </c>
      <c r="EJ26" s="55" t="n">
        <f aca="false">EH26+EI26</f>
        <v>1416.66666666667</v>
      </c>
      <c r="EK26" s="54" t="n">
        <f aca="false">EJ26-(2_Market_Gross_USD!E24+35)</f>
        <v>-118.333333333333</v>
      </c>
      <c r="EL26" s="64" t="n">
        <f aca="false">IFERROR(EJ26/(2_Market_Gross_USD!E24+35),0)</f>
        <v>0.922909880564604</v>
      </c>
      <c r="EM26" s="63" t="n">
        <f aca="false">2_Market_Gross_USD!E24*(1-0.065)</f>
        <v>1402.5</v>
      </c>
      <c r="EN26" s="53" t="n">
        <f aca="false">EM26/0.65</f>
        <v>2157.69230769231</v>
      </c>
      <c r="EO26" s="54" t="n">
        <f aca="false">EN26*0.0225+500</f>
        <v>548.548076923077</v>
      </c>
      <c r="EP26" s="55" t="n">
        <f aca="false">EN26+EO26</f>
        <v>2706.24038461538</v>
      </c>
      <c r="EQ26" s="54" t="n">
        <f aca="false">EP26-(2_Market_Gross_USD!E24+35)</f>
        <v>1171.24038461538</v>
      </c>
      <c r="ER26" s="64" t="n">
        <f aca="false">IFERROR(EP26/(2_Market_Gross_USD!E24+35),0)</f>
        <v>1.7630230518667</v>
      </c>
    </row>
    <row r="27" customFormat="false" ht="15" hidden="false" customHeight="false" outlineLevel="0" collapsed="false">
      <c r="A27" s="41" t="n">
        <v>22</v>
      </c>
      <c r="B27" s="28" t="s">
        <v>259</v>
      </c>
      <c r="C27" s="8" t="s">
        <v>261</v>
      </c>
      <c r="D27" s="65" t="s">
        <v>249</v>
      </c>
      <c r="E27" s="63" t="n">
        <f aca="false">2_Market_Gross_USD!E25*(1-0.065)</f>
        <v>4441.25</v>
      </c>
      <c r="F27" s="53" t="n">
        <f aca="false">E27/0.7429</f>
        <v>5978.26086956522</v>
      </c>
      <c r="G27" s="58" t="n">
        <f aca="false">F27*0.2038+0</f>
        <v>1218.36956521739</v>
      </c>
      <c r="H27" s="55" t="n">
        <f aca="false">F27+G27</f>
        <v>7196.63043478261</v>
      </c>
      <c r="I27" s="58" t="n">
        <f aca="false">H27-(2_Market_Gross_USD!E25+35)</f>
        <v>2411.63043478261</v>
      </c>
      <c r="J27" s="66" t="n">
        <f aca="false">IFERROR(H27/(2_Market_Gross_USD!E25+35),0)</f>
        <v>1.5039980009995</v>
      </c>
      <c r="K27" s="63" t="n">
        <f aca="false">2_Market_Gross_USD!E25*(1-0.065)</f>
        <v>4441.25</v>
      </c>
      <c r="L27" s="53" t="n">
        <f aca="false">K27/0.88</f>
        <v>5046.875</v>
      </c>
      <c r="M27" s="58" t="n">
        <f aca="false">L27*0+0</f>
        <v>0</v>
      </c>
      <c r="N27" s="55" t="n">
        <f aca="false">L27+M27</f>
        <v>5046.875</v>
      </c>
      <c r="O27" s="58" t="n">
        <f aca="false">N27-(2_Market_Gross_USD!E25+35)</f>
        <v>261.875</v>
      </c>
      <c r="P27" s="66" t="n">
        <f aca="false">IFERROR(N27/(2_Market_Gross_USD!E25+35),0)</f>
        <v>1.05472831765935</v>
      </c>
      <c r="Q27" s="63" t="n">
        <f aca="false">2_Market_Gross_USD!E25*(1-0.065)</f>
        <v>4441.25</v>
      </c>
      <c r="R27" s="53" t="n">
        <f aca="false">Q27/0.7429</f>
        <v>5978.26086956522</v>
      </c>
      <c r="S27" s="58" t="n">
        <f aca="false">R27*0.2038+500</f>
        <v>1718.36956521739</v>
      </c>
      <c r="T27" s="55" t="n">
        <f aca="false">R27+S27</f>
        <v>7696.63043478261</v>
      </c>
      <c r="U27" s="58" t="n">
        <f aca="false">T27-(2_Market_Gross_USD!E25+35)</f>
        <v>2911.63043478261</v>
      </c>
      <c r="V27" s="66" t="n">
        <f aca="false">IFERROR(T27/(2_Market_Gross_USD!E25+35),0)</f>
        <v>1.60849120894098</v>
      </c>
      <c r="W27" s="63" t="n">
        <f aca="false">2_Market_Gross_USD!E25*(1-0.065)</f>
        <v>4441.25</v>
      </c>
      <c r="X27" s="53" t="n">
        <f aca="false">W27/0.72</f>
        <v>6168.40277777778</v>
      </c>
      <c r="Y27" s="58" t="n">
        <f aca="false">X27*0.15+0</f>
        <v>925.260416666667</v>
      </c>
      <c r="Z27" s="55" t="n">
        <f aca="false">X27+Y27</f>
        <v>7093.66319444445</v>
      </c>
      <c r="AA27" s="58" t="n">
        <f aca="false">Z27-(2_Market_Gross_USD!E25+35)</f>
        <v>2308.66319444445</v>
      </c>
      <c r="AB27" s="66" t="n">
        <f aca="false">IFERROR(Z27/(2_Market_Gross_USD!E25+35),0)</f>
        <v>1.48247924648787</v>
      </c>
      <c r="AC27" s="63" t="n">
        <f aca="false">2_Market_Gross_USD!E25*(1-0.065)</f>
        <v>4441.25</v>
      </c>
      <c r="AD27" s="53" t="n">
        <f aca="false">AC27/0.81</f>
        <v>5483.02469135802</v>
      </c>
      <c r="AE27" s="58" t="n">
        <f aca="false">AD27*0+0</f>
        <v>0</v>
      </c>
      <c r="AF27" s="55" t="n">
        <f aca="false">AD27+AE27</f>
        <v>5483.02469135802</v>
      </c>
      <c r="AG27" s="58" t="n">
        <f aca="false">AF27-(2_Market_Gross_USD!E25+35)</f>
        <v>698.024691358024</v>
      </c>
      <c r="AH27" s="66" t="n">
        <f aca="false">IFERROR(AF27/(2_Market_Gross_USD!E25+35),0)</f>
        <v>1.14587767844473</v>
      </c>
      <c r="AI27" s="63" t="n">
        <f aca="false">2_Market_Gross_USD!E25*(1-0.065)</f>
        <v>4441.25</v>
      </c>
      <c r="AJ27" s="53" t="n">
        <f aca="false">AI27/0.72</f>
        <v>6168.40277777778</v>
      </c>
      <c r="AK27" s="58" t="n">
        <f aca="false">AJ27*0.15+500</f>
        <v>1425.26041666667</v>
      </c>
      <c r="AL27" s="55" t="n">
        <f aca="false">AJ27+AK27</f>
        <v>7593.66319444445</v>
      </c>
      <c r="AM27" s="58" t="n">
        <f aca="false">AL27-(2_Market_Gross_USD!E25+35)</f>
        <v>2808.66319444445</v>
      </c>
      <c r="AN27" s="66" t="n">
        <f aca="false">IFERROR(AL27/(2_Market_Gross_USD!E25+35),0)</f>
        <v>1.58697245442935</v>
      </c>
      <c r="AO27" s="63" t="n">
        <f aca="false">2_Market_Gross_USD!E25*(1-0.065)</f>
        <v>4441.25</v>
      </c>
      <c r="AP27" s="53" t="n">
        <f aca="false">AO27/0.7035</f>
        <v>6313.07746979389</v>
      </c>
      <c r="AQ27" s="58" t="n">
        <f aca="false">AP27*0.11+0</f>
        <v>694.438521677328</v>
      </c>
      <c r="AR27" s="55" t="n">
        <f aca="false">AP27+AQ27</f>
        <v>7007.51599147122</v>
      </c>
      <c r="AS27" s="58" t="n">
        <f aca="false">AR27-(2_Market_Gross_USD!E25+35)</f>
        <v>2222.51599147122</v>
      </c>
      <c r="AT27" s="66" t="n">
        <f aca="false">IFERROR(AR27/(2_Market_Gross_USD!E25+35),0)</f>
        <v>1.46447565130015</v>
      </c>
      <c r="AU27" s="63" t="n">
        <f aca="false">2_Market_Gross_USD!E25*(1-0.065)</f>
        <v>4441.25</v>
      </c>
      <c r="AV27" s="53" t="n">
        <f aca="false">AU27/0.627</f>
        <v>7083.33333333333</v>
      </c>
      <c r="AW27" s="58" t="n">
        <f aca="false">AV27*0+0</f>
        <v>0</v>
      </c>
      <c r="AX27" s="55" t="n">
        <f aca="false">AV27+AW27</f>
        <v>7083.33333333333</v>
      </c>
      <c r="AY27" s="58" t="n">
        <f aca="false">AX27-(2_Market_Gross_USD!E25+35)</f>
        <v>2298.33333333333</v>
      </c>
      <c r="AZ27" s="66" t="n">
        <f aca="false">IFERROR(AX27/(2_Market_Gross_USD!E25+35),0)</f>
        <v>1.48032044583769</v>
      </c>
      <c r="BA27" s="63" t="n">
        <f aca="false">2_Market_Gross_USD!E25*(1-0.065)</f>
        <v>4441.25</v>
      </c>
      <c r="BB27" s="53" t="n">
        <f aca="false">BA27/0.7035</f>
        <v>6313.07746979389</v>
      </c>
      <c r="BC27" s="58" t="n">
        <f aca="false">BB27*0.11+500</f>
        <v>1194.43852167733</v>
      </c>
      <c r="BD27" s="55" t="n">
        <f aca="false">BB27+BC27</f>
        <v>7507.51599147122</v>
      </c>
      <c r="BE27" s="58" t="n">
        <f aca="false">BD27-(2_Market_Gross_USD!E25+35)</f>
        <v>2722.51599147122</v>
      </c>
      <c r="BF27" s="66" t="n">
        <f aca="false">IFERROR(BD27/(2_Market_Gross_USD!E25+35),0)</f>
        <v>1.56896885924163</v>
      </c>
      <c r="BG27" s="63" t="n">
        <f aca="false">2_Market_Gross_USD!E25*(1-0.065)</f>
        <v>4441.25</v>
      </c>
      <c r="BH27" s="53" t="n">
        <f aca="false">BG27/0.5215</f>
        <v>8516.29913710451</v>
      </c>
      <c r="BI27" s="58" t="n">
        <f aca="false">BH27*0.21+0</f>
        <v>1788.42281879195</v>
      </c>
      <c r="BJ27" s="55" t="n">
        <f aca="false">BH27+BI27</f>
        <v>10304.7219558965</v>
      </c>
      <c r="BK27" s="58" t="n">
        <f aca="false">BJ27-(2_Market_Gross_USD!E25+35)</f>
        <v>5519.72195589645</v>
      </c>
      <c r="BL27" s="66" t="n">
        <f aca="false">IFERROR(BJ27/(2_Market_Gross_USD!E25+35),0)</f>
        <v>2.15354690823332</v>
      </c>
      <c r="BM27" s="63" t="n">
        <f aca="false">2_Market_Gross_USD!E25*(1-0.065)</f>
        <v>4441.25</v>
      </c>
      <c r="BN27" s="53" t="n">
        <f aca="false">BM27/0.75</f>
        <v>5921.66666666667</v>
      </c>
      <c r="BO27" s="58" t="n">
        <f aca="false">BN27*0+0</f>
        <v>0</v>
      </c>
      <c r="BP27" s="55" t="n">
        <f aca="false">BN27+BO27</f>
        <v>5921.66666666667</v>
      </c>
      <c r="BQ27" s="58" t="n">
        <f aca="false">BP27-(2_Market_Gross_USD!E25+35)</f>
        <v>1136.66666666667</v>
      </c>
      <c r="BR27" s="66" t="n">
        <f aca="false">IFERROR(BP27/(2_Market_Gross_USD!E25+35),0)</f>
        <v>1.23754789272031</v>
      </c>
      <c r="BS27" s="63" t="n">
        <f aca="false">2_Market_Gross_USD!E25*(1-0.065)</f>
        <v>4441.25</v>
      </c>
      <c r="BT27" s="53" t="n">
        <f aca="false">BS27/0.5215</f>
        <v>8516.29913710451</v>
      </c>
      <c r="BU27" s="58" t="n">
        <f aca="false">BT27*0.21+500</f>
        <v>2288.42281879195</v>
      </c>
      <c r="BV27" s="55" t="n">
        <f aca="false">BT27+BU27</f>
        <v>10804.7219558965</v>
      </c>
      <c r="BW27" s="58" t="n">
        <f aca="false">BV27-(2_Market_Gross_USD!E25+35)</f>
        <v>6019.72195589645</v>
      </c>
      <c r="BX27" s="66" t="n">
        <f aca="false">IFERROR(BV27/(2_Market_Gross_USD!E25+35),0)</f>
        <v>2.25804011617481</v>
      </c>
      <c r="BY27" s="63" t="n">
        <f aca="false">2_Market_Gross_USD!E25*(1-0.065)</f>
        <v>4441.25</v>
      </c>
      <c r="BZ27" s="53" t="n">
        <f aca="false">BY27/0.6303</f>
        <v>7046.24781849913</v>
      </c>
      <c r="CA27" s="58" t="n">
        <f aca="false">BZ27*0.2+0</f>
        <v>1409.24956369983</v>
      </c>
      <c r="CB27" s="55" t="n">
        <f aca="false">BZ27+CA27</f>
        <v>8455.49738219895</v>
      </c>
      <c r="CC27" s="58" t="n">
        <f aca="false">CB27-(2_Market_Gross_USD!E25+35)</f>
        <v>3670.49738219895</v>
      </c>
      <c r="CD27" s="66" t="n">
        <f aca="false">IFERROR(CB27/(2_Market_Gross_USD!E25+35),0)</f>
        <v>1.76708409241357</v>
      </c>
      <c r="CE27" s="63" t="n">
        <f aca="false">2_Market_Gross_USD!E25*(1-0.065)</f>
        <v>4441.25</v>
      </c>
      <c r="CF27" s="53" t="n">
        <f aca="false">CE27/0.6303</f>
        <v>7046.24781849913</v>
      </c>
      <c r="CG27" s="58" t="n">
        <f aca="false">CF27*0+0</f>
        <v>0</v>
      </c>
      <c r="CH27" s="55" t="n">
        <f aca="false">CF27+CG27</f>
        <v>7046.24781849913</v>
      </c>
      <c r="CI27" s="58" t="n">
        <f aca="false">CH27-(2_Market_Gross_USD!E25+35)</f>
        <v>2261.24781849913</v>
      </c>
      <c r="CJ27" s="66" t="n">
        <f aca="false">IFERROR(CH27/(2_Market_Gross_USD!E25+35),0)</f>
        <v>1.47257007701131</v>
      </c>
      <c r="CK27" s="63" t="n">
        <f aca="false">2_Market_Gross_USD!E25*(1-0.065)</f>
        <v>4441.25</v>
      </c>
      <c r="CL27" s="53" t="n">
        <f aca="false">CK27/0.6303</f>
        <v>7046.24781849913</v>
      </c>
      <c r="CM27" s="58" t="n">
        <f aca="false">CL27*0.2+500</f>
        <v>1909.24956369983</v>
      </c>
      <c r="CN27" s="55" t="n">
        <f aca="false">CL27+CM27</f>
        <v>8955.49738219895</v>
      </c>
      <c r="CO27" s="58" t="n">
        <f aca="false">CN27-(2_Market_Gross_USD!E25+35)</f>
        <v>4170.49738219895</v>
      </c>
      <c r="CP27" s="66" t="n">
        <f aca="false">IFERROR(CN27/(2_Market_Gross_USD!E25+35),0)</f>
        <v>1.87157730035506</v>
      </c>
      <c r="CQ27" s="63" t="n">
        <f aca="false">2_Market_Gross_USD!E25*(1-0.065)</f>
        <v>4441.25</v>
      </c>
      <c r="CR27" s="53" t="n">
        <f aca="false">CQ27/0.74</f>
        <v>6001.68918918919</v>
      </c>
      <c r="CS27" s="58" t="n">
        <f aca="false">CR27*0.338+0</f>
        <v>2028.57094594595</v>
      </c>
      <c r="CT27" s="55" t="n">
        <f aca="false">CR27+CS27</f>
        <v>8030.26013513514</v>
      </c>
      <c r="CU27" s="58" t="n">
        <f aca="false">CT27-(2_Market_Gross_USD!E25+35)</f>
        <v>3245.26013513514</v>
      </c>
      <c r="CV27" s="66" t="n">
        <f aca="false">IFERROR(CT27/(2_Market_Gross_USD!E25+35),0)</f>
        <v>1.67821528424977</v>
      </c>
      <c r="CW27" s="63" t="n">
        <f aca="false">2_Market_Gross_USD!E25*(1-0.065)</f>
        <v>4441.25</v>
      </c>
      <c r="CX27" s="53" t="n">
        <f aca="false">CW27/0.85</f>
        <v>5225</v>
      </c>
      <c r="CY27" s="58" t="n">
        <f aca="false">CX27*0+0</f>
        <v>0</v>
      </c>
      <c r="CZ27" s="55" t="n">
        <f aca="false">CX27+CY27</f>
        <v>5225</v>
      </c>
      <c r="DA27" s="58" t="n">
        <f aca="false">CZ27-(2_Market_Gross_USD!E25+35)</f>
        <v>440</v>
      </c>
      <c r="DB27" s="66" t="n">
        <f aca="false">IFERROR(CZ27/(2_Market_Gross_USD!E25+35),0)</f>
        <v>1.09195402298851</v>
      </c>
      <c r="DC27" s="63" t="n">
        <f aca="false">2_Market_Gross_USD!E25*(1-0.065)</f>
        <v>4441.25</v>
      </c>
      <c r="DD27" s="53" t="n">
        <f aca="false">DC27/0.74</f>
        <v>6001.68918918919</v>
      </c>
      <c r="DE27" s="58" t="n">
        <f aca="false">DD27*0.338+500</f>
        <v>2528.57094594595</v>
      </c>
      <c r="DF27" s="55" t="n">
        <f aca="false">DD27+DE27</f>
        <v>8530.26013513514</v>
      </c>
      <c r="DG27" s="58" t="n">
        <f aca="false">DF27-(2_Market_Gross_USD!E25+35)</f>
        <v>3745.26013513514</v>
      </c>
      <c r="DH27" s="66" t="n">
        <f aca="false">IFERROR(DF27/(2_Market_Gross_USD!E25+35),0)</f>
        <v>1.78270849219125</v>
      </c>
      <c r="DI27" s="63" t="n">
        <f aca="false">2_Market_Gross_USD!E25*(1-0.065)</f>
        <v>4441.25</v>
      </c>
      <c r="DJ27" s="53" t="n">
        <f aca="false">DI27/0.66</f>
        <v>6729.16666666667</v>
      </c>
      <c r="DK27" s="58" t="n">
        <f aca="false">DJ27*0.2375+0</f>
        <v>1598.17708333333</v>
      </c>
      <c r="DL27" s="55" t="n">
        <f aca="false">DJ27+DK27</f>
        <v>8327.34375</v>
      </c>
      <c r="DM27" s="58" t="n">
        <f aca="false">DL27-(2_Market_Gross_USD!E25+35)</f>
        <v>3542.34375</v>
      </c>
      <c r="DN27" s="66" t="n">
        <f aca="false">IFERROR(DL27/(2_Market_Gross_USD!E25+35),0)</f>
        <v>1.74030172413793</v>
      </c>
      <c r="DO27" s="63" t="n">
        <f aca="false">2_Market_Gross_USD!E25*(1-0.065)</f>
        <v>4441.25</v>
      </c>
      <c r="DP27" s="53" t="n">
        <f aca="false">DO27/0.8</f>
        <v>5551.5625</v>
      </c>
      <c r="DQ27" s="58" t="n">
        <f aca="false">DP27*0+0</f>
        <v>0</v>
      </c>
      <c r="DR27" s="55" t="n">
        <f aca="false">DP27+DQ27</f>
        <v>5551.5625</v>
      </c>
      <c r="DS27" s="58" t="n">
        <f aca="false">DR27-(2_Market_Gross_USD!E25+35)</f>
        <v>766.5625</v>
      </c>
      <c r="DT27" s="66" t="n">
        <f aca="false">IFERROR(DR27/(2_Market_Gross_USD!E25+35),0)</f>
        <v>1.16020114942529</v>
      </c>
      <c r="DU27" s="63" t="n">
        <f aca="false">2_Market_Gross_USD!E25*(1-0.065)</f>
        <v>4441.25</v>
      </c>
      <c r="DV27" s="53" t="n">
        <f aca="false">DU27/0.66</f>
        <v>6729.16666666667</v>
      </c>
      <c r="DW27" s="58" t="n">
        <f aca="false">DV27*0.2375+500</f>
        <v>2098.17708333333</v>
      </c>
      <c r="DX27" s="55" t="n">
        <f aca="false">DV27+DW27</f>
        <v>8827.34375</v>
      </c>
      <c r="DY27" s="58" t="n">
        <f aca="false">DX27-(2_Market_Gross_USD!E25+35)</f>
        <v>4042.34375</v>
      </c>
      <c r="DZ27" s="66" t="n">
        <f aca="false">IFERROR(DX27/(2_Market_Gross_USD!E25+35),0)</f>
        <v>1.84479493207941</v>
      </c>
      <c r="EA27" s="63" t="n">
        <f aca="false">2_Market_Gross_USD!E25*(1-0.065)</f>
        <v>4441.25</v>
      </c>
      <c r="EB27" s="53" t="n">
        <f aca="false">EA27/0.65</f>
        <v>6832.69230769231</v>
      </c>
      <c r="EC27" s="58" t="n">
        <f aca="false">EB27*0.0225+0</f>
        <v>153.735576923077</v>
      </c>
      <c r="ED27" s="55" t="n">
        <f aca="false">EB27+EC27</f>
        <v>6986.42788461539</v>
      </c>
      <c r="EE27" s="58" t="n">
        <f aca="false">ED27-(2_Market_Gross_USD!E25+35)</f>
        <v>2201.42788461538</v>
      </c>
      <c r="EF27" s="66" t="n">
        <f aca="false">IFERROR(ED27/(2_Market_Gross_USD!E25+35),0)</f>
        <v>1.46006852343059</v>
      </c>
      <c r="EG27" s="63" t="n">
        <f aca="false">2_Market_Gross_USD!E25*(1-0.065)</f>
        <v>4441.25</v>
      </c>
      <c r="EH27" s="53" t="n">
        <f aca="false">EG27/0.99</f>
        <v>4486.11111111111</v>
      </c>
      <c r="EI27" s="58" t="n">
        <f aca="false">EH27*0+0</f>
        <v>0</v>
      </c>
      <c r="EJ27" s="55" t="n">
        <f aca="false">EH27+EI27</f>
        <v>4486.11111111111</v>
      </c>
      <c r="EK27" s="58" t="n">
        <f aca="false">EJ27-(2_Market_Gross_USD!E25+35)</f>
        <v>-298.888888888889</v>
      </c>
      <c r="EL27" s="66" t="n">
        <f aca="false">IFERROR(EJ27/(2_Market_Gross_USD!E25+35),0)</f>
        <v>0.937536282363869</v>
      </c>
      <c r="EM27" s="63" t="n">
        <f aca="false">2_Market_Gross_USD!E25*(1-0.065)</f>
        <v>4441.25</v>
      </c>
      <c r="EN27" s="53" t="n">
        <f aca="false">EM27/0.65</f>
        <v>6832.69230769231</v>
      </c>
      <c r="EO27" s="58" t="n">
        <f aca="false">EN27*0.0225+500</f>
        <v>653.735576923077</v>
      </c>
      <c r="EP27" s="55" t="n">
        <f aca="false">EN27+EO27</f>
        <v>7486.42788461539</v>
      </c>
      <c r="EQ27" s="58" t="n">
        <f aca="false">EP27-(2_Market_Gross_USD!E25+35)</f>
        <v>2701.42788461538</v>
      </c>
      <c r="ER27" s="66" t="n">
        <f aca="false">IFERROR(EP27/(2_Market_Gross_USD!E25+35),0)</f>
        <v>1.56456173137208</v>
      </c>
    </row>
    <row r="28" customFormat="false" ht="15" hidden="false" customHeight="false" outlineLevel="0" collapsed="false">
      <c r="A28" s="37" t="n">
        <v>23</v>
      </c>
      <c r="B28" s="32" t="s">
        <v>259</v>
      </c>
      <c r="C28" s="32" t="s">
        <v>262</v>
      </c>
      <c r="D28" s="62" t="s">
        <v>248</v>
      </c>
      <c r="E28" s="63" t="n">
        <f aca="false">2_Market_Gross_USD!E26*(1-0.065)</f>
        <v>1402.5</v>
      </c>
      <c r="F28" s="53" t="n">
        <f aca="false">E28/0.7429</f>
        <v>1887.87185354691</v>
      </c>
      <c r="G28" s="54" t="n">
        <f aca="false">F28*0.2038+0</f>
        <v>384.74828375286</v>
      </c>
      <c r="H28" s="55" t="n">
        <f aca="false">F28+G28</f>
        <v>2272.62013729977</v>
      </c>
      <c r="I28" s="54" t="n">
        <f aca="false">H28-(2_Market_Gross_USD!E26+35)</f>
        <v>737.620137299771</v>
      </c>
      <c r="J28" s="64" t="n">
        <f aca="false">IFERROR(H28/(2_Market_Gross_USD!E26+35),0)</f>
        <v>1.4805342914005</v>
      </c>
      <c r="K28" s="63" t="n">
        <f aca="false">2_Market_Gross_USD!E26*(1-0.065)</f>
        <v>1402.5</v>
      </c>
      <c r="L28" s="53" t="n">
        <f aca="false">K28/0.88</f>
        <v>1593.75</v>
      </c>
      <c r="M28" s="54" t="n">
        <f aca="false">L28*0+0</f>
        <v>0</v>
      </c>
      <c r="N28" s="55" t="n">
        <f aca="false">L28+M28</f>
        <v>1593.75</v>
      </c>
      <c r="O28" s="54" t="n">
        <f aca="false">N28-(2_Market_Gross_USD!E26+35)</f>
        <v>58.75</v>
      </c>
      <c r="P28" s="64" t="n">
        <f aca="false">IFERROR(N28/(2_Market_Gross_USD!E26+35),0)</f>
        <v>1.03827361563518</v>
      </c>
      <c r="Q28" s="63" t="n">
        <f aca="false">2_Market_Gross_USD!E26*(1-0.065)</f>
        <v>1402.5</v>
      </c>
      <c r="R28" s="53" t="n">
        <f aca="false">Q28/0.7429</f>
        <v>1887.87185354691</v>
      </c>
      <c r="S28" s="54" t="n">
        <f aca="false">R28*0.2038+500</f>
        <v>884.74828375286</v>
      </c>
      <c r="T28" s="55" t="n">
        <f aca="false">R28+S28</f>
        <v>2772.62013729977</v>
      </c>
      <c r="U28" s="54" t="n">
        <f aca="false">T28-(2_Market_Gross_USD!E26+35)</f>
        <v>1237.62013729977</v>
      </c>
      <c r="V28" s="64" t="n">
        <f aca="false">IFERROR(T28/(2_Market_Gross_USD!E26+35),0)</f>
        <v>1.8062671904233</v>
      </c>
      <c r="W28" s="63" t="n">
        <f aca="false">2_Market_Gross_USD!E26*(1-0.065)</f>
        <v>1402.5</v>
      </c>
      <c r="X28" s="53" t="n">
        <f aca="false">W28/0.72</f>
        <v>1947.91666666667</v>
      </c>
      <c r="Y28" s="54" t="n">
        <f aca="false">X28*0.15+0</f>
        <v>292.1875</v>
      </c>
      <c r="Z28" s="55" t="n">
        <f aca="false">X28+Y28</f>
        <v>2240.10416666667</v>
      </c>
      <c r="AA28" s="54" t="n">
        <f aca="false">Z28-(2_Market_Gross_USD!E26+35)</f>
        <v>705.104166666667</v>
      </c>
      <c r="AB28" s="64" t="n">
        <f aca="false">IFERROR(Z28/(2_Market_Gross_USD!E26+35),0)</f>
        <v>1.45935124864278</v>
      </c>
      <c r="AC28" s="63" t="n">
        <f aca="false">2_Market_Gross_USD!E26*(1-0.065)</f>
        <v>1402.5</v>
      </c>
      <c r="AD28" s="53" t="n">
        <f aca="false">AC28/0.81</f>
        <v>1731.48148148148</v>
      </c>
      <c r="AE28" s="54" t="n">
        <f aca="false">AD28*0+0</f>
        <v>0</v>
      </c>
      <c r="AF28" s="55" t="n">
        <f aca="false">AD28+AE28</f>
        <v>1731.48148148148</v>
      </c>
      <c r="AG28" s="54" t="n">
        <f aca="false">AF28-(2_Market_Gross_USD!E26+35)</f>
        <v>196.481481481481</v>
      </c>
      <c r="AH28" s="64" t="n">
        <f aca="false">IFERROR(AF28/(2_Market_Gross_USD!E26+35),0)</f>
        <v>1.12800096513452</v>
      </c>
      <c r="AI28" s="63" t="n">
        <f aca="false">2_Market_Gross_USD!E26*(1-0.065)</f>
        <v>1402.5</v>
      </c>
      <c r="AJ28" s="53" t="n">
        <f aca="false">AI28/0.72</f>
        <v>1947.91666666667</v>
      </c>
      <c r="AK28" s="54" t="n">
        <f aca="false">AJ28*0.15+500</f>
        <v>792.1875</v>
      </c>
      <c r="AL28" s="55" t="n">
        <f aca="false">AJ28+AK28</f>
        <v>2740.10416666667</v>
      </c>
      <c r="AM28" s="54" t="n">
        <f aca="false">AL28-(2_Market_Gross_USD!E26+35)</f>
        <v>1205.10416666667</v>
      </c>
      <c r="AN28" s="64" t="n">
        <f aca="false">IFERROR(AL28/(2_Market_Gross_USD!E26+35),0)</f>
        <v>1.78508414766558</v>
      </c>
      <c r="AO28" s="63" t="n">
        <f aca="false">2_Market_Gross_USD!E26*(1-0.065)</f>
        <v>1402.5</v>
      </c>
      <c r="AP28" s="53" t="n">
        <f aca="false">AO28/0.7035</f>
        <v>1993.60341151386</v>
      </c>
      <c r="AQ28" s="54" t="n">
        <f aca="false">AP28*0.11+0</f>
        <v>219.296375266525</v>
      </c>
      <c r="AR28" s="55" t="n">
        <f aca="false">AP28+AQ28</f>
        <v>2212.89978678038</v>
      </c>
      <c r="AS28" s="54" t="n">
        <f aca="false">AR28-(2_Market_Gross_USD!E26+35)</f>
        <v>677.899786780384</v>
      </c>
      <c r="AT28" s="64" t="n">
        <f aca="false">IFERROR(AR28/(2_Market_Gross_USD!E26+35),0)</f>
        <v>1.44162852558983</v>
      </c>
      <c r="AU28" s="63" t="n">
        <f aca="false">2_Market_Gross_USD!E26*(1-0.065)</f>
        <v>1402.5</v>
      </c>
      <c r="AV28" s="53" t="n">
        <f aca="false">AU28/0.627</f>
        <v>2236.84210526316</v>
      </c>
      <c r="AW28" s="54" t="n">
        <f aca="false">AV28*0+0</f>
        <v>0</v>
      </c>
      <c r="AX28" s="55" t="n">
        <f aca="false">AV28+AW28</f>
        <v>2236.84210526316</v>
      </c>
      <c r="AY28" s="54" t="n">
        <f aca="false">AX28-(2_Market_Gross_USD!E26+35)</f>
        <v>701.842105263158</v>
      </c>
      <c r="AZ28" s="64" t="n">
        <f aca="false">IFERROR(AX28/(2_Market_Gross_USD!E26+35),0)</f>
        <v>1.45722612720727</v>
      </c>
      <c r="BA28" s="63" t="n">
        <f aca="false">2_Market_Gross_USD!E26*(1-0.065)</f>
        <v>1402.5</v>
      </c>
      <c r="BB28" s="53" t="n">
        <f aca="false">BA28/0.7035</f>
        <v>1993.60341151386</v>
      </c>
      <c r="BC28" s="54" t="n">
        <f aca="false">BB28*0.11+500</f>
        <v>719.296375266525</v>
      </c>
      <c r="BD28" s="55" t="n">
        <f aca="false">BB28+BC28</f>
        <v>2712.89978678038</v>
      </c>
      <c r="BE28" s="54" t="n">
        <f aca="false">BD28-(2_Market_Gross_USD!E26+35)</f>
        <v>1177.89978678038</v>
      </c>
      <c r="BF28" s="64" t="n">
        <f aca="false">IFERROR(BD28/(2_Market_Gross_USD!E26+35),0)</f>
        <v>1.76736142461263</v>
      </c>
      <c r="BG28" s="63" t="n">
        <f aca="false">2_Market_Gross_USD!E26*(1-0.065)</f>
        <v>1402.5</v>
      </c>
      <c r="BH28" s="53" t="n">
        <f aca="false">BG28/0.5215</f>
        <v>2689.35762224353</v>
      </c>
      <c r="BI28" s="54" t="n">
        <f aca="false">BH28*0.21+0</f>
        <v>564.765100671141</v>
      </c>
      <c r="BJ28" s="55" t="n">
        <f aca="false">BH28+BI28</f>
        <v>3254.12272291467</v>
      </c>
      <c r="BK28" s="54" t="n">
        <f aca="false">BJ28-(2_Market_Gross_USD!E26+35)</f>
        <v>1719.12272291467</v>
      </c>
      <c r="BL28" s="64" t="n">
        <f aca="false">IFERROR(BJ28/(2_Market_Gross_USD!E26+35),0)</f>
        <v>2.11994965662193</v>
      </c>
      <c r="BM28" s="63" t="n">
        <f aca="false">2_Market_Gross_USD!E26*(1-0.065)</f>
        <v>1402.5</v>
      </c>
      <c r="BN28" s="53" t="n">
        <f aca="false">BM28/0.75</f>
        <v>1870</v>
      </c>
      <c r="BO28" s="54" t="n">
        <f aca="false">BN28*0+0</f>
        <v>0</v>
      </c>
      <c r="BP28" s="55" t="n">
        <f aca="false">BN28+BO28</f>
        <v>1870</v>
      </c>
      <c r="BQ28" s="54" t="n">
        <f aca="false">BP28-(2_Market_Gross_USD!E26+35)</f>
        <v>335</v>
      </c>
      <c r="BR28" s="64" t="n">
        <f aca="false">IFERROR(BP28/(2_Market_Gross_USD!E26+35),0)</f>
        <v>1.21824104234528</v>
      </c>
      <c r="BS28" s="63" t="n">
        <f aca="false">2_Market_Gross_USD!E26*(1-0.065)</f>
        <v>1402.5</v>
      </c>
      <c r="BT28" s="53" t="n">
        <f aca="false">BS28/0.5215</f>
        <v>2689.35762224353</v>
      </c>
      <c r="BU28" s="54" t="n">
        <f aca="false">BT28*0.21+500</f>
        <v>1064.76510067114</v>
      </c>
      <c r="BV28" s="55" t="n">
        <f aca="false">BT28+BU28</f>
        <v>3754.12272291467</v>
      </c>
      <c r="BW28" s="54" t="n">
        <f aca="false">BV28-(2_Market_Gross_USD!E26+35)</f>
        <v>2219.12272291467</v>
      </c>
      <c r="BX28" s="64" t="n">
        <f aca="false">IFERROR(BV28/(2_Market_Gross_USD!E26+35),0)</f>
        <v>2.44568255564474</v>
      </c>
      <c r="BY28" s="63" t="n">
        <f aca="false">2_Market_Gross_USD!E26*(1-0.065)</f>
        <v>1402.5</v>
      </c>
      <c r="BZ28" s="53" t="n">
        <f aca="false">BY28/0.6303</f>
        <v>2225.13089005236</v>
      </c>
      <c r="CA28" s="54" t="n">
        <f aca="false">BZ28*0.2+0</f>
        <v>445.026178010471</v>
      </c>
      <c r="CB28" s="55" t="n">
        <f aca="false">BZ28+CA28</f>
        <v>2670.15706806283</v>
      </c>
      <c r="CC28" s="54" t="n">
        <f aca="false">CB28-(2_Market_Gross_USD!E26+35)</f>
        <v>1135.15706806283</v>
      </c>
      <c r="CD28" s="64" t="n">
        <f aca="false">IFERROR(CB28/(2_Market_Gross_USD!E26+35),0)</f>
        <v>1.73951600525266</v>
      </c>
      <c r="CE28" s="63" t="n">
        <f aca="false">2_Market_Gross_USD!E26*(1-0.065)</f>
        <v>1402.5</v>
      </c>
      <c r="CF28" s="53" t="n">
        <f aca="false">CE28/0.6303</f>
        <v>2225.13089005236</v>
      </c>
      <c r="CG28" s="54" t="n">
        <f aca="false">CF28*0+0</f>
        <v>0</v>
      </c>
      <c r="CH28" s="55" t="n">
        <f aca="false">CF28+CG28</f>
        <v>2225.13089005236</v>
      </c>
      <c r="CI28" s="54" t="n">
        <f aca="false">CH28-(2_Market_Gross_USD!E26+35)</f>
        <v>690.130890052356</v>
      </c>
      <c r="CJ28" s="64" t="n">
        <f aca="false">IFERROR(CH28/(2_Market_Gross_USD!E26+35),0)</f>
        <v>1.44959667104388</v>
      </c>
      <c r="CK28" s="63" t="n">
        <f aca="false">2_Market_Gross_USD!E26*(1-0.065)</f>
        <v>1402.5</v>
      </c>
      <c r="CL28" s="53" t="n">
        <f aca="false">CK28/0.6303</f>
        <v>2225.13089005236</v>
      </c>
      <c r="CM28" s="54" t="n">
        <f aca="false">CL28*0.2+500</f>
        <v>945.026178010471</v>
      </c>
      <c r="CN28" s="55" t="n">
        <f aca="false">CL28+CM28</f>
        <v>3170.15706806283</v>
      </c>
      <c r="CO28" s="54" t="n">
        <f aca="false">CN28-(2_Market_Gross_USD!E26+35)</f>
        <v>1635.15706806283</v>
      </c>
      <c r="CP28" s="64" t="n">
        <f aca="false">IFERROR(CN28/(2_Market_Gross_USD!E26+35),0)</f>
        <v>2.06524890427546</v>
      </c>
      <c r="CQ28" s="63" t="n">
        <f aca="false">2_Market_Gross_USD!E26*(1-0.065)</f>
        <v>1402.5</v>
      </c>
      <c r="CR28" s="53" t="n">
        <f aca="false">CQ28/0.74</f>
        <v>1895.27027027027</v>
      </c>
      <c r="CS28" s="54" t="n">
        <f aca="false">CR28*0.338+0</f>
        <v>640.601351351351</v>
      </c>
      <c r="CT28" s="55" t="n">
        <f aca="false">CR28+CS28</f>
        <v>2535.87162162162</v>
      </c>
      <c r="CU28" s="54" t="n">
        <f aca="false">CT28-(2_Market_Gross_USD!E26+35)</f>
        <v>1000.87162162162</v>
      </c>
      <c r="CV28" s="64" t="n">
        <f aca="false">IFERROR(CT28/(2_Market_Gross_USD!E26+35),0)</f>
        <v>1.65203362972093</v>
      </c>
      <c r="CW28" s="63" t="n">
        <f aca="false">2_Market_Gross_USD!E26*(1-0.065)</f>
        <v>1402.5</v>
      </c>
      <c r="CX28" s="53" t="n">
        <f aca="false">CW28/0.85</f>
        <v>1650</v>
      </c>
      <c r="CY28" s="54" t="n">
        <f aca="false">CX28*0+0</f>
        <v>0</v>
      </c>
      <c r="CZ28" s="55" t="n">
        <f aca="false">CX28+CY28</f>
        <v>1650</v>
      </c>
      <c r="DA28" s="54" t="n">
        <f aca="false">CZ28-(2_Market_Gross_USD!E26+35)</f>
        <v>115</v>
      </c>
      <c r="DB28" s="64" t="n">
        <f aca="false">IFERROR(CZ28/(2_Market_Gross_USD!E26+35),0)</f>
        <v>1.07491856677524</v>
      </c>
      <c r="DC28" s="63" t="n">
        <f aca="false">2_Market_Gross_USD!E26*(1-0.065)</f>
        <v>1402.5</v>
      </c>
      <c r="DD28" s="53" t="n">
        <f aca="false">DC28/0.74</f>
        <v>1895.27027027027</v>
      </c>
      <c r="DE28" s="54" t="n">
        <f aca="false">DD28*0.338+500</f>
        <v>1140.60135135135</v>
      </c>
      <c r="DF28" s="55" t="n">
        <f aca="false">DD28+DE28</f>
        <v>3035.87162162162</v>
      </c>
      <c r="DG28" s="54" t="n">
        <f aca="false">DF28-(2_Market_Gross_USD!E26+35)</f>
        <v>1500.87162162162</v>
      </c>
      <c r="DH28" s="64" t="n">
        <f aca="false">IFERROR(DF28/(2_Market_Gross_USD!E26+35),0)</f>
        <v>1.97776652874373</v>
      </c>
      <c r="DI28" s="63" t="n">
        <f aca="false">2_Market_Gross_USD!E26*(1-0.065)</f>
        <v>1402.5</v>
      </c>
      <c r="DJ28" s="53" t="n">
        <f aca="false">DI28/0.66</f>
        <v>2125</v>
      </c>
      <c r="DK28" s="54" t="n">
        <f aca="false">DJ28*0.2375+0</f>
        <v>504.6875</v>
      </c>
      <c r="DL28" s="55" t="n">
        <f aca="false">DJ28+DK28</f>
        <v>2629.6875</v>
      </c>
      <c r="DM28" s="54" t="n">
        <f aca="false">DL28-(2_Market_Gross_USD!E26+35)</f>
        <v>1094.6875</v>
      </c>
      <c r="DN28" s="64" t="n">
        <f aca="false">IFERROR(DL28/(2_Market_Gross_USD!E26+35),0)</f>
        <v>1.71315146579805</v>
      </c>
      <c r="DO28" s="63" t="n">
        <f aca="false">2_Market_Gross_USD!E26*(1-0.065)</f>
        <v>1402.5</v>
      </c>
      <c r="DP28" s="53" t="n">
        <f aca="false">DO28/0.8</f>
        <v>1753.125</v>
      </c>
      <c r="DQ28" s="54" t="n">
        <f aca="false">DP28*0+0</f>
        <v>0</v>
      </c>
      <c r="DR28" s="55" t="n">
        <f aca="false">DP28+DQ28</f>
        <v>1753.125</v>
      </c>
      <c r="DS28" s="54" t="n">
        <f aca="false">DR28-(2_Market_Gross_USD!E26+35)</f>
        <v>218.125</v>
      </c>
      <c r="DT28" s="64" t="n">
        <f aca="false">IFERROR(DR28/(2_Market_Gross_USD!E26+35),0)</f>
        <v>1.1421009771987</v>
      </c>
      <c r="DU28" s="63" t="n">
        <f aca="false">2_Market_Gross_USD!E26*(1-0.065)</f>
        <v>1402.5</v>
      </c>
      <c r="DV28" s="53" t="n">
        <f aca="false">DU28/0.66</f>
        <v>2125</v>
      </c>
      <c r="DW28" s="54" t="n">
        <f aca="false">DV28*0.2375+500</f>
        <v>1004.6875</v>
      </c>
      <c r="DX28" s="55" t="n">
        <f aca="false">DV28+DW28</f>
        <v>3129.6875</v>
      </c>
      <c r="DY28" s="54" t="n">
        <f aca="false">DX28-(2_Market_Gross_USD!E26+35)</f>
        <v>1594.6875</v>
      </c>
      <c r="DZ28" s="64" t="n">
        <f aca="false">IFERROR(DX28/(2_Market_Gross_USD!E26+35),0)</f>
        <v>2.03888436482085</v>
      </c>
      <c r="EA28" s="63" t="n">
        <f aca="false">2_Market_Gross_USD!E26*(1-0.065)</f>
        <v>1402.5</v>
      </c>
      <c r="EB28" s="53" t="n">
        <f aca="false">EA28/0.65</f>
        <v>2157.69230769231</v>
      </c>
      <c r="EC28" s="54" t="n">
        <f aca="false">EB28*0.0225+0</f>
        <v>48.5480769230769</v>
      </c>
      <c r="ED28" s="55" t="n">
        <f aca="false">EB28+EC28</f>
        <v>2206.24038461538</v>
      </c>
      <c r="EE28" s="54" t="n">
        <f aca="false">ED28-(2_Market_Gross_USD!E26+35)</f>
        <v>671.240384615385</v>
      </c>
      <c r="EF28" s="64" t="n">
        <f aca="false">IFERROR(ED28/(2_Market_Gross_USD!E26+35),0)</f>
        <v>1.4372901528439</v>
      </c>
      <c r="EG28" s="63" t="n">
        <f aca="false">2_Market_Gross_USD!E26*(1-0.065)</f>
        <v>1402.5</v>
      </c>
      <c r="EH28" s="53" t="n">
        <f aca="false">EG28/0.99</f>
        <v>1416.66666666667</v>
      </c>
      <c r="EI28" s="54" t="n">
        <f aca="false">EH28*0+0</f>
        <v>0</v>
      </c>
      <c r="EJ28" s="55" t="n">
        <f aca="false">EH28+EI28</f>
        <v>1416.66666666667</v>
      </c>
      <c r="EK28" s="54" t="n">
        <f aca="false">EJ28-(2_Market_Gross_USD!E26+35)</f>
        <v>-118.333333333333</v>
      </c>
      <c r="EL28" s="64" t="n">
        <f aca="false">IFERROR(EJ28/(2_Market_Gross_USD!E26+35),0)</f>
        <v>0.922909880564604</v>
      </c>
      <c r="EM28" s="63" t="n">
        <f aca="false">2_Market_Gross_USD!E26*(1-0.065)</f>
        <v>1402.5</v>
      </c>
      <c r="EN28" s="53" t="n">
        <f aca="false">EM28/0.65</f>
        <v>2157.69230769231</v>
      </c>
      <c r="EO28" s="54" t="n">
        <f aca="false">EN28*0.0225+500</f>
        <v>548.548076923077</v>
      </c>
      <c r="EP28" s="55" t="n">
        <f aca="false">EN28+EO28</f>
        <v>2706.24038461538</v>
      </c>
      <c r="EQ28" s="54" t="n">
        <f aca="false">EP28-(2_Market_Gross_USD!E26+35)</f>
        <v>1171.24038461538</v>
      </c>
      <c r="ER28" s="64" t="n">
        <f aca="false">IFERROR(EP28/(2_Market_Gross_USD!E26+35),0)</f>
        <v>1.7630230518667</v>
      </c>
    </row>
    <row r="29" customFormat="false" ht="15" hidden="false" customHeight="false" outlineLevel="0" collapsed="false">
      <c r="A29" s="41" t="n">
        <v>24</v>
      </c>
      <c r="B29" s="28" t="s">
        <v>259</v>
      </c>
      <c r="C29" s="8" t="s">
        <v>262</v>
      </c>
      <c r="D29" s="65" t="s">
        <v>249</v>
      </c>
      <c r="E29" s="63" t="n">
        <f aca="false">2_Market_Gross_USD!E27*(1-0.065)</f>
        <v>4441.25</v>
      </c>
      <c r="F29" s="53" t="n">
        <f aca="false">E29/0.7429</f>
        <v>5978.26086956522</v>
      </c>
      <c r="G29" s="58" t="n">
        <f aca="false">F29*0.2038+0</f>
        <v>1218.36956521739</v>
      </c>
      <c r="H29" s="55" t="n">
        <f aca="false">F29+G29</f>
        <v>7196.63043478261</v>
      </c>
      <c r="I29" s="58" t="n">
        <f aca="false">H29-(2_Market_Gross_USD!E27+35)</f>
        <v>2411.63043478261</v>
      </c>
      <c r="J29" s="66" t="n">
        <f aca="false">IFERROR(H29/(2_Market_Gross_USD!E27+35),0)</f>
        <v>1.5039980009995</v>
      </c>
      <c r="K29" s="63" t="n">
        <f aca="false">2_Market_Gross_USD!E27*(1-0.065)</f>
        <v>4441.25</v>
      </c>
      <c r="L29" s="53" t="n">
        <f aca="false">K29/0.88</f>
        <v>5046.875</v>
      </c>
      <c r="M29" s="58" t="n">
        <f aca="false">L29*0+0</f>
        <v>0</v>
      </c>
      <c r="N29" s="55" t="n">
        <f aca="false">L29+M29</f>
        <v>5046.875</v>
      </c>
      <c r="O29" s="58" t="n">
        <f aca="false">N29-(2_Market_Gross_USD!E27+35)</f>
        <v>261.875</v>
      </c>
      <c r="P29" s="66" t="n">
        <f aca="false">IFERROR(N29/(2_Market_Gross_USD!E27+35),0)</f>
        <v>1.05472831765935</v>
      </c>
      <c r="Q29" s="63" t="n">
        <f aca="false">2_Market_Gross_USD!E27*(1-0.065)</f>
        <v>4441.25</v>
      </c>
      <c r="R29" s="53" t="n">
        <f aca="false">Q29/0.7429</f>
        <v>5978.26086956522</v>
      </c>
      <c r="S29" s="58" t="n">
        <f aca="false">R29*0.2038+500</f>
        <v>1718.36956521739</v>
      </c>
      <c r="T29" s="55" t="n">
        <f aca="false">R29+S29</f>
        <v>7696.63043478261</v>
      </c>
      <c r="U29" s="58" t="n">
        <f aca="false">T29-(2_Market_Gross_USD!E27+35)</f>
        <v>2911.63043478261</v>
      </c>
      <c r="V29" s="66" t="n">
        <f aca="false">IFERROR(T29/(2_Market_Gross_USD!E27+35),0)</f>
        <v>1.60849120894098</v>
      </c>
      <c r="W29" s="63" t="n">
        <f aca="false">2_Market_Gross_USD!E27*(1-0.065)</f>
        <v>4441.25</v>
      </c>
      <c r="X29" s="53" t="n">
        <f aca="false">W29/0.72</f>
        <v>6168.40277777778</v>
      </c>
      <c r="Y29" s="58" t="n">
        <f aca="false">X29*0.15+0</f>
        <v>925.260416666667</v>
      </c>
      <c r="Z29" s="55" t="n">
        <f aca="false">X29+Y29</f>
        <v>7093.66319444445</v>
      </c>
      <c r="AA29" s="58" t="n">
        <f aca="false">Z29-(2_Market_Gross_USD!E27+35)</f>
        <v>2308.66319444445</v>
      </c>
      <c r="AB29" s="66" t="n">
        <f aca="false">IFERROR(Z29/(2_Market_Gross_USD!E27+35),0)</f>
        <v>1.48247924648787</v>
      </c>
      <c r="AC29" s="63" t="n">
        <f aca="false">2_Market_Gross_USD!E27*(1-0.065)</f>
        <v>4441.25</v>
      </c>
      <c r="AD29" s="53" t="n">
        <f aca="false">AC29/0.81</f>
        <v>5483.02469135802</v>
      </c>
      <c r="AE29" s="58" t="n">
        <f aca="false">AD29*0+0</f>
        <v>0</v>
      </c>
      <c r="AF29" s="55" t="n">
        <f aca="false">AD29+AE29</f>
        <v>5483.02469135802</v>
      </c>
      <c r="AG29" s="58" t="n">
        <f aca="false">AF29-(2_Market_Gross_USD!E27+35)</f>
        <v>698.024691358024</v>
      </c>
      <c r="AH29" s="66" t="n">
        <f aca="false">IFERROR(AF29/(2_Market_Gross_USD!E27+35),0)</f>
        <v>1.14587767844473</v>
      </c>
      <c r="AI29" s="63" t="n">
        <f aca="false">2_Market_Gross_USD!E27*(1-0.065)</f>
        <v>4441.25</v>
      </c>
      <c r="AJ29" s="53" t="n">
        <f aca="false">AI29/0.72</f>
        <v>6168.40277777778</v>
      </c>
      <c r="AK29" s="58" t="n">
        <f aca="false">AJ29*0.15+500</f>
        <v>1425.26041666667</v>
      </c>
      <c r="AL29" s="55" t="n">
        <f aca="false">AJ29+AK29</f>
        <v>7593.66319444445</v>
      </c>
      <c r="AM29" s="58" t="n">
        <f aca="false">AL29-(2_Market_Gross_USD!E27+35)</f>
        <v>2808.66319444445</v>
      </c>
      <c r="AN29" s="66" t="n">
        <f aca="false">IFERROR(AL29/(2_Market_Gross_USD!E27+35),0)</f>
        <v>1.58697245442935</v>
      </c>
      <c r="AO29" s="63" t="n">
        <f aca="false">2_Market_Gross_USD!E27*(1-0.065)</f>
        <v>4441.25</v>
      </c>
      <c r="AP29" s="53" t="n">
        <f aca="false">AO29/0.7035</f>
        <v>6313.07746979389</v>
      </c>
      <c r="AQ29" s="58" t="n">
        <f aca="false">AP29*0.11+0</f>
        <v>694.438521677328</v>
      </c>
      <c r="AR29" s="55" t="n">
        <f aca="false">AP29+AQ29</f>
        <v>7007.51599147122</v>
      </c>
      <c r="AS29" s="58" t="n">
        <f aca="false">AR29-(2_Market_Gross_USD!E27+35)</f>
        <v>2222.51599147122</v>
      </c>
      <c r="AT29" s="66" t="n">
        <f aca="false">IFERROR(AR29/(2_Market_Gross_USD!E27+35),0)</f>
        <v>1.46447565130015</v>
      </c>
      <c r="AU29" s="63" t="n">
        <f aca="false">2_Market_Gross_USD!E27*(1-0.065)</f>
        <v>4441.25</v>
      </c>
      <c r="AV29" s="53" t="n">
        <f aca="false">AU29/0.627</f>
        <v>7083.33333333333</v>
      </c>
      <c r="AW29" s="58" t="n">
        <f aca="false">AV29*0+0</f>
        <v>0</v>
      </c>
      <c r="AX29" s="55" t="n">
        <f aca="false">AV29+AW29</f>
        <v>7083.33333333333</v>
      </c>
      <c r="AY29" s="58" t="n">
        <f aca="false">AX29-(2_Market_Gross_USD!E27+35)</f>
        <v>2298.33333333333</v>
      </c>
      <c r="AZ29" s="66" t="n">
        <f aca="false">IFERROR(AX29/(2_Market_Gross_USD!E27+35),0)</f>
        <v>1.48032044583769</v>
      </c>
      <c r="BA29" s="63" t="n">
        <f aca="false">2_Market_Gross_USD!E27*(1-0.065)</f>
        <v>4441.25</v>
      </c>
      <c r="BB29" s="53" t="n">
        <f aca="false">BA29/0.7035</f>
        <v>6313.07746979389</v>
      </c>
      <c r="BC29" s="58" t="n">
        <f aca="false">BB29*0.11+500</f>
        <v>1194.43852167733</v>
      </c>
      <c r="BD29" s="55" t="n">
        <f aca="false">BB29+BC29</f>
        <v>7507.51599147122</v>
      </c>
      <c r="BE29" s="58" t="n">
        <f aca="false">BD29-(2_Market_Gross_USD!E27+35)</f>
        <v>2722.51599147122</v>
      </c>
      <c r="BF29" s="66" t="n">
        <f aca="false">IFERROR(BD29/(2_Market_Gross_USD!E27+35),0)</f>
        <v>1.56896885924163</v>
      </c>
      <c r="BG29" s="63" t="n">
        <f aca="false">2_Market_Gross_USD!E27*(1-0.065)</f>
        <v>4441.25</v>
      </c>
      <c r="BH29" s="53" t="n">
        <f aca="false">BG29/0.5215</f>
        <v>8516.29913710451</v>
      </c>
      <c r="BI29" s="58" t="n">
        <f aca="false">BH29*0.21+0</f>
        <v>1788.42281879195</v>
      </c>
      <c r="BJ29" s="55" t="n">
        <f aca="false">BH29+BI29</f>
        <v>10304.7219558965</v>
      </c>
      <c r="BK29" s="58" t="n">
        <f aca="false">BJ29-(2_Market_Gross_USD!E27+35)</f>
        <v>5519.72195589645</v>
      </c>
      <c r="BL29" s="66" t="n">
        <f aca="false">IFERROR(BJ29/(2_Market_Gross_USD!E27+35),0)</f>
        <v>2.15354690823332</v>
      </c>
      <c r="BM29" s="63" t="n">
        <f aca="false">2_Market_Gross_USD!E27*(1-0.065)</f>
        <v>4441.25</v>
      </c>
      <c r="BN29" s="53" t="n">
        <f aca="false">BM29/0.75</f>
        <v>5921.66666666667</v>
      </c>
      <c r="BO29" s="58" t="n">
        <f aca="false">BN29*0+0</f>
        <v>0</v>
      </c>
      <c r="BP29" s="55" t="n">
        <f aca="false">BN29+BO29</f>
        <v>5921.66666666667</v>
      </c>
      <c r="BQ29" s="58" t="n">
        <f aca="false">BP29-(2_Market_Gross_USD!E27+35)</f>
        <v>1136.66666666667</v>
      </c>
      <c r="BR29" s="66" t="n">
        <f aca="false">IFERROR(BP29/(2_Market_Gross_USD!E27+35),0)</f>
        <v>1.23754789272031</v>
      </c>
      <c r="BS29" s="63" t="n">
        <f aca="false">2_Market_Gross_USD!E27*(1-0.065)</f>
        <v>4441.25</v>
      </c>
      <c r="BT29" s="53" t="n">
        <f aca="false">BS29/0.5215</f>
        <v>8516.29913710451</v>
      </c>
      <c r="BU29" s="58" t="n">
        <f aca="false">BT29*0.21+500</f>
        <v>2288.42281879195</v>
      </c>
      <c r="BV29" s="55" t="n">
        <f aca="false">BT29+BU29</f>
        <v>10804.7219558965</v>
      </c>
      <c r="BW29" s="58" t="n">
        <f aca="false">BV29-(2_Market_Gross_USD!E27+35)</f>
        <v>6019.72195589645</v>
      </c>
      <c r="BX29" s="66" t="n">
        <f aca="false">IFERROR(BV29/(2_Market_Gross_USD!E27+35),0)</f>
        <v>2.25804011617481</v>
      </c>
      <c r="BY29" s="63" t="n">
        <f aca="false">2_Market_Gross_USD!E27*(1-0.065)</f>
        <v>4441.25</v>
      </c>
      <c r="BZ29" s="53" t="n">
        <f aca="false">BY29/0.6303</f>
        <v>7046.24781849913</v>
      </c>
      <c r="CA29" s="58" t="n">
        <f aca="false">BZ29*0.2+0</f>
        <v>1409.24956369983</v>
      </c>
      <c r="CB29" s="55" t="n">
        <f aca="false">BZ29+CA29</f>
        <v>8455.49738219895</v>
      </c>
      <c r="CC29" s="58" t="n">
        <f aca="false">CB29-(2_Market_Gross_USD!E27+35)</f>
        <v>3670.49738219895</v>
      </c>
      <c r="CD29" s="66" t="n">
        <f aca="false">IFERROR(CB29/(2_Market_Gross_USD!E27+35),0)</f>
        <v>1.76708409241357</v>
      </c>
      <c r="CE29" s="63" t="n">
        <f aca="false">2_Market_Gross_USD!E27*(1-0.065)</f>
        <v>4441.25</v>
      </c>
      <c r="CF29" s="53" t="n">
        <f aca="false">CE29/0.6303</f>
        <v>7046.24781849913</v>
      </c>
      <c r="CG29" s="58" t="n">
        <f aca="false">CF29*0+0</f>
        <v>0</v>
      </c>
      <c r="CH29" s="55" t="n">
        <f aca="false">CF29+CG29</f>
        <v>7046.24781849913</v>
      </c>
      <c r="CI29" s="58" t="n">
        <f aca="false">CH29-(2_Market_Gross_USD!E27+35)</f>
        <v>2261.24781849913</v>
      </c>
      <c r="CJ29" s="66" t="n">
        <f aca="false">IFERROR(CH29/(2_Market_Gross_USD!E27+35),0)</f>
        <v>1.47257007701131</v>
      </c>
      <c r="CK29" s="63" t="n">
        <f aca="false">2_Market_Gross_USD!E27*(1-0.065)</f>
        <v>4441.25</v>
      </c>
      <c r="CL29" s="53" t="n">
        <f aca="false">CK29/0.6303</f>
        <v>7046.24781849913</v>
      </c>
      <c r="CM29" s="58" t="n">
        <f aca="false">CL29*0.2+500</f>
        <v>1909.24956369983</v>
      </c>
      <c r="CN29" s="55" t="n">
        <f aca="false">CL29+CM29</f>
        <v>8955.49738219895</v>
      </c>
      <c r="CO29" s="58" t="n">
        <f aca="false">CN29-(2_Market_Gross_USD!E27+35)</f>
        <v>4170.49738219895</v>
      </c>
      <c r="CP29" s="66" t="n">
        <f aca="false">IFERROR(CN29/(2_Market_Gross_USD!E27+35),0)</f>
        <v>1.87157730035506</v>
      </c>
      <c r="CQ29" s="63" t="n">
        <f aca="false">2_Market_Gross_USD!E27*(1-0.065)</f>
        <v>4441.25</v>
      </c>
      <c r="CR29" s="53" t="n">
        <f aca="false">CQ29/0.74</f>
        <v>6001.68918918919</v>
      </c>
      <c r="CS29" s="58" t="n">
        <f aca="false">CR29*0.338+0</f>
        <v>2028.57094594595</v>
      </c>
      <c r="CT29" s="55" t="n">
        <f aca="false">CR29+CS29</f>
        <v>8030.26013513514</v>
      </c>
      <c r="CU29" s="58" t="n">
        <f aca="false">CT29-(2_Market_Gross_USD!E27+35)</f>
        <v>3245.26013513514</v>
      </c>
      <c r="CV29" s="66" t="n">
        <f aca="false">IFERROR(CT29/(2_Market_Gross_USD!E27+35),0)</f>
        <v>1.67821528424977</v>
      </c>
      <c r="CW29" s="63" t="n">
        <f aca="false">2_Market_Gross_USD!E27*(1-0.065)</f>
        <v>4441.25</v>
      </c>
      <c r="CX29" s="53" t="n">
        <f aca="false">CW29/0.85</f>
        <v>5225</v>
      </c>
      <c r="CY29" s="58" t="n">
        <f aca="false">CX29*0+0</f>
        <v>0</v>
      </c>
      <c r="CZ29" s="55" t="n">
        <f aca="false">CX29+CY29</f>
        <v>5225</v>
      </c>
      <c r="DA29" s="58" t="n">
        <f aca="false">CZ29-(2_Market_Gross_USD!E27+35)</f>
        <v>440</v>
      </c>
      <c r="DB29" s="66" t="n">
        <f aca="false">IFERROR(CZ29/(2_Market_Gross_USD!E27+35),0)</f>
        <v>1.09195402298851</v>
      </c>
      <c r="DC29" s="63" t="n">
        <f aca="false">2_Market_Gross_USD!E27*(1-0.065)</f>
        <v>4441.25</v>
      </c>
      <c r="DD29" s="53" t="n">
        <f aca="false">DC29/0.74</f>
        <v>6001.68918918919</v>
      </c>
      <c r="DE29" s="58" t="n">
        <f aca="false">DD29*0.338+500</f>
        <v>2528.57094594595</v>
      </c>
      <c r="DF29" s="55" t="n">
        <f aca="false">DD29+DE29</f>
        <v>8530.26013513514</v>
      </c>
      <c r="DG29" s="58" t="n">
        <f aca="false">DF29-(2_Market_Gross_USD!E27+35)</f>
        <v>3745.26013513514</v>
      </c>
      <c r="DH29" s="66" t="n">
        <f aca="false">IFERROR(DF29/(2_Market_Gross_USD!E27+35),0)</f>
        <v>1.78270849219125</v>
      </c>
      <c r="DI29" s="63" t="n">
        <f aca="false">2_Market_Gross_USD!E27*(1-0.065)</f>
        <v>4441.25</v>
      </c>
      <c r="DJ29" s="53" t="n">
        <f aca="false">DI29/0.66</f>
        <v>6729.16666666667</v>
      </c>
      <c r="DK29" s="58" t="n">
        <f aca="false">DJ29*0.2375+0</f>
        <v>1598.17708333333</v>
      </c>
      <c r="DL29" s="55" t="n">
        <f aca="false">DJ29+DK29</f>
        <v>8327.34375</v>
      </c>
      <c r="DM29" s="58" t="n">
        <f aca="false">DL29-(2_Market_Gross_USD!E27+35)</f>
        <v>3542.34375</v>
      </c>
      <c r="DN29" s="66" t="n">
        <f aca="false">IFERROR(DL29/(2_Market_Gross_USD!E27+35),0)</f>
        <v>1.74030172413793</v>
      </c>
      <c r="DO29" s="63" t="n">
        <f aca="false">2_Market_Gross_USD!E27*(1-0.065)</f>
        <v>4441.25</v>
      </c>
      <c r="DP29" s="53" t="n">
        <f aca="false">DO29/0.8</f>
        <v>5551.5625</v>
      </c>
      <c r="DQ29" s="58" t="n">
        <f aca="false">DP29*0+0</f>
        <v>0</v>
      </c>
      <c r="DR29" s="55" t="n">
        <f aca="false">DP29+DQ29</f>
        <v>5551.5625</v>
      </c>
      <c r="DS29" s="58" t="n">
        <f aca="false">DR29-(2_Market_Gross_USD!E27+35)</f>
        <v>766.5625</v>
      </c>
      <c r="DT29" s="66" t="n">
        <f aca="false">IFERROR(DR29/(2_Market_Gross_USD!E27+35),0)</f>
        <v>1.16020114942529</v>
      </c>
      <c r="DU29" s="63" t="n">
        <f aca="false">2_Market_Gross_USD!E27*(1-0.065)</f>
        <v>4441.25</v>
      </c>
      <c r="DV29" s="53" t="n">
        <f aca="false">DU29/0.66</f>
        <v>6729.16666666667</v>
      </c>
      <c r="DW29" s="58" t="n">
        <f aca="false">DV29*0.2375+500</f>
        <v>2098.17708333333</v>
      </c>
      <c r="DX29" s="55" t="n">
        <f aca="false">DV29+DW29</f>
        <v>8827.34375</v>
      </c>
      <c r="DY29" s="58" t="n">
        <f aca="false">DX29-(2_Market_Gross_USD!E27+35)</f>
        <v>4042.34375</v>
      </c>
      <c r="DZ29" s="66" t="n">
        <f aca="false">IFERROR(DX29/(2_Market_Gross_USD!E27+35),0)</f>
        <v>1.84479493207941</v>
      </c>
      <c r="EA29" s="63" t="n">
        <f aca="false">2_Market_Gross_USD!E27*(1-0.065)</f>
        <v>4441.25</v>
      </c>
      <c r="EB29" s="53" t="n">
        <f aca="false">EA29/0.65</f>
        <v>6832.69230769231</v>
      </c>
      <c r="EC29" s="58" t="n">
        <f aca="false">EB29*0.0225+0</f>
        <v>153.735576923077</v>
      </c>
      <c r="ED29" s="55" t="n">
        <f aca="false">EB29+EC29</f>
        <v>6986.42788461539</v>
      </c>
      <c r="EE29" s="58" t="n">
        <f aca="false">ED29-(2_Market_Gross_USD!E27+35)</f>
        <v>2201.42788461538</v>
      </c>
      <c r="EF29" s="66" t="n">
        <f aca="false">IFERROR(ED29/(2_Market_Gross_USD!E27+35),0)</f>
        <v>1.46006852343059</v>
      </c>
      <c r="EG29" s="63" t="n">
        <f aca="false">2_Market_Gross_USD!E27*(1-0.065)</f>
        <v>4441.25</v>
      </c>
      <c r="EH29" s="53" t="n">
        <f aca="false">EG29/0.99</f>
        <v>4486.11111111111</v>
      </c>
      <c r="EI29" s="58" t="n">
        <f aca="false">EH29*0+0</f>
        <v>0</v>
      </c>
      <c r="EJ29" s="55" t="n">
        <f aca="false">EH29+EI29</f>
        <v>4486.11111111111</v>
      </c>
      <c r="EK29" s="58" t="n">
        <f aca="false">EJ29-(2_Market_Gross_USD!E27+35)</f>
        <v>-298.888888888889</v>
      </c>
      <c r="EL29" s="66" t="n">
        <f aca="false">IFERROR(EJ29/(2_Market_Gross_USD!E27+35),0)</f>
        <v>0.937536282363869</v>
      </c>
      <c r="EM29" s="63" t="n">
        <f aca="false">2_Market_Gross_USD!E27*(1-0.065)</f>
        <v>4441.25</v>
      </c>
      <c r="EN29" s="53" t="n">
        <f aca="false">EM29/0.65</f>
        <v>6832.69230769231</v>
      </c>
      <c r="EO29" s="58" t="n">
        <f aca="false">EN29*0.0225+500</f>
        <v>653.735576923077</v>
      </c>
      <c r="EP29" s="55" t="n">
        <f aca="false">EN29+EO29</f>
        <v>7486.42788461539</v>
      </c>
      <c r="EQ29" s="58" t="n">
        <f aca="false">EP29-(2_Market_Gross_USD!E27+35)</f>
        <v>2701.42788461538</v>
      </c>
      <c r="ER29" s="66" t="n">
        <f aca="false">IFERROR(EP29/(2_Market_Gross_USD!E27+35),0)</f>
        <v>1.56456173137208</v>
      </c>
    </row>
    <row r="30" customFormat="false" ht="15" hidden="false" customHeight="false" outlineLevel="0" collapsed="false">
      <c r="A30" s="37" t="n">
        <v>25</v>
      </c>
      <c r="B30" s="32" t="s">
        <v>259</v>
      </c>
      <c r="C30" s="32" t="s">
        <v>263</v>
      </c>
      <c r="D30" s="62" t="s">
        <v>248</v>
      </c>
      <c r="E30" s="63" t="n">
        <f aca="false">2_Market_Gross_USD!E28*(1-0.065)</f>
        <v>1150.985</v>
      </c>
      <c r="F30" s="53" t="n">
        <f aca="false">E30/0.7429</f>
        <v>1549.31350114417</v>
      </c>
      <c r="G30" s="54" t="n">
        <f aca="false">F30*0.2038+0</f>
        <v>315.750091533181</v>
      </c>
      <c r="H30" s="55" t="n">
        <f aca="false">F30+G30</f>
        <v>1865.06359267735</v>
      </c>
      <c r="I30" s="54" t="n">
        <f aca="false">H30-(2_Market_Gross_USD!E28+35)</f>
        <v>599.063592677346</v>
      </c>
      <c r="J30" s="64" t="n">
        <f aca="false">IFERROR(H30/(2_Market_Gross_USD!E28+35),0)</f>
        <v>1.47319399105636</v>
      </c>
      <c r="K30" s="63" t="n">
        <f aca="false">2_Market_Gross_USD!E28*(1-0.065)</f>
        <v>1150.985</v>
      </c>
      <c r="L30" s="53" t="n">
        <f aca="false">K30/0.88</f>
        <v>1307.9375</v>
      </c>
      <c r="M30" s="54" t="n">
        <f aca="false">L30*0+0</f>
        <v>0</v>
      </c>
      <c r="N30" s="55" t="n">
        <f aca="false">L30+M30</f>
        <v>1307.9375</v>
      </c>
      <c r="O30" s="54" t="n">
        <f aca="false">N30-(2_Market_Gross_USD!E28+35)</f>
        <v>41.9375000000002</v>
      </c>
      <c r="P30" s="64" t="n">
        <f aca="false">IFERROR(N30/(2_Market_Gross_USD!E28+35),0)</f>
        <v>1.03312598736177</v>
      </c>
      <c r="Q30" s="63" t="n">
        <f aca="false">2_Market_Gross_USD!E28*(1-0.065)</f>
        <v>1150.985</v>
      </c>
      <c r="R30" s="53" t="n">
        <f aca="false">Q30/0.7429</f>
        <v>1549.31350114417</v>
      </c>
      <c r="S30" s="54" t="n">
        <f aca="false">R30*0.2038+500</f>
        <v>815.750091533181</v>
      </c>
      <c r="T30" s="55" t="n">
        <f aca="false">R30+S30</f>
        <v>2365.06359267735</v>
      </c>
      <c r="U30" s="54" t="n">
        <f aca="false">T30-(2_Market_Gross_USD!E28+35)</f>
        <v>1099.06359267735</v>
      </c>
      <c r="V30" s="64" t="n">
        <f aca="false">IFERROR(T30/(2_Market_Gross_USD!E28+35),0)</f>
        <v>1.86813869879727</v>
      </c>
      <c r="W30" s="63" t="n">
        <f aca="false">2_Market_Gross_USD!E28*(1-0.065)</f>
        <v>1150.985</v>
      </c>
      <c r="X30" s="53" t="n">
        <f aca="false">W30/0.72</f>
        <v>1598.59027777778</v>
      </c>
      <c r="Y30" s="54" t="n">
        <f aca="false">X30*0.15+0</f>
        <v>239.788541666667</v>
      </c>
      <c r="Z30" s="55" t="n">
        <f aca="false">X30+Y30</f>
        <v>1838.37881944444</v>
      </c>
      <c r="AA30" s="54" t="n">
        <f aca="false">Z30-(2_Market_Gross_USD!E28+35)</f>
        <v>572.378819444445</v>
      </c>
      <c r="AB30" s="64" t="n">
        <f aca="false">IFERROR(Z30/(2_Market_Gross_USD!E28+35),0)</f>
        <v>1.45211597112515</v>
      </c>
      <c r="AC30" s="63" t="n">
        <f aca="false">2_Market_Gross_USD!E28*(1-0.065)</f>
        <v>1150.985</v>
      </c>
      <c r="AD30" s="53" t="n">
        <f aca="false">AC30/0.81</f>
        <v>1420.96913580247</v>
      </c>
      <c r="AE30" s="54" t="n">
        <f aca="false">AD30*0+0</f>
        <v>0</v>
      </c>
      <c r="AF30" s="55" t="n">
        <f aca="false">AD30+AE30</f>
        <v>1420.96913580247</v>
      </c>
      <c r="AG30" s="54" t="n">
        <f aca="false">AF30-(2_Market_Gross_USD!E28+35)</f>
        <v>154.969135802469</v>
      </c>
      <c r="AH30" s="64" t="n">
        <f aca="false">IFERROR(AF30/(2_Market_Gross_USD!E28+35),0)</f>
        <v>1.12240848009674</v>
      </c>
      <c r="AI30" s="63" t="n">
        <f aca="false">2_Market_Gross_USD!E28*(1-0.065)</f>
        <v>1150.985</v>
      </c>
      <c r="AJ30" s="53" t="n">
        <f aca="false">AI30/0.72</f>
        <v>1598.59027777778</v>
      </c>
      <c r="AK30" s="54" t="n">
        <f aca="false">AJ30*0.15+500</f>
        <v>739.788541666667</v>
      </c>
      <c r="AL30" s="55" t="n">
        <f aca="false">AJ30+AK30</f>
        <v>2338.37881944444</v>
      </c>
      <c r="AM30" s="54" t="n">
        <f aca="false">AL30-(2_Market_Gross_USD!E28+35)</f>
        <v>1072.37881944444</v>
      </c>
      <c r="AN30" s="64" t="n">
        <f aca="false">IFERROR(AL30/(2_Market_Gross_USD!E28+35),0)</f>
        <v>1.84706067886607</v>
      </c>
      <c r="AO30" s="63" t="n">
        <f aca="false">2_Market_Gross_USD!E28*(1-0.065)</f>
        <v>1150.985</v>
      </c>
      <c r="AP30" s="53" t="n">
        <f aca="false">AO30/0.7035</f>
        <v>1636.08386638237</v>
      </c>
      <c r="AQ30" s="54" t="n">
        <f aca="false">AP30*0.11+0</f>
        <v>179.969225302061</v>
      </c>
      <c r="AR30" s="55" t="n">
        <f aca="false">AP30+AQ30</f>
        <v>1816.05309168444</v>
      </c>
      <c r="AS30" s="54" t="n">
        <f aca="false">AR30-(2_Market_Gross_USD!E28+35)</f>
        <v>550.053091684435</v>
      </c>
      <c r="AT30" s="64" t="n">
        <f aca="false">IFERROR(AR30/(2_Market_Gross_USD!E28+35),0)</f>
        <v>1.43448111507459</v>
      </c>
      <c r="AU30" s="63" t="n">
        <f aca="false">2_Market_Gross_USD!E28*(1-0.065)</f>
        <v>1150.985</v>
      </c>
      <c r="AV30" s="53" t="n">
        <f aca="false">AU30/0.627</f>
        <v>1835.70175438597</v>
      </c>
      <c r="AW30" s="54" t="n">
        <f aca="false">AV30*0+0</f>
        <v>0</v>
      </c>
      <c r="AX30" s="55" t="n">
        <f aca="false">AV30+AW30</f>
        <v>1835.70175438597</v>
      </c>
      <c r="AY30" s="54" t="n">
        <f aca="false">AX30-(2_Market_Gross_USD!E28+35)</f>
        <v>569.701754385965</v>
      </c>
      <c r="AZ30" s="64" t="n">
        <f aca="false">IFERROR(AX30/(2_Market_Gross_USD!E28+35),0)</f>
        <v>1.4500013857709</v>
      </c>
      <c r="BA30" s="63" t="n">
        <f aca="false">2_Market_Gross_USD!E28*(1-0.065)</f>
        <v>1150.985</v>
      </c>
      <c r="BB30" s="53" t="n">
        <f aca="false">BA30/0.7035</f>
        <v>1636.08386638237</v>
      </c>
      <c r="BC30" s="54" t="n">
        <f aca="false">BB30*0.11+500</f>
        <v>679.969225302061</v>
      </c>
      <c r="BD30" s="55" t="n">
        <f aca="false">BB30+BC30</f>
        <v>2316.05309168444</v>
      </c>
      <c r="BE30" s="54" t="n">
        <f aca="false">BD30-(2_Market_Gross_USD!E28+35)</f>
        <v>1050.05309168444</v>
      </c>
      <c r="BF30" s="64" t="n">
        <f aca="false">IFERROR(BD30/(2_Market_Gross_USD!E28+35),0)</f>
        <v>1.82942582281551</v>
      </c>
      <c r="BG30" s="63" t="n">
        <f aca="false">2_Market_Gross_USD!E28*(1-0.065)</f>
        <v>1150.985</v>
      </c>
      <c r="BH30" s="53" t="n">
        <f aca="false">BG30/0.5215</f>
        <v>2207.06615532119</v>
      </c>
      <c r="BI30" s="54" t="n">
        <f aca="false">BH30*0.21+0</f>
        <v>463.48389261745</v>
      </c>
      <c r="BJ30" s="55" t="n">
        <f aca="false">BH30+BI30</f>
        <v>2670.55004793864</v>
      </c>
      <c r="BK30" s="54" t="n">
        <f aca="false">BJ30-(2_Market_Gross_USD!E28+35)</f>
        <v>1404.55004793864</v>
      </c>
      <c r="BL30" s="64" t="n">
        <f aca="false">IFERROR(BJ30/(2_Market_Gross_USD!E28+35),0)</f>
        <v>2.10943921638123</v>
      </c>
      <c r="BM30" s="63" t="n">
        <f aca="false">2_Market_Gross_USD!E28*(1-0.065)</f>
        <v>1150.985</v>
      </c>
      <c r="BN30" s="53" t="n">
        <f aca="false">BM30/0.75</f>
        <v>1534.64666666667</v>
      </c>
      <c r="BO30" s="54" t="n">
        <f aca="false">BN30*0+0</f>
        <v>0</v>
      </c>
      <c r="BP30" s="55" t="n">
        <f aca="false">BN30+BO30</f>
        <v>1534.64666666667</v>
      </c>
      <c r="BQ30" s="54" t="n">
        <f aca="false">BP30-(2_Market_Gross_USD!E28+35)</f>
        <v>268.646666666667</v>
      </c>
      <c r="BR30" s="64" t="n">
        <f aca="false">IFERROR(BP30/(2_Market_Gross_USD!E28+35),0)</f>
        <v>1.21220115850448</v>
      </c>
      <c r="BS30" s="63" t="n">
        <f aca="false">2_Market_Gross_USD!E28*(1-0.065)</f>
        <v>1150.985</v>
      </c>
      <c r="BT30" s="53" t="n">
        <f aca="false">BS30/0.5215</f>
        <v>2207.06615532119</v>
      </c>
      <c r="BU30" s="54" t="n">
        <f aca="false">BT30*0.21+500</f>
        <v>963.48389261745</v>
      </c>
      <c r="BV30" s="55" t="n">
        <f aca="false">BT30+BU30</f>
        <v>3170.55004793864</v>
      </c>
      <c r="BW30" s="54" t="n">
        <f aca="false">BV30-(2_Market_Gross_USD!E28+35)</f>
        <v>1904.55004793864</v>
      </c>
      <c r="BX30" s="64" t="n">
        <f aca="false">IFERROR(BV30/(2_Market_Gross_USD!E28+35),0)</f>
        <v>2.50438392412215</v>
      </c>
      <c r="BY30" s="63" t="n">
        <f aca="false">2_Market_Gross_USD!E28*(1-0.065)</f>
        <v>1150.985</v>
      </c>
      <c r="BZ30" s="53" t="n">
        <f aca="false">BY30/0.6303</f>
        <v>1826.0907504363</v>
      </c>
      <c r="CA30" s="54" t="n">
        <f aca="false">BZ30*0.2+0</f>
        <v>365.21815008726</v>
      </c>
      <c r="CB30" s="55" t="n">
        <f aca="false">BZ30+CA30</f>
        <v>2191.30890052356</v>
      </c>
      <c r="CC30" s="54" t="n">
        <f aca="false">CB30-(2_Market_Gross_USD!E28+35)</f>
        <v>925.308900523561</v>
      </c>
      <c r="CD30" s="64" t="n">
        <f aca="false">IFERROR(CB30/(2_Market_Gross_USD!E28+35),0)</f>
        <v>1.73089170657469</v>
      </c>
      <c r="CE30" s="63" t="n">
        <f aca="false">2_Market_Gross_USD!E28*(1-0.065)</f>
        <v>1150.985</v>
      </c>
      <c r="CF30" s="53" t="n">
        <f aca="false">CE30/0.6303</f>
        <v>1826.0907504363</v>
      </c>
      <c r="CG30" s="54" t="n">
        <f aca="false">CF30*0+0</f>
        <v>0</v>
      </c>
      <c r="CH30" s="55" t="n">
        <f aca="false">CF30+CG30</f>
        <v>1826.0907504363</v>
      </c>
      <c r="CI30" s="54" t="n">
        <f aca="false">CH30-(2_Market_Gross_USD!E28+35)</f>
        <v>560.0907504363</v>
      </c>
      <c r="CJ30" s="64" t="n">
        <f aca="false">IFERROR(CH30/(2_Market_Gross_USD!E28+35),0)</f>
        <v>1.44240975547891</v>
      </c>
      <c r="CK30" s="63" t="n">
        <f aca="false">2_Market_Gross_USD!E28*(1-0.065)</f>
        <v>1150.985</v>
      </c>
      <c r="CL30" s="53" t="n">
        <f aca="false">CK30/0.6303</f>
        <v>1826.0907504363</v>
      </c>
      <c r="CM30" s="54" t="n">
        <f aca="false">CL30*0.2+500</f>
        <v>865.21815008726</v>
      </c>
      <c r="CN30" s="55" t="n">
        <f aca="false">CL30+CM30</f>
        <v>2691.30890052356</v>
      </c>
      <c r="CO30" s="54" t="n">
        <f aca="false">CN30-(2_Market_Gross_USD!E28+35)</f>
        <v>1425.30890052356</v>
      </c>
      <c r="CP30" s="64" t="n">
        <f aca="false">IFERROR(CN30/(2_Market_Gross_USD!E28+35),0)</f>
        <v>2.12583641431561</v>
      </c>
      <c r="CQ30" s="63" t="n">
        <f aca="false">2_Market_Gross_USD!E28*(1-0.065)</f>
        <v>1150.985</v>
      </c>
      <c r="CR30" s="53" t="n">
        <f aca="false">CQ30/0.74</f>
        <v>1555.38513513514</v>
      </c>
      <c r="CS30" s="54" t="n">
        <f aca="false">CR30*0.338+0</f>
        <v>525.720175675676</v>
      </c>
      <c r="CT30" s="55" t="n">
        <f aca="false">CR30+CS30</f>
        <v>2081.10531081081</v>
      </c>
      <c r="CU30" s="54" t="n">
        <f aca="false">CT30-(2_Market_Gross_USD!E28+35)</f>
        <v>815.105310810811</v>
      </c>
      <c r="CV30" s="64" t="n">
        <f aca="false">IFERROR(CT30/(2_Market_Gross_USD!E28+35),0)</f>
        <v>1.64384305751249</v>
      </c>
      <c r="CW30" s="63" t="n">
        <f aca="false">2_Market_Gross_USD!E28*(1-0.065)</f>
        <v>1150.985</v>
      </c>
      <c r="CX30" s="53" t="n">
        <f aca="false">CW30/0.85</f>
        <v>1354.1</v>
      </c>
      <c r="CY30" s="54" t="n">
        <f aca="false">CX30*0+0</f>
        <v>0</v>
      </c>
      <c r="CZ30" s="55" t="n">
        <f aca="false">CX30+CY30</f>
        <v>1354.1</v>
      </c>
      <c r="DA30" s="54" t="n">
        <f aca="false">CZ30-(2_Market_Gross_USD!E28+35)</f>
        <v>88.1000000000001</v>
      </c>
      <c r="DB30" s="64" t="n">
        <f aca="false">IFERROR(CZ30/(2_Market_Gross_USD!E28+35),0)</f>
        <v>1.06958925750395</v>
      </c>
      <c r="DC30" s="63" t="n">
        <f aca="false">2_Market_Gross_USD!E28*(1-0.065)</f>
        <v>1150.985</v>
      </c>
      <c r="DD30" s="53" t="n">
        <f aca="false">DC30/0.74</f>
        <v>1555.38513513514</v>
      </c>
      <c r="DE30" s="54" t="n">
        <f aca="false">DD30*0.338+500</f>
        <v>1025.72017567568</v>
      </c>
      <c r="DF30" s="55" t="n">
        <f aca="false">DD30+DE30</f>
        <v>2581.10531081081</v>
      </c>
      <c r="DG30" s="54" t="n">
        <f aca="false">DF30-(2_Market_Gross_USD!E28+35)</f>
        <v>1315.10531081081</v>
      </c>
      <c r="DH30" s="64" t="n">
        <f aca="false">IFERROR(DF30/(2_Market_Gross_USD!E28+35),0)</f>
        <v>2.03878776525341</v>
      </c>
      <c r="DI30" s="63" t="n">
        <f aca="false">2_Market_Gross_USD!E28*(1-0.065)</f>
        <v>1150.985</v>
      </c>
      <c r="DJ30" s="53" t="n">
        <f aca="false">DI30/0.66</f>
        <v>1743.91666666667</v>
      </c>
      <c r="DK30" s="54" t="n">
        <f aca="false">DJ30*0.2375+0</f>
        <v>414.180208333333</v>
      </c>
      <c r="DL30" s="55" t="n">
        <f aca="false">DJ30+DK30</f>
        <v>2158.096875</v>
      </c>
      <c r="DM30" s="54" t="n">
        <f aca="false">DL30-(2_Market_Gross_USD!E28+35)</f>
        <v>892.096875</v>
      </c>
      <c r="DN30" s="64" t="n">
        <f aca="false">IFERROR(DL30/(2_Market_Gross_USD!E28+35),0)</f>
        <v>1.70465787914692</v>
      </c>
      <c r="DO30" s="63" t="n">
        <f aca="false">2_Market_Gross_USD!E28*(1-0.065)</f>
        <v>1150.985</v>
      </c>
      <c r="DP30" s="53" t="n">
        <f aca="false">DO30/0.8</f>
        <v>1438.73125</v>
      </c>
      <c r="DQ30" s="54" t="n">
        <f aca="false">DP30*0+0</f>
        <v>0</v>
      </c>
      <c r="DR30" s="55" t="n">
        <f aca="false">DP30+DQ30</f>
        <v>1438.73125</v>
      </c>
      <c r="DS30" s="54" t="n">
        <f aca="false">DR30-(2_Market_Gross_USD!E28+35)</f>
        <v>172.73125</v>
      </c>
      <c r="DT30" s="64" t="n">
        <f aca="false">IFERROR(DR30/(2_Market_Gross_USD!E28+35),0)</f>
        <v>1.13643858609795</v>
      </c>
      <c r="DU30" s="63" t="n">
        <f aca="false">2_Market_Gross_USD!E28*(1-0.065)</f>
        <v>1150.985</v>
      </c>
      <c r="DV30" s="53" t="n">
        <f aca="false">DU30/0.66</f>
        <v>1743.91666666667</v>
      </c>
      <c r="DW30" s="54" t="n">
        <f aca="false">DV30*0.2375+500</f>
        <v>914.180208333333</v>
      </c>
      <c r="DX30" s="55" t="n">
        <f aca="false">DV30+DW30</f>
        <v>2658.096875</v>
      </c>
      <c r="DY30" s="54" t="n">
        <f aca="false">DX30-(2_Market_Gross_USD!E28+35)</f>
        <v>1392.096875</v>
      </c>
      <c r="DZ30" s="64" t="n">
        <f aca="false">IFERROR(DX30/(2_Market_Gross_USD!E28+35),0)</f>
        <v>2.09960258688784</v>
      </c>
      <c r="EA30" s="63" t="n">
        <f aca="false">2_Market_Gross_USD!E28*(1-0.065)</f>
        <v>1150.985</v>
      </c>
      <c r="EB30" s="53" t="n">
        <f aca="false">EA30/0.65</f>
        <v>1770.74615384615</v>
      </c>
      <c r="EC30" s="54" t="n">
        <f aca="false">EB30*0.0225+0</f>
        <v>39.8417884615385</v>
      </c>
      <c r="ED30" s="55" t="n">
        <f aca="false">EB30+EC30</f>
        <v>1810.58794230769</v>
      </c>
      <c r="EE30" s="54" t="n">
        <f aca="false">ED30-(2_Market_Gross_USD!E28+35)</f>
        <v>544.587942307692</v>
      </c>
      <c r="EF30" s="64" t="n">
        <f aca="false">IFERROR(ED30/(2_Market_Gross_USD!E28+35),0)</f>
        <v>1.43016425142788</v>
      </c>
      <c r="EG30" s="63" t="n">
        <f aca="false">2_Market_Gross_USD!E28*(1-0.065)</f>
        <v>1150.985</v>
      </c>
      <c r="EH30" s="53" t="n">
        <f aca="false">EG30/0.99</f>
        <v>1162.61111111111</v>
      </c>
      <c r="EI30" s="54" t="n">
        <f aca="false">EH30*0+0</f>
        <v>0</v>
      </c>
      <c r="EJ30" s="55" t="n">
        <f aca="false">EH30+EI30</f>
        <v>1162.61111111111</v>
      </c>
      <c r="EK30" s="54" t="n">
        <f aca="false">EJ30-(2_Market_Gross_USD!E28+35)</f>
        <v>-103.388888888889</v>
      </c>
      <c r="EL30" s="64" t="n">
        <f aca="false">IFERROR(EJ30/(2_Market_Gross_USD!E28+35),0)</f>
        <v>0.91833421098824</v>
      </c>
      <c r="EM30" s="63" t="n">
        <f aca="false">2_Market_Gross_USD!E28*(1-0.065)</f>
        <v>1150.985</v>
      </c>
      <c r="EN30" s="53" t="n">
        <f aca="false">EM30/0.65</f>
        <v>1770.74615384615</v>
      </c>
      <c r="EO30" s="54" t="n">
        <f aca="false">EN30*0.0225+500</f>
        <v>539.841788461539</v>
      </c>
      <c r="EP30" s="55" t="n">
        <f aca="false">EN30+EO30</f>
        <v>2310.58794230769</v>
      </c>
      <c r="EQ30" s="54" t="n">
        <f aca="false">EP30-(2_Market_Gross_USD!E28+35)</f>
        <v>1044.58794230769</v>
      </c>
      <c r="ER30" s="64" t="n">
        <f aca="false">IFERROR(EP30/(2_Market_Gross_USD!E28+35),0)</f>
        <v>1.82510895916879</v>
      </c>
    </row>
    <row r="31" customFormat="false" ht="15" hidden="false" customHeight="false" outlineLevel="0" collapsed="false">
      <c r="A31" s="41" t="n">
        <v>26</v>
      </c>
      <c r="B31" s="28" t="s">
        <v>259</v>
      </c>
      <c r="C31" s="8" t="s">
        <v>263</v>
      </c>
      <c r="D31" s="65" t="s">
        <v>249</v>
      </c>
      <c r="E31" s="63" t="n">
        <f aca="false">2_Market_Gross_USD!E29*(1-0.065)</f>
        <v>3740</v>
      </c>
      <c r="F31" s="53" t="n">
        <f aca="false">E31/0.7429</f>
        <v>5034.32494279176</v>
      </c>
      <c r="G31" s="58" t="n">
        <f aca="false">F31*0.2038+0</f>
        <v>1025.99542334096</v>
      </c>
      <c r="H31" s="55" t="n">
        <f aca="false">F31+G31</f>
        <v>6060.32036613272</v>
      </c>
      <c r="I31" s="58" t="n">
        <f aca="false">H31-(2_Market_Gross_USD!E29+35)</f>
        <v>2025.32036613272</v>
      </c>
      <c r="J31" s="66" t="n">
        <f aca="false">IFERROR(H31/(2_Market_Gross_USD!E29+35),0)</f>
        <v>1.50193813287056</v>
      </c>
      <c r="K31" s="63" t="n">
        <f aca="false">2_Market_Gross_USD!E29*(1-0.065)</f>
        <v>3740</v>
      </c>
      <c r="L31" s="53" t="n">
        <f aca="false">K31/0.88</f>
        <v>4250</v>
      </c>
      <c r="M31" s="58" t="n">
        <f aca="false">L31*0+0</f>
        <v>0</v>
      </c>
      <c r="N31" s="55" t="n">
        <f aca="false">L31+M31</f>
        <v>4250</v>
      </c>
      <c r="O31" s="58" t="n">
        <f aca="false">N31-(2_Market_Gross_USD!E29+35)</f>
        <v>215</v>
      </c>
      <c r="P31" s="66" t="n">
        <f aca="false">IFERROR(N31/(2_Market_Gross_USD!E29+35),0)</f>
        <v>1.05328376703841</v>
      </c>
      <c r="Q31" s="63" t="n">
        <f aca="false">2_Market_Gross_USD!E29*(1-0.065)</f>
        <v>3740</v>
      </c>
      <c r="R31" s="53" t="n">
        <f aca="false">Q31/0.7429</f>
        <v>5034.32494279176</v>
      </c>
      <c r="S31" s="58" t="n">
        <f aca="false">R31*0.2038+500</f>
        <v>1525.99542334096</v>
      </c>
      <c r="T31" s="55" t="n">
        <f aca="false">R31+S31</f>
        <v>6560.32036613272</v>
      </c>
      <c r="U31" s="58" t="n">
        <f aca="false">T31-(2_Market_Gross_USD!E29+35)</f>
        <v>2525.32036613272</v>
      </c>
      <c r="V31" s="66" t="n">
        <f aca="false">IFERROR(T31/(2_Market_Gross_USD!E29+35),0)</f>
        <v>1.6258538701692</v>
      </c>
      <c r="W31" s="63" t="n">
        <f aca="false">2_Market_Gross_USD!E29*(1-0.065)</f>
        <v>3740</v>
      </c>
      <c r="X31" s="53" t="n">
        <f aca="false">W31/0.72</f>
        <v>5194.44444444444</v>
      </c>
      <c r="Y31" s="58" t="n">
        <f aca="false">X31*0.15+0</f>
        <v>779.166666666667</v>
      </c>
      <c r="Z31" s="55" t="n">
        <f aca="false">X31+Y31</f>
        <v>5973.61111111111</v>
      </c>
      <c r="AA31" s="58" t="n">
        <f aca="false">Z31-(2_Market_Gross_USD!E29+35)</f>
        <v>1938.61111111111</v>
      </c>
      <c r="AB31" s="66" t="n">
        <f aca="false">IFERROR(Z31/(2_Market_Gross_USD!E29+35),0)</f>
        <v>1.48044885033733</v>
      </c>
      <c r="AC31" s="63" t="n">
        <f aca="false">2_Market_Gross_USD!E29*(1-0.065)</f>
        <v>3740</v>
      </c>
      <c r="AD31" s="53" t="n">
        <f aca="false">AC31/0.81</f>
        <v>4617.28395061728</v>
      </c>
      <c r="AE31" s="58" t="n">
        <f aca="false">AD31*0+0</f>
        <v>0</v>
      </c>
      <c r="AF31" s="55" t="n">
        <f aca="false">AD31+AE31</f>
        <v>4617.28395061728</v>
      </c>
      <c r="AG31" s="58" t="n">
        <f aca="false">AF31-(2_Market_Gross_USD!E29+35)</f>
        <v>582.283950617284</v>
      </c>
      <c r="AH31" s="66" t="n">
        <f aca="false">IFERROR(AF31/(2_Market_Gross_USD!E29+35),0)</f>
        <v>1.14430829011581</v>
      </c>
      <c r="AI31" s="63" t="n">
        <f aca="false">2_Market_Gross_USD!E29*(1-0.065)</f>
        <v>3740</v>
      </c>
      <c r="AJ31" s="53" t="n">
        <f aca="false">AI31/0.72</f>
        <v>5194.44444444444</v>
      </c>
      <c r="AK31" s="58" t="n">
        <f aca="false">AJ31*0.15+500</f>
        <v>1279.16666666667</v>
      </c>
      <c r="AL31" s="55" t="n">
        <f aca="false">AJ31+AK31</f>
        <v>6473.61111111111</v>
      </c>
      <c r="AM31" s="58" t="n">
        <f aca="false">AL31-(2_Market_Gross_USD!E29+35)</f>
        <v>2438.61111111111</v>
      </c>
      <c r="AN31" s="66" t="n">
        <f aca="false">IFERROR(AL31/(2_Market_Gross_USD!E29+35),0)</f>
        <v>1.60436458763596</v>
      </c>
      <c r="AO31" s="63" t="n">
        <f aca="false">2_Market_Gross_USD!E29*(1-0.065)</f>
        <v>3740</v>
      </c>
      <c r="AP31" s="53" t="n">
        <f aca="false">AO31/0.7035</f>
        <v>5316.27576403696</v>
      </c>
      <c r="AQ31" s="58" t="n">
        <f aca="false">AP31*0.11+0</f>
        <v>584.790334044065</v>
      </c>
      <c r="AR31" s="55" t="n">
        <f aca="false">AP31+AQ31</f>
        <v>5901.06609808102</v>
      </c>
      <c r="AS31" s="58" t="n">
        <f aca="false">AR31-(2_Market_Gross_USD!E29+35)</f>
        <v>1866.06609808102</v>
      </c>
      <c r="AT31" s="66" t="n">
        <f aca="false">IFERROR(AR31/(2_Market_Gross_USD!E29+35),0)</f>
        <v>1.4624699127834</v>
      </c>
      <c r="AU31" s="63" t="n">
        <f aca="false">2_Market_Gross_USD!E29*(1-0.065)</f>
        <v>3740</v>
      </c>
      <c r="AV31" s="53" t="n">
        <f aca="false">AU31/0.627</f>
        <v>5964.91228070176</v>
      </c>
      <c r="AW31" s="58" t="n">
        <f aca="false">AV31*0+0</f>
        <v>0</v>
      </c>
      <c r="AX31" s="55" t="n">
        <f aca="false">AV31+AW31</f>
        <v>5964.91228070176</v>
      </c>
      <c r="AY31" s="58" t="n">
        <f aca="false">AX31-(2_Market_Gross_USD!E29+35)</f>
        <v>1929.91228070175</v>
      </c>
      <c r="AZ31" s="66" t="n">
        <f aca="false">IFERROR(AX31/(2_Market_Gross_USD!E29+35),0)</f>
        <v>1.4782930063697</v>
      </c>
      <c r="BA31" s="63" t="n">
        <f aca="false">2_Market_Gross_USD!E29*(1-0.065)</f>
        <v>3740</v>
      </c>
      <c r="BB31" s="53" t="n">
        <f aca="false">BA31/0.7035</f>
        <v>5316.27576403696</v>
      </c>
      <c r="BC31" s="58" t="n">
        <f aca="false">BB31*0.11+500</f>
        <v>1084.79033404407</v>
      </c>
      <c r="BD31" s="55" t="n">
        <f aca="false">BB31+BC31</f>
        <v>6401.06609808102</v>
      </c>
      <c r="BE31" s="58" t="n">
        <f aca="false">BD31-(2_Market_Gross_USD!E29+35)</f>
        <v>2366.06609808102</v>
      </c>
      <c r="BF31" s="66" t="n">
        <f aca="false">IFERROR(BD31/(2_Market_Gross_USD!E29+35),0)</f>
        <v>1.58638565008204</v>
      </c>
      <c r="BG31" s="63" t="n">
        <f aca="false">2_Market_Gross_USD!E29*(1-0.065)</f>
        <v>3740</v>
      </c>
      <c r="BH31" s="53" t="n">
        <f aca="false">BG31/0.5215</f>
        <v>7171.62032598274</v>
      </c>
      <c r="BI31" s="58" t="n">
        <f aca="false">BH31*0.21+0</f>
        <v>1506.04026845638</v>
      </c>
      <c r="BJ31" s="55" t="n">
        <f aca="false">BH31+BI31</f>
        <v>8677.66059443912</v>
      </c>
      <c r="BK31" s="58" t="n">
        <f aca="false">BJ31-(2_Market_Gross_USD!E29+35)</f>
        <v>4642.66059443912</v>
      </c>
      <c r="BL31" s="66" t="n">
        <f aca="false">IFERROR(BJ31/(2_Market_Gross_USD!E29+35),0)</f>
        <v>2.1505974211745</v>
      </c>
      <c r="BM31" s="63" t="n">
        <f aca="false">2_Market_Gross_USD!E29*(1-0.065)</f>
        <v>3740</v>
      </c>
      <c r="BN31" s="53" t="n">
        <f aca="false">BM31/0.75</f>
        <v>4986.66666666667</v>
      </c>
      <c r="BO31" s="58" t="n">
        <f aca="false">BN31*0+0</f>
        <v>0</v>
      </c>
      <c r="BP31" s="55" t="n">
        <f aca="false">BN31+BO31</f>
        <v>4986.66666666667</v>
      </c>
      <c r="BQ31" s="58" t="n">
        <f aca="false">BP31-(2_Market_Gross_USD!E29+35)</f>
        <v>951.666666666667</v>
      </c>
      <c r="BR31" s="66" t="n">
        <f aca="false">IFERROR(BP31/(2_Market_Gross_USD!E29+35),0)</f>
        <v>1.23585295332507</v>
      </c>
      <c r="BS31" s="63" t="n">
        <f aca="false">2_Market_Gross_USD!E29*(1-0.065)</f>
        <v>3740</v>
      </c>
      <c r="BT31" s="53" t="n">
        <f aca="false">BS31/0.5215</f>
        <v>7171.62032598274</v>
      </c>
      <c r="BU31" s="58" t="n">
        <f aca="false">BT31*0.21+500</f>
        <v>2006.04026845638</v>
      </c>
      <c r="BV31" s="55" t="n">
        <f aca="false">BT31+BU31</f>
        <v>9177.66059443912</v>
      </c>
      <c r="BW31" s="58" t="n">
        <f aca="false">BV31-(2_Market_Gross_USD!E29+35)</f>
        <v>5142.66059443912</v>
      </c>
      <c r="BX31" s="66" t="n">
        <f aca="false">IFERROR(BV31/(2_Market_Gross_USD!E29+35),0)</f>
        <v>2.27451315847314</v>
      </c>
      <c r="BY31" s="63" t="n">
        <f aca="false">2_Market_Gross_USD!E29*(1-0.065)</f>
        <v>3740</v>
      </c>
      <c r="BZ31" s="53" t="n">
        <f aca="false">BY31/0.6303</f>
        <v>5933.68237347295</v>
      </c>
      <c r="CA31" s="58" t="n">
        <f aca="false">BZ31*0.2+0</f>
        <v>1186.73647469459</v>
      </c>
      <c r="CB31" s="55" t="n">
        <f aca="false">BZ31+CA31</f>
        <v>7120.41884816754</v>
      </c>
      <c r="CC31" s="58" t="n">
        <f aca="false">CB31-(2_Market_Gross_USD!E29+35)</f>
        <v>3085.41884816754</v>
      </c>
      <c r="CD31" s="66" t="n">
        <f aca="false">IFERROR(CB31/(2_Market_Gross_USD!E29+35),0)</f>
        <v>1.76466390289158</v>
      </c>
      <c r="CE31" s="63" t="n">
        <f aca="false">2_Market_Gross_USD!E29*(1-0.065)</f>
        <v>3740</v>
      </c>
      <c r="CF31" s="53" t="n">
        <f aca="false">CE31/0.6303</f>
        <v>5933.68237347295</v>
      </c>
      <c r="CG31" s="58" t="n">
        <f aca="false">CF31*0+0</f>
        <v>0</v>
      </c>
      <c r="CH31" s="55" t="n">
        <f aca="false">CF31+CG31</f>
        <v>5933.68237347295</v>
      </c>
      <c r="CI31" s="58" t="n">
        <f aca="false">CH31-(2_Market_Gross_USD!E29+35)</f>
        <v>1898.68237347295</v>
      </c>
      <c r="CJ31" s="66" t="n">
        <f aca="false">IFERROR(CH31/(2_Market_Gross_USD!E29+35),0)</f>
        <v>1.47055325240965</v>
      </c>
      <c r="CK31" s="63" t="n">
        <f aca="false">2_Market_Gross_USD!E29*(1-0.065)</f>
        <v>3740</v>
      </c>
      <c r="CL31" s="53" t="n">
        <f aca="false">CK31/0.6303</f>
        <v>5933.68237347295</v>
      </c>
      <c r="CM31" s="58" t="n">
        <f aca="false">CL31*0.2+500</f>
        <v>1686.73647469459</v>
      </c>
      <c r="CN31" s="55" t="n">
        <f aca="false">CL31+CM31</f>
        <v>7620.41884816754</v>
      </c>
      <c r="CO31" s="58" t="n">
        <f aca="false">CN31-(2_Market_Gross_USD!E29+35)</f>
        <v>3585.41884816754</v>
      </c>
      <c r="CP31" s="66" t="n">
        <f aca="false">IFERROR(CN31/(2_Market_Gross_USD!E29+35),0)</f>
        <v>1.88857964019022</v>
      </c>
      <c r="CQ31" s="63" t="n">
        <f aca="false">2_Market_Gross_USD!E29*(1-0.065)</f>
        <v>3740</v>
      </c>
      <c r="CR31" s="53" t="n">
        <f aca="false">CQ31/0.74</f>
        <v>5054.05405405405</v>
      </c>
      <c r="CS31" s="58" t="n">
        <f aca="false">CR31*0.338+0</f>
        <v>1708.27027027027</v>
      </c>
      <c r="CT31" s="55" t="n">
        <f aca="false">CR31+CS31</f>
        <v>6762.32432432433</v>
      </c>
      <c r="CU31" s="58" t="n">
        <f aca="false">CT31-(2_Market_Gross_USD!E29+35)</f>
        <v>2727.32432432433</v>
      </c>
      <c r="CV31" s="66" t="n">
        <f aca="false">IFERROR(CT31/(2_Market_Gross_USD!E29+35),0)</f>
        <v>1.67591680900231</v>
      </c>
      <c r="CW31" s="63" t="n">
        <f aca="false">2_Market_Gross_USD!E29*(1-0.065)</f>
        <v>3740</v>
      </c>
      <c r="CX31" s="53" t="n">
        <f aca="false">CW31/0.85</f>
        <v>4400</v>
      </c>
      <c r="CY31" s="58" t="n">
        <f aca="false">CX31*0+0</f>
        <v>0</v>
      </c>
      <c r="CZ31" s="55" t="n">
        <f aca="false">CX31+CY31</f>
        <v>4400</v>
      </c>
      <c r="DA31" s="58" t="n">
        <f aca="false">CZ31-(2_Market_Gross_USD!E29+35)</f>
        <v>365</v>
      </c>
      <c r="DB31" s="66" t="n">
        <f aca="false">IFERROR(CZ31/(2_Market_Gross_USD!E29+35),0)</f>
        <v>1.09045848822801</v>
      </c>
      <c r="DC31" s="63" t="n">
        <f aca="false">2_Market_Gross_USD!E29*(1-0.065)</f>
        <v>3740</v>
      </c>
      <c r="DD31" s="53" t="n">
        <f aca="false">DC31/0.74</f>
        <v>5054.05405405405</v>
      </c>
      <c r="DE31" s="58" t="n">
        <f aca="false">DD31*0.338+500</f>
        <v>2208.27027027027</v>
      </c>
      <c r="DF31" s="55" t="n">
        <f aca="false">DD31+DE31</f>
        <v>7262.32432432433</v>
      </c>
      <c r="DG31" s="58" t="n">
        <f aca="false">DF31-(2_Market_Gross_USD!E29+35)</f>
        <v>3227.32432432433</v>
      </c>
      <c r="DH31" s="66" t="n">
        <f aca="false">IFERROR(DF31/(2_Market_Gross_USD!E29+35),0)</f>
        <v>1.79983254630095</v>
      </c>
      <c r="DI31" s="63" t="n">
        <f aca="false">2_Market_Gross_USD!E29*(1-0.065)</f>
        <v>3740</v>
      </c>
      <c r="DJ31" s="53" t="n">
        <f aca="false">DI31/0.66</f>
        <v>5666.66666666667</v>
      </c>
      <c r="DK31" s="58" t="n">
        <f aca="false">DJ31*0.2375+0</f>
        <v>1345.83333333333</v>
      </c>
      <c r="DL31" s="55" t="n">
        <f aca="false">DJ31+DK31</f>
        <v>7012.5</v>
      </c>
      <c r="DM31" s="58" t="n">
        <f aca="false">DL31-(2_Market_Gross_USD!E29+35)</f>
        <v>2977.5</v>
      </c>
      <c r="DN31" s="66" t="n">
        <f aca="false">IFERROR(DL31/(2_Market_Gross_USD!E29+35),0)</f>
        <v>1.73791821561338</v>
      </c>
      <c r="DO31" s="63" t="n">
        <f aca="false">2_Market_Gross_USD!E29*(1-0.065)</f>
        <v>3740</v>
      </c>
      <c r="DP31" s="53" t="n">
        <f aca="false">DO31/0.8</f>
        <v>4675</v>
      </c>
      <c r="DQ31" s="58" t="n">
        <f aca="false">DP31*0+0</f>
        <v>0</v>
      </c>
      <c r="DR31" s="55" t="n">
        <f aca="false">DP31+DQ31</f>
        <v>4675</v>
      </c>
      <c r="DS31" s="58" t="n">
        <f aca="false">DR31-(2_Market_Gross_USD!E29+35)</f>
        <v>640</v>
      </c>
      <c r="DT31" s="66" t="n">
        <f aca="false">IFERROR(DR31/(2_Market_Gross_USD!E29+35),0)</f>
        <v>1.15861214374226</v>
      </c>
      <c r="DU31" s="63" t="n">
        <f aca="false">2_Market_Gross_USD!E29*(1-0.065)</f>
        <v>3740</v>
      </c>
      <c r="DV31" s="53" t="n">
        <f aca="false">DU31/0.66</f>
        <v>5666.66666666667</v>
      </c>
      <c r="DW31" s="58" t="n">
        <f aca="false">DV31*0.2375+500</f>
        <v>1845.83333333333</v>
      </c>
      <c r="DX31" s="55" t="n">
        <f aca="false">DV31+DW31</f>
        <v>7512.5</v>
      </c>
      <c r="DY31" s="58" t="n">
        <f aca="false">DX31-(2_Market_Gross_USD!E29+35)</f>
        <v>3477.5</v>
      </c>
      <c r="DZ31" s="66" t="n">
        <f aca="false">IFERROR(DX31/(2_Market_Gross_USD!E29+35),0)</f>
        <v>1.86183395291202</v>
      </c>
      <c r="EA31" s="63" t="n">
        <f aca="false">2_Market_Gross_USD!E29*(1-0.065)</f>
        <v>3740</v>
      </c>
      <c r="EB31" s="53" t="n">
        <f aca="false">EA31/0.65</f>
        <v>5753.84615384615</v>
      </c>
      <c r="EC31" s="58" t="n">
        <f aca="false">EB31*0.0225+0</f>
        <v>129.461538461538</v>
      </c>
      <c r="ED31" s="55" t="n">
        <f aca="false">EB31+EC31</f>
        <v>5883.30769230769</v>
      </c>
      <c r="EE31" s="58" t="n">
        <f aca="false">ED31-(2_Market_Gross_USD!E29+35)</f>
        <v>1848.30769230769</v>
      </c>
      <c r="EF31" s="66" t="n">
        <f aca="false">IFERROR(ED31/(2_Market_Gross_USD!E29+35),0)</f>
        <v>1.4580688208941</v>
      </c>
      <c r="EG31" s="63" t="n">
        <f aca="false">2_Market_Gross_USD!E29*(1-0.065)</f>
        <v>3740</v>
      </c>
      <c r="EH31" s="53" t="n">
        <f aca="false">EG31/0.99</f>
        <v>3777.77777777778</v>
      </c>
      <c r="EI31" s="58" t="n">
        <f aca="false">EH31*0+0</f>
        <v>0</v>
      </c>
      <c r="EJ31" s="55" t="n">
        <f aca="false">EH31+EI31</f>
        <v>3777.77777777778</v>
      </c>
      <c r="EK31" s="58" t="n">
        <f aca="false">EJ31-(2_Market_Gross_USD!E29+35)</f>
        <v>-257.222222222222</v>
      </c>
      <c r="EL31" s="66" t="n">
        <f aca="false">IFERROR(EJ31/(2_Market_Gross_USD!E29+35),0)</f>
        <v>0.936252237367479</v>
      </c>
      <c r="EM31" s="63" t="n">
        <f aca="false">2_Market_Gross_USD!E29*(1-0.065)</f>
        <v>3740</v>
      </c>
      <c r="EN31" s="53" t="n">
        <f aca="false">EM31/0.65</f>
        <v>5753.84615384615</v>
      </c>
      <c r="EO31" s="58" t="n">
        <f aca="false">EN31*0.0225+500</f>
        <v>629.461538461539</v>
      </c>
      <c r="EP31" s="55" t="n">
        <f aca="false">EN31+EO31</f>
        <v>6383.30769230769</v>
      </c>
      <c r="EQ31" s="58" t="n">
        <f aca="false">EP31-(2_Market_Gross_USD!E29+35)</f>
        <v>2348.30769230769</v>
      </c>
      <c r="ER31" s="66" t="n">
        <f aca="false">IFERROR(EP31/(2_Market_Gross_USD!E29+35),0)</f>
        <v>1.58198455819274</v>
      </c>
    </row>
    <row r="32" customFormat="false" ht="15" hidden="false" customHeight="false" outlineLevel="0" collapsed="false">
      <c r="A32" s="37" t="n">
        <v>27</v>
      </c>
      <c r="B32" s="32" t="s">
        <v>264</v>
      </c>
      <c r="C32" s="32" t="s">
        <v>265</v>
      </c>
      <c r="D32" s="62" t="s">
        <v>248</v>
      </c>
      <c r="E32" s="63" t="n">
        <f aca="false">2_Market_Gross_USD!E30*(1-0.065)</f>
        <v>1262.25</v>
      </c>
      <c r="F32" s="53" t="n">
        <f aca="false">E32/0.7429</f>
        <v>1699.08466819222</v>
      </c>
      <c r="G32" s="54" t="n">
        <f aca="false">F32*0.2038+0</f>
        <v>346.273455377574</v>
      </c>
      <c r="H32" s="55" t="n">
        <f aca="false">F32+G32</f>
        <v>2045.35812356979</v>
      </c>
      <c r="I32" s="54" t="n">
        <f aca="false">H32-(2_Market_Gross_USD!E30+35)</f>
        <v>660.358123569794</v>
      </c>
      <c r="J32" s="64" t="n">
        <f aca="false">IFERROR(H32/(2_Market_Gross_USD!E30+35),0)</f>
        <v>1.47679286900346</v>
      </c>
      <c r="K32" s="63" t="n">
        <f aca="false">2_Market_Gross_USD!E30*(1-0.065)</f>
        <v>1262.25</v>
      </c>
      <c r="L32" s="53" t="n">
        <f aca="false">K32/0.88</f>
        <v>1434.375</v>
      </c>
      <c r="M32" s="54" t="n">
        <f aca="false">L32*0+0</f>
        <v>0</v>
      </c>
      <c r="N32" s="55" t="n">
        <f aca="false">L32+M32</f>
        <v>1434.375</v>
      </c>
      <c r="O32" s="54" t="n">
        <f aca="false">N32-(2_Market_Gross_USD!E30+35)</f>
        <v>49.375</v>
      </c>
      <c r="P32" s="64" t="n">
        <f aca="false">IFERROR(N32/(2_Market_Gross_USD!E30+35),0)</f>
        <v>1.03564981949459</v>
      </c>
      <c r="Q32" s="63" t="n">
        <f aca="false">2_Market_Gross_USD!E30*(1-0.065)</f>
        <v>1262.25</v>
      </c>
      <c r="R32" s="53" t="n">
        <f aca="false">Q32/0.7429</f>
        <v>1699.08466819222</v>
      </c>
      <c r="S32" s="54" t="n">
        <f aca="false">R32*0.2038+500</f>
        <v>846.273455377574</v>
      </c>
      <c r="T32" s="55" t="n">
        <f aca="false">R32+S32</f>
        <v>2545.35812356979</v>
      </c>
      <c r="U32" s="54" t="n">
        <f aca="false">T32-(2_Market_Gross_USD!E30+35)</f>
        <v>1160.35812356979</v>
      </c>
      <c r="V32" s="64" t="n">
        <f aca="false">IFERROR(T32/(2_Market_Gross_USD!E30+35),0)</f>
        <v>1.83780369932837</v>
      </c>
      <c r="W32" s="63" t="n">
        <f aca="false">2_Market_Gross_USD!E30*(1-0.065)</f>
        <v>1262.25</v>
      </c>
      <c r="X32" s="53" t="n">
        <f aca="false">W32/0.72</f>
        <v>1753.125</v>
      </c>
      <c r="Y32" s="54" t="n">
        <f aca="false">X32*0.15+0</f>
        <v>262.96875</v>
      </c>
      <c r="Z32" s="55" t="n">
        <f aca="false">X32+Y32</f>
        <v>2016.09375</v>
      </c>
      <c r="AA32" s="54" t="n">
        <f aca="false">Z32-(2_Market_Gross_USD!E30+35)</f>
        <v>631.09375</v>
      </c>
      <c r="AB32" s="64" t="n">
        <f aca="false">IFERROR(Z32/(2_Market_Gross_USD!E30+35),0)</f>
        <v>1.45566335740072</v>
      </c>
      <c r="AC32" s="63" t="n">
        <f aca="false">2_Market_Gross_USD!E30*(1-0.065)</f>
        <v>1262.25</v>
      </c>
      <c r="AD32" s="53" t="n">
        <f aca="false">AC32/0.81</f>
        <v>1558.33333333333</v>
      </c>
      <c r="AE32" s="54" t="n">
        <f aca="false">AD32*0+0</f>
        <v>0</v>
      </c>
      <c r="AF32" s="55" t="n">
        <f aca="false">AD32+AE32</f>
        <v>1558.33333333333</v>
      </c>
      <c r="AG32" s="54" t="n">
        <f aca="false">AF32-(2_Market_Gross_USD!E30+35)</f>
        <v>173.333333333333</v>
      </c>
      <c r="AH32" s="64" t="n">
        <f aca="false">IFERROR(AF32/(2_Market_Gross_USD!E30+35),0)</f>
        <v>1.1251504211793</v>
      </c>
      <c r="AI32" s="63" t="n">
        <f aca="false">2_Market_Gross_USD!E30*(1-0.065)</f>
        <v>1262.25</v>
      </c>
      <c r="AJ32" s="53" t="n">
        <f aca="false">AI32/0.72</f>
        <v>1753.125</v>
      </c>
      <c r="AK32" s="54" t="n">
        <f aca="false">AJ32*0.15+500</f>
        <v>762.96875</v>
      </c>
      <c r="AL32" s="55" t="n">
        <f aca="false">AJ32+AK32</f>
        <v>2516.09375</v>
      </c>
      <c r="AM32" s="54" t="n">
        <f aca="false">AL32-(2_Market_Gross_USD!E30+35)</f>
        <v>1131.09375</v>
      </c>
      <c r="AN32" s="64" t="n">
        <f aca="false">IFERROR(AL32/(2_Market_Gross_USD!E30+35),0)</f>
        <v>1.81667418772563</v>
      </c>
      <c r="AO32" s="63" t="n">
        <f aca="false">2_Market_Gross_USD!E30*(1-0.065)</f>
        <v>1262.25</v>
      </c>
      <c r="AP32" s="53" t="n">
        <f aca="false">AO32/0.7035</f>
        <v>1794.24307036247</v>
      </c>
      <c r="AQ32" s="54" t="n">
        <f aca="false">AP32*0.11+0</f>
        <v>197.366737739872</v>
      </c>
      <c r="AR32" s="55" t="n">
        <f aca="false">AP32+AQ32</f>
        <v>1991.60980810235</v>
      </c>
      <c r="AS32" s="54" t="n">
        <f aca="false">AR32-(2_Market_Gross_USD!E30+35)</f>
        <v>606.609808102346</v>
      </c>
      <c r="AT32" s="64" t="n">
        <f aca="false">IFERROR(AR32/(2_Market_Gross_USD!E30+35),0)</f>
        <v>1.43798542101252</v>
      </c>
      <c r="AU32" s="63" t="n">
        <f aca="false">2_Market_Gross_USD!E30*(1-0.065)</f>
        <v>1262.25</v>
      </c>
      <c r="AV32" s="53" t="n">
        <f aca="false">AU32/0.627</f>
        <v>2013.15789473684</v>
      </c>
      <c r="AW32" s="54" t="n">
        <f aca="false">AV32*0+0</f>
        <v>0</v>
      </c>
      <c r="AX32" s="55" t="n">
        <f aca="false">AV32+AW32</f>
        <v>2013.15789473684</v>
      </c>
      <c r="AY32" s="54" t="n">
        <f aca="false">AX32-(2_Market_Gross_USD!E30+35)</f>
        <v>628.157894736842</v>
      </c>
      <c r="AZ32" s="64" t="n">
        <f aca="false">IFERROR(AX32/(2_Market_Gross_USD!E30+35),0)</f>
        <v>1.45354360630819</v>
      </c>
      <c r="BA32" s="63" t="n">
        <f aca="false">2_Market_Gross_USD!E30*(1-0.065)</f>
        <v>1262.25</v>
      </c>
      <c r="BB32" s="53" t="n">
        <f aca="false">BA32/0.7035</f>
        <v>1794.24307036247</v>
      </c>
      <c r="BC32" s="54" t="n">
        <f aca="false">BB32*0.11+500</f>
        <v>697.366737739872</v>
      </c>
      <c r="BD32" s="55" t="n">
        <f aca="false">BB32+BC32</f>
        <v>2491.60980810235</v>
      </c>
      <c r="BE32" s="54" t="n">
        <f aca="false">BD32-(2_Market_Gross_USD!E30+35)</f>
        <v>1106.60980810235</v>
      </c>
      <c r="BF32" s="64" t="n">
        <f aca="false">IFERROR(BD32/(2_Market_Gross_USD!E30+35),0)</f>
        <v>1.79899625133743</v>
      </c>
      <c r="BG32" s="63" t="n">
        <f aca="false">2_Market_Gross_USD!E30*(1-0.065)</f>
        <v>1262.25</v>
      </c>
      <c r="BH32" s="53" t="n">
        <f aca="false">BG32/0.5215</f>
        <v>2420.42186001918</v>
      </c>
      <c r="BI32" s="54" t="n">
        <f aca="false">BH32*0.21+0</f>
        <v>508.288590604027</v>
      </c>
      <c r="BJ32" s="55" t="n">
        <f aca="false">BH32+BI32</f>
        <v>2928.7104506232</v>
      </c>
      <c r="BK32" s="54" t="n">
        <f aca="false">BJ32-(2_Market_Gross_USD!E30+35)</f>
        <v>1543.7104506232</v>
      </c>
      <c r="BL32" s="64" t="n">
        <f aca="false">IFERROR(BJ32/(2_Market_Gross_USD!E30+35),0)</f>
        <v>2.11459238312145</v>
      </c>
      <c r="BM32" s="63" t="n">
        <f aca="false">2_Market_Gross_USD!E30*(1-0.065)</f>
        <v>1262.25</v>
      </c>
      <c r="BN32" s="53" t="n">
        <f aca="false">BM32/0.75</f>
        <v>1683</v>
      </c>
      <c r="BO32" s="54" t="n">
        <f aca="false">BN32*0+0</f>
        <v>0</v>
      </c>
      <c r="BP32" s="55" t="n">
        <f aca="false">BN32+BO32</f>
        <v>1683</v>
      </c>
      <c r="BQ32" s="54" t="n">
        <f aca="false">BP32-(2_Market_Gross_USD!E30+35)</f>
        <v>298</v>
      </c>
      <c r="BR32" s="64" t="n">
        <f aca="false">IFERROR(BP32/(2_Market_Gross_USD!E30+35),0)</f>
        <v>1.21516245487365</v>
      </c>
      <c r="BS32" s="63" t="n">
        <f aca="false">2_Market_Gross_USD!E30*(1-0.065)</f>
        <v>1262.25</v>
      </c>
      <c r="BT32" s="53" t="n">
        <f aca="false">BS32/0.5215</f>
        <v>2420.42186001918</v>
      </c>
      <c r="BU32" s="54" t="n">
        <f aca="false">BT32*0.21+500</f>
        <v>1008.28859060403</v>
      </c>
      <c r="BV32" s="55" t="n">
        <f aca="false">BT32+BU32</f>
        <v>3428.7104506232</v>
      </c>
      <c r="BW32" s="54" t="n">
        <f aca="false">BV32-(2_Market_Gross_USD!E30+35)</f>
        <v>2043.7104506232</v>
      </c>
      <c r="BX32" s="64" t="n">
        <f aca="false">IFERROR(BV32/(2_Market_Gross_USD!E30+35),0)</f>
        <v>2.47560321344636</v>
      </c>
      <c r="BY32" s="63" t="n">
        <f aca="false">2_Market_Gross_USD!E30*(1-0.065)</f>
        <v>1262.25</v>
      </c>
      <c r="BZ32" s="53" t="n">
        <f aca="false">BY32/0.6303</f>
        <v>2002.61780104712</v>
      </c>
      <c r="CA32" s="54" t="n">
        <f aca="false">BZ32*0.2+0</f>
        <v>400.523560209424</v>
      </c>
      <c r="CB32" s="55" t="n">
        <f aca="false">BZ32+CA32</f>
        <v>2403.14136125654</v>
      </c>
      <c r="CC32" s="54" t="n">
        <f aca="false">CB32-(2_Market_Gross_USD!E30+35)</f>
        <v>1018.14136125654</v>
      </c>
      <c r="CD32" s="64" t="n">
        <f aca="false">IFERROR(CB32/(2_Market_Gross_USD!E30+35),0)</f>
        <v>1.73512011643072</v>
      </c>
      <c r="CE32" s="63" t="n">
        <f aca="false">2_Market_Gross_USD!E30*(1-0.065)</f>
        <v>1262.25</v>
      </c>
      <c r="CF32" s="53" t="n">
        <f aca="false">CE32/0.6303</f>
        <v>2002.61780104712</v>
      </c>
      <c r="CG32" s="54" t="n">
        <f aca="false">CF32*0+0</f>
        <v>0</v>
      </c>
      <c r="CH32" s="55" t="n">
        <f aca="false">CF32+CG32</f>
        <v>2002.61780104712</v>
      </c>
      <c r="CI32" s="54" t="n">
        <f aca="false">CH32-(2_Market_Gross_USD!E30+35)</f>
        <v>617.617801047121</v>
      </c>
      <c r="CJ32" s="64" t="n">
        <f aca="false">IFERROR(CH32/(2_Market_Gross_USD!E30+35),0)</f>
        <v>1.44593343035893</v>
      </c>
      <c r="CK32" s="63" t="n">
        <f aca="false">2_Market_Gross_USD!E30*(1-0.065)</f>
        <v>1262.25</v>
      </c>
      <c r="CL32" s="53" t="n">
        <f aca="false">CK32/0.6303</f>
        <v>2002.61780104712</v>
      </c>
      <c r="CM32" s="54" t="n">
        <f aca="false">CL32*0.2+500</f>
        <v>900.523560209424</v>
      </c>
      <c r="CN32" s="55" t="n">
        <f aca="false">CL32+CM32</f>
        <v>2903.14136125654</v>
      </c>
      <c r="CO32" s="54" t="n">
        <f aca="false">CN32-(2_Market_Gross_USD!E30+35)</f>
        <v>1518.14136125654</v>
      </c>
      <c r="CP32" s="64" t="n">
        <f aca="false">IFERROR(CN32/(2_Market_Gross_USD!E30+35),0)</f>
        <v>2.09613094675563</v>
      </c>
      <c r="CQ32" s="63" t="n">
        <f aca="false">2_Market_Gross_USD!E30*(1-0.065)</f>
        <v>1262.25</v>
      </c>
      <c r="CR32" s="53" t="n">
        <f aca="false">CQ32/0.74</f>
        <v>1705.74324324324</v>
      </c>
      <c r="CS32" s="54" t="n">
        <f aca="false">CR32*0.338+0</f>
        <v>576.541216216216</v>
      </c>
      <c r="CT32" s="55" t="n">
        <f aca="false">CR32+CS32</f>
        <v>2282.28445945946</v>
      </c>
      <c r="CU32" s="54" t="n">
        <f aca="false">CT32-(2_Market_Gross_USD!E30+35)</f>
        <v>897.28445945946</v>
      </c>
      <c r="CV32" s="64" t="n">
        <f aca="false">IFERROR(CT32/(2_Market_Gross_USD!E30+35),0)</f>
        <v>1.64785881549419</v>
      </c>
      <c r="CW32" s="63" t="n">
        <f aca="false">2_Market_Gross_USD!E30*(1-0.065)</f>
        <v>1262.25</v>
      </c>
      <c r="CX32" s="53" t="n">
        <f aca="false">CW32/0.85</f>
        <v>1485</v>
      </c>
      <c r="CY32" s="54" t="n">
        <f aca="false">CX32*0+0</f>
        <v>0</v>
      </c>
      <c r="CZ32" s="55" t="n">
        <f aca="false">CX32+CY32</f>
        <v>1485</v>
      </c>
      <c r="DA32" s="54" t="n">
        <f aca="false">CZ32-(2_Market_Gross_USD!E30+35)</f>
        <v>100</v>
      </c>
      <c r="DB32" s="64" t="n">
        <f aca="false">IFERROR(CZ32/(2_Market_Gross_USD!E30+35),0)</f>
        <v>1.07220216606498</v>
      </c>
      <c r="DC32" s="63" t="n">
        <f aca="false">2_Market_Gross_USD!E30*(1-0.065)</f>
        <v>1262.25</v>
      </c>
      <c r="DD32" s="53" t="n">
        <f aca="false">DC32/0.74</f>
        <v>1705.74324324324</v>
      </c>
      <c r="DE32" s="54" t="n">
        <f aca="false">DD32*0.338+500</f>
        <v>1076.54121621622</v>
      </c>
      <c r="DF32" s="55" t="n">
        <f aca="false">DD32+DE32</f>
        <v>2782.28445945946</v>
      </c>
      <c r="DG32" s="54" t="n">
        <f aca="false">DF32-(2_Market_Gross_USD!E30+35)</f>
        <v>1397.28445945946</v>
      </c>
      <c r="DH32" s="64" t="n">
        <f aca="false">IFERROR(DF32/(2_Market_Gross_USD!E30+35),0)</f>
        <v>2.0088696458191</v>
      </c>
      <c r="DI32" s="63" t="n">
        <f aca="false">2_Market_Gross_USD!E30*(1-0.065)</f>
        <v>1262.25</v>
      </c>
      <c r="DJ32" s="53" t="n">
        <f aca="false">DI32/0.66</f>
        <v>1912.5</v>
      </c>
      <c r="DK32" s="54" t="n">
        <f aca="false">DJ32*0.2375+0</f>
        <v>454.21875</v>
      </c>
      <c r="DL32" s="55" t="n">
        <f aca="false">DJ32+DK32</f>
        <v>2366.71875</v>
      </c>
      <c r="DM32" s="54" t="n">
        <f aca="false">DL32-(2_Market_Gross_USD!E30+35)</f>
        <v>981.71875</v>
      </c>
      <c r="DN32" s="64" t="n">
        <f aca="false">IFERROR(DL32/(2_Market_Gross_USD!E30+35),0)</f>
        <v>1.70882220216607</v>
      </c>
      <c r="DO32" s="63" t="n">
        <f aca="false">2_Market_Gross_USD!E30*(1-0.065)</f>
        <v>1262.25</v>
      </c>
      <c r="DP32" s="53" t="n">
        <f aca="false">DO32/0.8</f>
        <v>1577.8125</v>
      </c>
      <c r="DQ32" s="54" t="n">
        <f aca="false">DP32*0+0</f>
        <v>0</v>
      </c>
      <c r="DR32" s="55" t="n">
        <f aca="false">DP32+DQ32</f>
        <v>1577.8125</v>
      </c>
      <c r="DS32" s="54" t="n">
        <f aca="false">DR32-(2_Market_Gross_USD!E30+35)</f>
        <v>192.8125</v>
      </c>
      <c r="DT32" s="64" t="n">
        <f aca="false">IFERROR(DR32/(2_Market_Gross_USD!E30+35),0)</f>
        <v>1.13921480144404</v>
      </c>
      <c r="DU32" s="63" t="n">
        <f aca="false">2_Market_Gross_USD!E30*(1-0.065)</f>
        <v>1262.25</v>
      </c>
      <c r="DV32" s="53" t="n">
        <f aca="false">DU32/0.66</f>
        <v>1912.5</v>
      </c>
      <c r="DW32" s="54" t="n">
        <f aca="false">DV32*0.2375+500</f>
        <v>954.21875</v>
      </c>
      <c r="DX32" s="55" t="n">
        <f aca="false">DV32+DW32</f>
        <v>2866.71875</v>
      </c>
      <c r="DY32" s="54" t="n">
        <f aca="false">DX32-(2_Market_Gross_USD!E30+35)</f>
        <v>1481.71875</v>
      </c>
      <c r="DZ32" s="64" t="n">
        <f aca="false">IFERROR(DX32/(2_Market_Gross_USD!E30+35),0)</f>
        <v>2.06983303249098</v>
      </c>
      <c r="EA32" s="63" t="n">
        <f aca="false">2_Market_Gross_USD!E30*(1-0.065)</f>
        <v>1262.25</v>
      </c>
      <c r="EB32" s="53" t="n">
        <f aca="false">EA32/0.65</f>
        <v>1941.92307692308</v>
      </c>
      <c r="EC32" s="54" t="n">
        <f aca="false">EB32*0.0225+0</f>
        <v>43.6932692307692</v>
      </c>
      <c r="ED32" s="55" t="n">
        <f aca="false">EB32+EC32</f>
        <v>1985.61634615385</v>
      </c>
      <c r="EE32" s="54" t="n">
        <f aca="false">ED32-(2_Market_Gross_USD!E30+35)</f>
        <v>600.616346153846</v>
      </c>
      <c r="EF32" s="64" t="n">
        <f aca="false">IFERROR(ED32/(2_Market_Gross_USD!E30+35),0)</f>
        <v>1.43365801166343</v>
      </c>
      <c r="EG32" s="63" t="n">
        <f aca="false">2_Market_Gross_USD!E30*(1-0.065)</f>
        <v>1262.25</v>
      </c>
      <c r="EH32" s="53" t="n">
        <f aca="false">EG32/0.99</f>
        <v>1275</v>
      </c>
      <c r="EI32" s="54" t="n">
        <f aca="false">EH32*0+0</f>
        <v>0</v>
      </c>
      <c r="EJ32" s="55" t="n">
        <f aca="false">EH32+EI32</f>
        <v>1275</v>
      </c>
      <c r="EK32" s="54" t="n">
        <f aca="false">EJ32-(2_Market_Gross_USD!E30+35)</f>
        <v>-110</v>
      </c>
      <c r="EL32" s="64" t="n">
        <f aca="false">IFERROR(EJ32/(2_Market_Gross_USD!E30+35),0)</f>
        <v>0.92057761732852</v>
      </c>
      <c r="EM32" s="63" t="n">
        <f aca="false">2_Market_Gross_USD!E30*(1-0.065)</f>
        <v>1262.25</v>
      </c>
      <c r="EN32" s="53" t="n">
        <f aca="false">EM32/0.65</f>
        <v>1941.92307692308</v>
      </c>
      <c r="EO32" s="54" t="n">
        <f aca="false">EN32*0.0225+500</f>
        <v>543.693269230769</v>
      </c>
      <c r="EP32" s="55" t="n">
        <f aca="false">EN32+EO32</f>
        <v>2485.61634615385</v>
      </c>
      <c r="EQ32" s="54" t="n">
        <f aca="false">EP32-(2_Market_Gross_USD!E30+35)</f>
        <v>1100.61634615385</v>
      </c>
      <c r="ER32" s="64" t="n">
        <f aca="false">IFERROR(EP32/(2_Market_Gross_USD!E30+35),0)</f>
        <v>1.79466884198834</v>
      </c>
    </row>
    <row r="33" customFormat="false" ht="15" hidden="false" customHeight="false" outlineLevel="0" collapsed="false">
      <c r="A33" s="41" t="n">
        <v>28</v>
      </c>
      <c r="B33" s="28" t="s">
        <v>264</v>
      </c>
      <c r="C33" s="8" t="s">
        <v>265</v>
      </c>
      <c r="D33" s="65" t="s">
        <v>249</v>
      </c>
      <c r="E33" s="63" t="n">
        <f aca="false">2_Market_Gross_USD!E31*(1-0.065)</f>
        <v>3038.75</v>
      </c>
      <c r="F33" s="53" t="n">
        <f aca="false">E33/0.7429</f>
        <v>4090.38901601831</v>
      </c>
      <c r="G33" s="58" t="n">
        <f aca="false">F33*0.2038+0</f>
        <v>833.621281464531</v>
      </c>
      <c r="H33" s="55" t="n">
        <f aca="false">F33+G33</f>
        <v>4924.01029748284</v>
      </c>
      <c r="I33" s="58" t="n">
        <f aca="false">H33-(2_Market_Gross_USD!E31+35)</f>
        <v>1639.01029748284</v>
      </c>
      <c r="J33" s="66" t="n">
        <f aca="false">IFERROR(H33/(2_Market_Gross_USD!E31+35),0)</f>
        <v>1.49893768568732</v>
      </c>
      <c r="K33" s="63" t="n">
        <f aca="false">2_Market_Gross_USD!E31*(1-0.065)</f>
        <v>3038.75</v>
      </c>
      <c r="L33" s="53" t="n">
        <f aca="false">K33/0.88</f>
        <v>3453.125</v>
      </c>
      <c r="M33" s="58" t="n">
        <f aca="false">L33*0+0</f>
        <v>0</v>
      </c>
      <c r="N33" s="55" t="n">
        <f aca="false">L33+M33</f>
        <v>3453.125</v>
      </c>
      <c r="O33" s="58" t="n">
        <f aca="false">N33-(2_Market_Gross_USD!E31+35)</f>
        <v>168.125</v>
      </c>
      <c r="P33" s="66" t="n">
        <f aca="false">IFERROR(N33/(2_Market_Gross_USD!E31+35),0)</f>
        <v>1.0511796042618</v>
      </c>
      <c r="Q33" s="63" t="n">
        <f aca="false">2_Market_Gross_USD!E31*(1-0.065)</f>
        <v>3038.75</v>
      </c>
      <c r="R33" s="53" t="n">
        <f aca="false">Q33/0.7429</f>
        <v>4090.38901601831</v>
      </c>
      <c r="S33" s="58" t="n">
        <f aca="false">R33*0.2038+500</f>
        <v>1333.62128146453</v>
      </c>
      <c r="T33" s="55" t="n">
        <f aca="false">R33+S33</f>
        <v>5424.01029748284</v>
      </c>
      <c r="U33" s="58" t="n">
        <f aca="false">T33-(2_Market_Gross_USD!E31+35)</f>
        <v>2139.01029748284</v>
      </c>
      <c r="V33" s="66" t="n">
        <f aca="false">IFERROR(T33/(2_Market_Gross_USD!E31+35),0)</f>
        <v>1.65114468720939</v>
      </c>
      <c r="W33" s="63" t="n">
        <f aca="false">2_Market_Gross_USD!E31*(1-0.065)</f>
        <v>3038.75</v>
      </c>
      <c r="X33" s="53" t="n">
        <f aca="false">W33/0.72</f>
        <v>4220.48611111111</v>
      </c>
      <c r="Y33" s="58" t="n">
        <f aca="false">X33*0.15+0</f>
        <v>633.072916666667</v>
      </c>
      <c r="Z33" s="55" t="n">
        <f aca="false">X33+Y33</f>
        <v>4853.55902777778</v>
      </c>
      <c r="AA33" s="58" t="n">
        <f aca="false">Z33-(2_Market_Gross_USD!E31+35)</f>
        <v>1568.55902777778</v>
      </c>
      <c r="AB33" s="66" t="n">
        <f aca="false">IFERROR(Z33/(2_Market_Gross_USD!E31+35),0)</f>
        <v>1.47749133265686</v>
      </c>
      <c r="AC33" s="63" t="n">
        <f aca="false">2_Market_Gross_USD!E31*(1-0.065)</f>
        <v>3038.75</v>
      </c>
      <c r="AD33" s="53" t="n">
        <f aca="false">AC33/0.81</f>
        <v>3751.54320987654</v>
      </c>
      <c r="AE33" s="58" t="n">
        <f aca="false">AD33*0+0</f>
        <v>0</v>
      </c>
      <c r="AF33" s="55" t="n">
        <f aca="false">AD33+AE33</f>
        <v>3751.54320987654</v>
      </c>
      <c r="AG33" s="58" t="n">
        <f aca="false">AF33-(2_Market_Gross_USD!E31+35)</f>
        <v>466.543209876543</v>
      </c>
      <c r="AH33" s="66" t="n">
        <f aca="false">IFERROR(AF33/(2_Market_Gross_USD!E31+35),0)</f>
        <v>1.14202228611158</v>
      </c>
      <c r="AI33" s="63" t="n">
        <f aca="false">2_Market_Gross_USD!E31*(1-0.065)</f>
        <v>3038.75</v>
      </c>
      <c r="AJ33" s="53" t="n">
        <f aca="false">AI33/0.72</f>
        <v>4220.48611111111</v>
      </c>
      <c r="AK33" s="58" t="n">
        <f aca="false">AJ33*0.15+500</f>
        <v>1133.07291666667</v>
      </c>
      <c r="AL33" s="55" t="n">
        <f aca="false">AJ33+AK33</f>
        <v>5353.55902777778</v>
      </c>
      <c r="AM33" s="58" t="n">
        <f aca="false">AL33-(2_Market_Gross_USD!E31+35)</f>
        <v>2068.55902777778</v>
      </c>
      <c r="AN33" s="66" t="n">
        <f aca="false">IFERROR(AL33/(2_Market_Gross_USD!E31+35),0)</f>
        <v>1.62969833417893</v>
      </c>
      <c r="AO33" s="63" t="n">
        <f aca="false">2_Market_Gross_USD!E31*(1-0.065)</f>
        <v>3038.75</v>
      </c>
      <c r="AP33" s="53" t="n">
        <f aca="false">AO33/0.7035</f>
        <v>4319.47405828003</v>
      </c>
      <c r="AQ33" s="58" t="n">
        <f aca="false">AP33*0.11+0</f>
        <v>475.142146410803</v>
      </c>
      <c r="AR33" s="55" t="n">
        <f aca="false">AP33+AQ33</f>
        <v>4794.61620469083</v>
      </c>
      <c r="AS33" s="58" t="n">
        <f aca="false">AR33-(2_Market_Gross_USD!E31+35)</f>
        <v>1509.61620469083</v>
      </c>
      <c r="AT33" s="66" t="n">
        <f aca="false">IFERROR(AR33/(2_Market_Gross_USD!E31+35),0)</f>
        <v>1.45954831193024</v>
      </c>
      <c r="AU33" s="63" t="n">
        <f aca="false">2_Market_Gross_USD!E31*(1-0.065)</f>
        <v>3038.75</v>
      </c>
      <c r="AV33" s="53" t="n">
        <f aca="false">AU33/0.627</f>
        <v>4846.49122807018</v>
      </c>
      <c r="AW33" s="58" t="n">
        <f aca="false">AV33*0+0</f>
        <v>0</v>
      </c>
      <c r="AX33" s="55" t="n">
        <f aca="false">AV33+AW33</f>
        <v>4846.49122807018</v>
      </c>
      <c r="AY33" s="58" t="n">
        <f aca="false">AX33-(2_Market_Gross_USD!E31+35)</f>
        <v>1561.49122807018</v>
      </c>
      <c r="AZ33" s="66" t="n">
        <f aca="false">IFERROR(AX33/(2_Market_Gross_USD!E31+35),0)</f>
        <v>1.47533979545515</v>
      </c>
      <c r="BA33" s="63" t="n">
        <f aca="false">2_Market_Gross_USD!E31*(1-0.065)</f>
        <v>3038.75</v>
      </c>
      <c r="BB33" s="53" t="n">
        <f aca="false">BA33/0.7035</f>
        <v>4319.47405828003</v>
      </c>
      <c r="BC33" s="58" t="n">
        <f aca="false">BB33*0.11+500</f>
        <v>975.142146410803</v>
      </c>
      <c r="BD33" s="55" t="n">
        <f aca="false">BB33+BC33</f>
        <v>5294.61620469083</v>
      </c>
      <c r="BE33" s="58" t="n">
        <f aca="false">BD33-(2_Market_Gross_USD!E31+35)</f>
        <v>2009.61620469083</v>
      </c>
      <c r="BF33" s="66" t="n">
        <f aca="false">IFERROR(BD33/(2_Market_Gross_USD!E31+35),0)</f>
        <v>1.61175531345231</v>
      </c>
      <c r="BG33" s="63" t="n">
        <f aca="false">2_Market_Gross_USD!E31*(1-0.065)</f>
        <v>3038.75</v>
      </c>
      <c r="BH33" s="53" t="n">
        <f aca="false">BG33/0.5215</f>
        <v>5826.94151486098</v>
      </c>
      <c r="BI33" s="58" t="n">
        <f aca="false">BH33*0.21+0</f>
        <v>1223.65771812081</v>
      </c>
      <c r="BJ33" s="55" t="n">
        <f aca="false">BH33+BI33</f>
        <v>7050.59923298178</v>
      </c>
      <c r="BK33" s="58" t="n">
        <f aca="false">BJ33-(2_Market_Gross_USD!E31+35)</f>
        <v>3765.59923298178</v>
      </c>
      <c r="BL33" s="66" t="n">
        <f aca="false">IFERROR(BJ33/(2_Market_Gross_USD!E31+35),0)</f>
        <v>2.14630113637193</v>
      </c>
      <c r="BM33" s="63" t="n">
        <f aca="false">2_Market_Gross_USD!E31*(1-0.065)</f>
        <v>3038.75</v>
      </c>
      <c r="BN33" s="53" t="n">
        <f aca="false">BM33/0.75</f>
        <v>4051.66666666667</v>
      </c>
      <c r="BO33" s="58" t="n">
        <f aca="false">BN33*0+0</f>
        <v>0</v>
      </c>
      <c r="BP33" s="55" t="n">
        <f aca="false">BN33+BO33</f>
        <v>4051.66666666667</v>
      </c>
      <c r="BQ33" s="58" t="n">
        <f aca="false">BP33-(2_Market_Gross_USD!E31+35)</f>
        <v>766.666666666667</v>
      </c>
      <c r="BR33" s="66" t="n">
        <f aca="false">IFERROR(BP33/(2_Market_Gross_USD!E31+35),0)</f>
        <v>1.23338406900051</v>
      </c>
      <c r="BS33" s="63" t="n">
        <f aca="false">2_Market_Gross_USD!E31*(1-0.065)</f>
        <v>3038.75</v>
      </c>
      <c r="BT33" s="53" t="n">
        <f aca="false">BS33/0.5215</f>
        <v>5826.94151486098</v>
      </c>
      <c r="BU33" s="58" t="n">
        <f aca="false">BT33*0.21+500</f>
        <v>1723.65771812081</v>
      </c>
      <c r="BV33" s="55" t="n">
        <f aca="false">BT33+BU33</f>
        <v>7550.59923298178</v>
      </c>
      <c r="BW33" s="58" t="n">
        <f aca="false">BV33-(2_Market_Gross_USD!E31+35)</f>
        <v>4265.59923298178</v>
      </c>
      <c r="BX33" s="66" t="n">
        <f aca="false">IFERROR(BV33/(2_Market_Gross_USD!E31+35),0)</f>
        <v>2.298508137894</v>
      </c>
      <c r="BY33" s="63" t="n">
        <f aca="false">2_Market_Gross_USD!E31*(1-0.065)</f>
        <v>3038.75</v>
      </c>
      <c r="BZ33" s="53" t="n">
        <f aca="false">BY33/0.6303</f>
        <v>4821.11692844677</v>
      </c>
      <c r="CA33" s="58" t="n">
        <f aca="false">BZ33*0.2+0</f>
        <v>964.223385689354</v>
      </c>
      <c r="CB33" s="55" t="n">
        <f aca="false">BZ33+CA33</f>
        <v>5785.34031413613</v>
      </c>
      <c r="CC33" s="58" t="n">
        <f aca="false">CB33-(2_Market_Gross_USD!E31+35)</f>
        <v>2500.34031413613</v>
      </c>
      <c r="CD33" s="66" t="n">
        <f aca="false">IFERROR(CB33/(2_Market_Gross_USD!E31+35),0)</f>
        <v>1.76113860399882</v>
      </c>
      <c r="CE33" s="63" t="n">
        <f aca="false">2_Market_Gross_USD!E31*(1-0.065)</f>
        <v>3038.75</v>
      </c>
      <c r="CF33" s="53" t="n">
        <f aca="false">CE33/0.6303</f>
        <v>4821.11692844677</v>
      </c>
      <c r="CG33" s="58" t="n">
        <f aca="false">CF33*0+0</f>
        <v>0</v>
      </c>
      <c r="CH33" s="55" t="n">
        <f aca="false">CF33+CG33</f>
        <v>4821.11692844677</v>
      </c>
      <c r="CI33" s="58" t="n">
        <f aca="false">CH33-(2_Market_Gross_USD!E31+35)</f>
        <v>1536.11692844677</v>
      </c>
      <c r="CJ33" s="66" t="n">
        <f aca="false">IFERROR(CH33/(2_Market_Gross_USD!E31+35),0)</f>
        <v>1.46761550333235</v>
      </c>
      <c r="CK33" s="63" t="n">
        <f aca="false">2_Market_Gross_USD!E31*(1-0.065)</f>
        <v>3038.75</v>
      </c>
      <c r="CL33" s="53" t="n">
        <f aca="false">CK33/0.6303</f>
        <v>4821.11692844677</v>
      </c>
      <c r="CM33" s="58" t="n">
        <f aca="false">CL33*0.2+500</f>
        <v>1464.22338568935</v>
      </c>
      <c r="CN33" s="55" t="n">
        <f aca="false">CL33+CM33</f>
        <v>6285.34031413613</v>
      </c>
      <c r="CO33" s="58" t="n">
        <f aca="false">CN33-(2_Market_Gross_USD!E31+35)</f>
        <v>3000.34031413613</v>
      </c>
      <c r="CP33" s="66" t="n">
        <f aca="false">IFERROR(CN33/(2_Market_Gross_USD!E31+35),0)</f>
        <v>1.91334560552089</v>
      </c>
      <c r="CQ33" s="63" t="n">
        <f aca="false">2_Market_Gross_USD!E31*(1-0.065)</f>
        <v>3038.75</v>
      </c>
      <c r="CR33" s="53" t="n">
        <f aca="false">CQ33/0.74</f>
        <v>4106.41891891892</v>
      </c>
      <c r="CS33" s="58" t="n">
        <f aca="false">CR33*0.338+0</f>
        <v>1387.96959459459</v>
      </c>
      <c r="CT33" s="55" t="n">
        <f aca="false">CR33+CS33</f>
        <v>5494.38851351351</v>
      </c>
      <c r="CU33" s="58" t="n">
        <f aca="false">CT33-(2_Market_Gross_USD!E31+35)</f>
        <v>2209.38851351351</v>
      </c>
      <c r="CV33" s="66" t="n">
        <f aca="false">IFERROR(CT33/(2_Market_Gross_USD!E31+35),0)</f>
        <v>1.67256880167839</v>
      </c>
      <c r="CW33" s="63" t="n">
        <f aca="false">2_Market_Gross_USD!E31*(1-0.065)</f>
        <v>3038.75</v>
      </c>
      <c r="CX33" s="53" t="n">
        <f aca="false">CW33/0.85</f>
        <v>3575</v>
      </c>
      <c r="CY33" s="58" t="n">
        <f aca="false">CX33*0+0</f>
        <v>0</v>
      </c>
      <c r="CZ33" s="55" t="n">
        <f aca="false">CX33+CY33</f>
        <v>3575</v>
      </c>
      <c r="DA33" s="58" t="n">
        <f aca="false">CZ33-(2_Market_Gross_USD!E31+35)</f>
        <v>290</v>
      </c>
      <c r="DB33" s="66" t="n">
        <f aca="false">IFERROR(CZ33/(2_Market_Gross_USD!E31+35),0)</f>
        <v>1.0882800608828</v>
      </c>
      <c r="DC33" s="63" t="n">
        <f aca="false">2_Market_Gross_USD!E31*(1-0.065)</f>
        <v>3038.75</v>
      </c>
      <c r="DD33" s="53" t="n">
        <f aca="false">DC33/0.74</f>
        <v>4106.41891891892</v>
      </c>
      <c r="DE33" s="58" t="n">
        <f aca="false">DD33*0.338+500</f>
        <v>1887.96959459459</v>
      </c>
      <c r="DF33" s="55" t="n">
        <f aca="false">DD33+DE33</f>
        <v>5994.38851351351</v>
      </c>
      <c r="DG33" s="58" t="n">
        <f aca="false">DF33-(2_Market_Gross_USD!E31+35)</f>
        <v>2709.38851351351</v>
      </c>
      <c r="DH33" s="66" t="n">
        <f aca="false">IFERROR(DF33/(2_Market_Gross_USD!E31+35),0)</f>
        <v>1.82477580320046</v>
      </c>
      <c r="DI33" s="63" t="n">
        <f aca="false">2_Market_Gross_USD!E31*(1-0.065)</f>
        <v>3038.75</v>
      </c>
      <c r="DJ33" s="53" t="n">
        <f aca="false">DI33/0.66</f>
        <v>4604.16666666667</v>
      </c>
      <c r="DK33" s="58" t="n">
        <f aca="false">DJ33*0.2375+0</f>
        <v>1093.48958333333</v>
      </c>
      <c r="DL33" s="55" t="n">
        <f aca="false">DJ33+DK33</f>
        <v>5697.65625</v>
      </c>
      <c r="DM33" s="58" t="n">
        <f aca="false">DL33-(2_Market_Gross_USD!E31+35)</f>
        <v>2412.65625</v>
      </c>
      <c r="DN33" s="66" t="n">
        <f aca="false">IFERROR(DL33/(2_Market_Gross_USD!E31+35),0)</f>
        <v>1.73444634703196</v>
      </c>
      <c r="DO33" s="63" t="n">
        <f aca="false">2_Market_Gross_USD!E31*(1-0.065)</f>
        <v>3038.75</v>
      </c>
      <c r="DP33" s="53" t="n">
        <f aca="false">DO33/0.8</f>
        <v>3798.4375</v>
      </c>
      <c r="DQ33" s="58" t="n">
        <f aca="false">DP33*0+0</f>
        <v>0</v>
      </c>
      <c r="DR33" s="55" t="n">
        <f aca="false">DP33+DQ33</f>
        <v>3798.4375</v>
      </c>
      <c r="DS33" s="58" t="n">
        <f aca="false">DR33-(2_Market_Gross_USD!E31+35)</f>
        <v>513.4375</v>
      </c>
      <c r="DT33" s="66" t="n">
        <f aca="false">IFERROR(DR33/(2_Market_Gross_USD!E31+35),0)</f>
        <v>1.15629756468798</v>
      </c>
      <c r="DU33" s="63" t="n">
        <f aca="false">2_Market_Gross_USD!E31*(1-0.065)</f>
        <v>3038.75</v>
      </c>
      <c r="DV33" s="53" t="n">
        <f aca="false">DU33/0.66</f>
        <v>4604.16666666667</v>
      </c>
      <c r="DW33" s="58" t="n">
        <f aca="false">DV33*0.2375+500</f>
        <v>1593.48958333333</v>
      </c>
      <c r="DX33" s="55" t="n">
        <f aca="false">DV33+DW33</f>
        <v>6197.65625</v>
      </c>
      <c r="DY33" s="58" t="n">
        <f aca="false">DX33-(2_Market_Gross_USD!E31+35)</f>
        <v>2912.65625</v>
      </c>
      <c r="DZ33" s="66" t="n">
        <f aca="false">IFERROR(DX33/(2_Market_Gross_USD!E31+35),0)</f>
        <v>1.88665334855403</v>
      </c>
      <c r="EA33" s="63" t="n">
        <f aca="false">2_Market_Gross_USD!E31*(1-0.065)</f>
        <v>3038.75</v>
      </c>
      <c r="EB33" s="53" t="n">
        <f aca="false">EA33/0.65</f>
        <v>4675</v>
      </c>
      <c r="EC33" s="58" t="n">
        <f aca="false">EB33*0.0225+0</f>
        <v>105.1875</v>
      </c>
      <c r="ED33" s="55" t="n">
        <f aca="false">EB33+EC33</f>
        <v>4780.1875</v>
      </c>
      <c r="EE33" s="58" t="n">
        <f aca="false">ED33-(2_Market_Gross_USD!E31+35)</f>
        <v>1495.1875</v>
      </c>
      <c r="EF33" s="66" t="n">
        <f aca="false">IFERROR(ED33/(2_Market_Gross_USD!E31+35),0)</f>
        <v>1.45515601217656</v>
      </c>
      <c r="EG33" s="63" t="n">
        <f aca="false">2_Market_Gross_USD!E31*(1-0.065)</f>
        <v>3038.75</v>
      </c>
      <c r="EH33" s="53" t="n">
        <f aca="false">EG33/0.99</f>
        <v>3069.44444444444</v>
      </c>
      <c r="EI33" s="58" t="n">
        <f aca="false">EH33*0+0</f>
        <v>0</v>
      </c>
      <c r="EJ33" s="55" t="n">
        <f aca="false">EH33+EI33</f>
        <v>3069.44444444444</v>
      </c>
      <c r="EK33" s="58" t="n">
        <f aca="false">EJ33-(2_Market_Gross_USD!E31+35)</f>
        <v>-215.555555555556</v>
      </c>
      <c r="EL33" s="66" t="n">
        <f aca="false">IFERROR(EJ33/(2_Market_Gross_USD!E31+35),0)</f>
        <v>0.93438187045493</v>
      </c>
      <c r="EM33" s="63" t="n">
        <f aca="false">2_Market_Gross_USD!E31*(1-0.065)</f>
        <v>3038.75</v>
      </c>
      <c r="EN33" s="53" t="n">
        <f aca="false">EM33/0.65</f>
        <v>4675</v>
      </c>
      <c r="EO33" s="58" t="n">
        <f aca="false">EN33*0.0225+500</f>
        <v>605.1875</v>
      </c>
      <c r="EP33" s="55" t="n">
        <f aca="false">EN33+EO33</f>
        <v>5280.1875</v>
      </c>
      <c r="EQ33" s="58" t="n">
        <f aca="false">EP33-(2_Market_Gross_USD!E31+35)</f>
        <v>1995.1875</v>
      </c>
      <c r="ER33" s="66" t="n">
        <f aca="false">IFERROR(EP33/(2_Market_Gross_USD!E31+35),0)</f>
        <v>1.60736301369863</v>
      </c>
    </row>
    <row r="34" customFormat="false" ht="15" hidden="false" customHeight="false" outlineLevel="0" collapsed="false">
      <c r="A34" s="37" t="n">
        <v>29</v>
      </c>
      <c r="B34" s="32" t="s">
        <v>266</v>
      </c>
      <c r="C34" s="32" t="s">
        <v>267</v>
      </c>
      <c r="D34" s="62" t="s">
        <v>248</v>
      </c>
      <c r="E34" s="63" t="n">
        <f aca="false">2_Market_Gross_USD!E32*(1-0.065)</f>
        <v>1729.75</v>
      </c>
      <c r="F34" s="53" t="n">
        <f aca="false">E34/0.7429</f>
        <v>2328.37528604119</v>
      </c>
      <c r="G34" s="54" t="n">
        <f aca="false">F34*0.2038+0</f>
        <v>474.522883295195</v>
      </c>
      <c r="H34" s="55" t="n">
        <f aca="false">F34+G34</f>
        <v>2802.89816933639</v>
      </c>
      <c r="I34" s="54" t="n">
        <f aca="false">H34-(2_Market_Gross_USD!E32+35)</f>
        <v>917.898169336385</v>
      </c>
      <c r="J34" s="64" t="n">
        <f aca="false">IFERROR(H34/(2_Market_Gross_USD!E32+35),0)</f>
        <v>1.48694863094768</v>
      </c>
      <c r="K34" s="63" t="n">
        <f aca="false">2_Market_Gross_USD!E32*(1-0.065)</f>
        <v>1729.75</v>
      </c>
      <c r="L34" s="53" t="n">
        <f aca="false">K34/0.88</f>
        <v>1965.625</v>
      </c>
      <c r="M34" s="54" t="n">
        <f aca="false">L34*0+0</f>
        <v>0</v>
      </c>
      <c r="N34" s="55" t="n">
        <f aca="false">L34+M34</f>
        <v>1965.625</v>
      </c>
      <c r="O34" s="54" t="n">
        <f aca="false">N34-(2_Market_Gross_USD!E32+35)</f>
        <v>80.625</v>
      </c>
      <c r="P34" s="64" t="n">
        <f aca="false">IFERROR(N34/(2_Market_Gross_USD!E32+35),0)</f>
        <v>1.04277188328912</v>
      </c>
      <c r="Q34" s="63" t="n">
        <f aca="false">2_Market_Gross_USD!E32*(1-0.065)</f>
        <v>1729.75</v>
      </c>
      <c r="R34" s="53" t="n">
        <f aca="false">Q34/0.7429</f>
        <v>2328.37528604119</v>
      </c>
      <c r="S34" s="54" t="n">
        <f aca="false">R34*0.2038+500</f>
        <v>974.522883295195</v>
      </c>
      <c r="T34" s="55" t="n">
        <f aca="false">R34+S34</f>
        <v>3302.89816933639</v>
      </c>
      <c r="U34" s="54" t="n">
        <f aca="false">T34-(2_Market_Gross_USD!E32+35)</f>
        <v>1417.89816933638</v>
      </c>
      <c r="V34" s="64" t="n">
        <f aca="false">IFERROR(T34/(2_Market_Gross_USD!E32+35),0)</f>
        <v>1.7522006203376</v>
      </c>
      <c r="W34" s="63" t="n">
        <f aca="false">2_Market_Gross_USD!E32*(1-0.065)</f>
        <v>1729.75</v>
      </c>
      <c r="X34" s="53" t="n">
        <f aca="false">W34/0.72</f>
        <v>2402.43055555556</v>
      </c>
      <c r="Y34" s="54" t="n">
        <f aca="false">X34*0.15+0</f>
        <v>360.364583333333</v>
      </c>
      <c r="Z34" s="55" t="n">
        <f aca="false">X34+Y34</f>
        <v>2762.79513888889</v>
      </c>
      <c r="AA34" s="54" t="n">
        <f aca="false">Z34-(2_Market_Gross_USD!E32+35)</f>
        <v>877.795138888889</v>
      </c>
      <c r="AB34" s="64" t="n">
        <f aca="false">IFERROR(Z34/(2_Market_Gross_USD!E32+35),0)</f>
        <v>1.46567381373416</v>
      </c>
      <c r="AC34" s="63" t="n">
        <f aca="false">2_Market_Gross_USD!E32*(1-0.065)</f>
        <v>1729.75</v>
      </c>
      <c r="AD34" s="53" t="n">
        <f aca="false">AC34/0.81</f>
        <v>2135.49382716049</v>
      </c>
      <c r="AE34" s="54" t="n">
        <f aca="false">AD34*0+0</f>
        <v>0</v>
      </c>
      <c r="AF34" s="55" t="n">
        <f aca="false">AD34+AE34</f>
        <v>2135.49382716049</v>
      </c>
      <c r="AG34" s="54" t="n">
        <f aca="false">AF34-(2_Market_Gross_USD!E32+35)</f>
        <v>250.493827160494</v>
      </c>
      <c r="AH34" s="64" t="n">
        <f aca="false">IFERROR(AF34/(2_Market_Gross_USD!E32+35),0)</f>
        <v>1.13288797196843</v>
      </c>
      <c r="AI34" s="63" t="n">
        <f aca="false">2_Market_Gross_USD!E32*(1-0.065)</f>
        <v>1729.75</v>
      </c>
      <c r="AJ34" s="53" t="n">
        <f aca="false">AI34/0.72</f>
        <v>2402.43055555556</v>
      </c>
      <c r="AK34" s="54" t="n">
        <f aca="false">AJ34*0.15+500</f>
        <v>860.364583333333</v>
      </c>
      <c r="AL34" s="55" t="n">
        <f aca="false">AJ34+AK34</f>
        <v>3262.79513888889</v>
      </c>
      <c r="AM34" s="54" t="n">
        <f aca="false">AL34-(2_Market_Gross_USD!E32+35)</f>
        <v>1377.79513888889</v>
      </c>
      <c r="AN34" s="64" t="n">
        <f aca="false">IFERROR(AL34/(2_Market_Gross_USD!E32+35),0)</f>
        <v>1.73092580312408</v>
      </c>
      <c r="AO34" s="63" t="n">
        <f aca="false">2_Market_Gross_USD!E32*(1-0.065)</f>
        <v>1729.75</v>
      </c>
      <c r="AP34" s="53" t="n">
        <f aca="false">AO34/0.7035</f>
        <v>2458.77754086709</v>
      </c>
      <c r="AQ34" s="54" t="n">
        <f aca="false">AP34*0.11+0</f>
        <v>270.46552949538</v>
      </c>
      <c r="AR34" s="55" t="n">
        <f aca="false">AP34+AQ34</f>
        <v>2729.24307036247</v>
      </c>
      <c r="AS34" s="54" t="n">
        <f aca="false">AR34-(2_Market_Gross_USD!E32+35)</f>
        <v>844.243070362474</v>
      </c>
      <c r="AT34" s="64" t="n">
        <f aca="false">IFERROR(AR34/(2_Market_Gross_USD!E32+35),0)</f>
        <v>1.4478743078846</v>
      </c>
      <c r="AU34" s="63" t="n">
        <f aca="false">2_Market_Gross_USD!E32*(1-0.065)</f>
        <v>1729.75</v>
      </c>
      <c r="AV34" s="53" t="n">
        <f aca="false">AU34/0.627</f>
        <v>2758.77192982456</v>
      </c>
      <c r="AW34" s="54" t="n">
        <f aca="false">AV34*0+0</f>
        <v>0</v>
      </c>
      <c r="AX34" s="55" t="n">
        <f aca="false">AV34+AW34</f>
        <v>2758.77192982456</v>
      </c>
      <c r="AY34" s="54" t="n">
        <f aca="false">AX34-(2_Market_Gross_USD!E32+35)</f>
        <v>873.771929824562</v>
      </c>
      <c r="AZ34" s="64" t="n">
        <f aca="false">IFERROR(AX34/(2_Market_Gross_USD!E32+35),0)</f>
        <v>1.46353948531807</v>
      </c>
      <c r="BA34" s="63" t="n">
        <f aca="false">2_Market_Gross_USD!E32*(1-0.065)</f>
        <v>1729.75</v>
      </c>
      <c r="BB34" s="53" t="n">
        <f aca="false">BA34/0.7035</f>
        <v>2458.77754086709</v>
      </c>
      <c r="BC34" s="54" t="n">
        <f aca="false">BB34*0.11+500</f>
        <v>770.46552949538</v>
      </c>
      <c r="BD34" s="55" t="n">
        <f aca="false">BB34+BC34</f>
        <v>3229.24307036247</v>
      </c>
      <c r="BE34" s="54" t="n">
        <f aca="false">BD34-(2_Market_Gross_USD!E32+35)</f>
        <v>1344.24307036247</v>
      </c>
      <c r="BF34" s="64" t="n">
        <f aca="false">IFERROR(BD34/(2_Market_Gross_USD!E32+35),0)</f>
        <v>1.71312629727452</v>
      </c>
      <c r="BG34" s="63" t="n">
        <f aca="false">2_Market_Gross_USD!E32*(1-0.065)</f>
        <v>1729.75</v>
      </c>
      <c r="BH34" s="53" t="n">
        <f aca="false">BG34/0.5215</f>
        <v>3316.87440076702</v>
      </c>
      <c r="BI34" s="54" t="n">
        <f aca="false">BH34*0.21+0</f>
        <v>696.543624161074</v>
      </c>
      <c r="BJ34" s="55" t="n">
        <f aca="false">BH34+BI34</f>
        <v>4013.41802492809</v>
      </c>
      <c r="BK34" s="54" t="n">
        <f aca="false">BJ34-(2_Market_Gross_USD!E32+35)</f>
        <v>2128.41802492809</v>
      </c>
      <c r="BL34" s="64" t="n">
        <f aca="false">IFERROR(BJ34/(2_Market_Gross_USD!E32+35),0)</f>
        <v>2.12913423073108</v>
      </c>
      <c r="BM34" s="63" t="n">
        <f aca="false">2_Market_Gross_USD!E32*(1-0.065)</f>
        <v>1729.75</v>
      </c>
      <c r="BN34" s="53" t="n">
        <f aca="false">BM34/0.75</f>
        <v>2306.33333333333</v>
      </c>
      <c r="BO34" s="54" t="n">
        <f aca="false">BN34*0+0</f>
        <v>0</v>
      </c>
      <c r="BP34" s="55" t="n">
        <f aca="false">BN34+BO34</f>
        <v>2306.33333333333</v>
      </c>
      <c r="BQ34" s="54" t="n">
        <f aca="false">BP34-(2_Market_Gross_USD!E32+35)</f>
        <v>421.333333333334</v>
      </c>
      <c r="BR34" s="64" t="n">
        <f aca="false">IFERROR(BP34/(2_Market_Gross_USD!E32+35),0)</f>
        <v>1.22351900972591</v>
      </c>
      <c r="BS34" s="63" t="n">
        <f aca="false">2_Market_Gross_USD!E32*(1-0.065)</f>
        <v>1729.75</v>
      </c>
      <c r="BT34" s="53" t="n">
        <f aca="false">BS34/0.5215</f>
        <v>3316.87440076702</v>
      </c>
      <c r="BU34" s="54" t="n">
        <f aca="false">BT34*0.21+500</f>
        <v>1196.54362416107</v>
      </c>
      <c r="BV34" s="55" t="n">
        <f aca="false">BT34+BU34</f>
        <v>4513.41802492809</v>
      </c>
      <c r="BW34" s="54" t="n">
        <f aca="false">BV34-(2_Market_Gross_USD!E32+35)</f>
        <v>2628.41802492809</v>
      </c>
      <c r="BX34" s="64" t="n">
        <f aca="false">IFERROR(BV34/(2_Market_Gross_USD!E32+35),0)</f>
        <v>2.394386220121</v>
      </c>
      <c r="BY34" s="63" t="n">
        <f aca="false">2_Market_Gross_USD!E32*(1-0.065)</f>
        <v>1729.75</v>
      </c>
      <c r="BZ34" s="53" t="n">
        <f aca="false">BY34/0.6303</f>
        <v>2744.32809773124</v>
      </c>
      <c r="CA34" s="54" t="n">
        <f aca="false">BZ34*0.2+0</f>
        <v>548.865619546248</v>
      </c>
      <c r="CB34" s="55" t="n">
        <f aca="false">BZ34+CA34</f>
        <v>3293.19371727749</v>
      </c>
      <c r="CC34" s="54" t="n">
        <f aca="false">CB34-(2_Market_Gross_USD!E32+35)</f>
        <v>1408.19371727749</v>
      </c>
      <c r="CD34" s="64" t="n">
        <f aca="false">IFERROR(CB34/(2_Market_Gross_USD!E32+35),0)</f>
        <v>1.74705236990848</v>
      </c>
      <c r="CE34" s="63" t="n">
        <f aca="false">2_Market_Gross_USD!E32*(1-0.065)</f>
        <v>1729.75</v>
      </c>
      <c r="CF34" s="53" t="n">
        <f aca="false">CE34/0.6303</f>
        <v>2744.32809773124</v>
      </c>
      <c r="CG34" s="54" t="n">
        <f aca="false">CF34*0+0</f>
        <v>0</v>
      </c>
      <c r="CH34" s="55" t="n">
        <f aca="false">CF34+CG34</f>
        <v>2744.32809773124</v>
      </c>
      <c r="CI34" s="54" t="n">
        <f aca="false">CH34-(2_Market_Gross_USD!E32+35)</f>
        <v>859.328097731239</v>
      </c>
      <c r="CJ34" s="64" t="n">
        <f aca="false">IFERROR(CH34/(2_Market_Gross_USD!E32+35),0)</f>
        <v>1.45587697492373</v>
      </c>
      <c r="CK34" s="63" t="n">
        <f aca="false">2_Market_Gross_USD!E32*(1-0.065)</f>
        <v>1729.75</v>
      </c>
      <c r="CL34" s="53" t="n">
        <f aca="false">CK34/0.6303</f>
        <v>2744.32809773124</v>
      </c>
      <c r="CM34" s="54" t="n">
        <f aca="false">CL34*0.2+500</f>
        <v>1048.86561954625</v>
      </c>
      <c r="CN34" s="55" t="n">
        <f aca="false">CL34+CM34</f>
        <v>3793.19371727749</v>
      </c>
      <c r="CO34" s="54" t="n">
        <f aca="false">CN34-(2_Market_Gross_USD!E32+35)</f>
        <v>1908.19371727749</v>
      </c>
      <c r="CP34" s="64" t="n">
        <f aca="false">IFERROR(CN34/(2_Market_Gross_USD!E32+35),0)</f>
        <v>2.0123043592984</v>
      </c>
      <c r="CQ34" s="63" t="n">
        <f aca="false">2_Market_Gross_USD!E32*(1-0.065)</f>
        <v>1729.75</v>
      </c>
      <c r="CR34" s="53" t="n">
        <f aca="false">CQ34/0.74</f>
        <v>2337.5</v>
      </c>
      <c r="CS34" s="54" t="n">
        <f aca="false">CR34*0.338+0</f>
        <v>790.075</v>
      </c>
      <c r="CT34" s="55" t="n">
        <f aca="false">CR34+CS34</f>
        <v>3127.575</v>
      </c>
      <c r="CU34" s="54" t="n">
        <f aca="false">CT34-(2_Market_Gross_USD!E32+35)</f>
        <v>1242.575</v>
      </c>
      <c r="CV34" s="64" t="n">
        <f aca="false">IFERROR(CT34/(2_Market_Gross_USD!E32+35),0)</f>
        <v>1.65919098143236</v>
      </c>
      <c r="CW34" s="63" t="n">
        <f aca="false">2_Market_Gross_USD!E32*(1-0.065)</f>
        <v>1729.75</v>
      </c>
      <c r="CX34" s="53" t="n">
        <f aca="false">CW34/0.85</f>
        <v>2035</v>
      </c>
      <c r="CY34" s="54" t="n">
        <f aca="false">CX34*0+0</f>
        <v>0</v>
      </c>
      <c r="CZ34" s="55" t="n">
        <f aca="false">CX34+CY34</f>
        <v>2035</v>
      </c>
      <c r="DA34" s="54" t="n">
        <f aca="false">CZ34-(2_Market_Gross_USD!E32+35)</f>
        <v>150</v>
      </c>
      <c r="DB34" s="64" t="n">
        <f aca="false">IFERROR(CZ34/(2_Market_Gross_USD!E32+35),0)</f>
        <v>1.07957559681698</v>
      </c>
      <c r="DC34" s="63" t="n">
        <f aca="false">2_Market_Gross_USD!E32*(1-0.065)</f>
        <v>1729.75</v>
      </c>
      <c r="DD34" s="53" t="n">
        <f aca="false">DC34/0.74</f>
        <v>2337.5</v>
      </c>
      <c r="DE34" s="54" t="n">
        <f aca="false">DD34*0.338+500</f>
        <v>1290.075</v>
      </c>
      <c r="DF34" s="55" t="n">
        <f aca="false">DD34+DE34</f>
        <v>3627.575</v>
      </c>
      <c r="DG34" s="54" t="n">
        <f aca="false">DF34-(2_Market_Gross_USD!E32+35)</f>
        <v>1742.575</v>
      </c>
      <c r="DH34" s="64" t="n">
        <f aca="false">IFERROR(DF34/(2_Market_Gross_USD!E32+35),0)</f>
        <v>1.92444297082228</v>
      </c>
      <c r="DI34" s="63" t="n">
        <f aca="false">2_Market_Gross_USD!E32*(1-0.065)</f>
        <v>1729.75</v>
      </c>
      <c r="DJ34" s="53" t="n">
        <f aca="false">DI34/0.66</f>
        <v>2620.83333333333</v>
      </c>
      <c r="DK34" s="54" t="n">
        <f aca="false">DJ34*0.2375+0</f>
        <v>622.447916666667</v>
      </c>
      <c r="DL34" s="55" t="n">
        <f aca="false">DJ34+DK34</f>
        <v>3243.28125</v>
      </c>
      <c r="DM34" s="54" t="n">
        <f aca="false">DL34-(2_Market_Gross_USD!E32+35)</f>
        <v>1358.28125</v>
      </c>
      <c r="DN34" s="64" t="n">
        <f aca="false">IFERROR(DL34/(2_Market_Gross_USD!E32+35),0)</f>
        <v>1.72057360742706</v>
      </c>
      <c r="DO34" s="63" t="n">
        <f aca="false">2_Market_Gross_USD!E32*(1-0.065)</f>
        <v>1729.75</v>
      </c>
      <c r="DP34" s="53" t="n">
        <f aca="false">DO34/0.8</f>
        <v>2162.1875</v>
      </c>
      <c r="DQ34" s="54" t="n">
        <f aca="false">DP34*0+0</f>
        <v>0</v>
      </c>
      <c r="DR34" s="55" t="n">
        <f aca="false">DP34+DQ34</f>
        <v>2162.1875</v>
      </c>
      <c r="DS34" s="54" t="n">
        <f aca="false">DR34-(2_Market_Gross_USD!E32+35)</f>
        <v>277.1875</v>
      </c>
      <c r="DT34" s="64" t="n">
        <f aca="false">IFERROR(DR34/(2_Market_Gross_USD!E32+35),0)</f>
        <v>1.14704907161804</v>
      </c>
      <c r="DU34" s="63" t="n">
        <f aca="false">2_Market_Gross_USD!E32*(1-0.065)</f>
        <v>1729.75</v>
      </c>
      <c r="DV34" s="53" t="n">
        <f aca="false">DU34/0.66</f>
        <v>2620.83333333333</v>
      </c>
      <c r="DW34" s="54" t="n">
        <f aca="false">DV34*0.2375+500</f>
        <v>1122.44791666667</v>
      </c>
      <c r="DX34" s="55" t="n">
        <f aca="false">DV34+DW34</f>
        <v>3743.28125</v>
      </c>
      <c r="DY34" s="54" t="n">
        <f aca="false">DX34-(2_Market_Gross_USD!E32+35)</f>
        <v>1858.28125</v>
      </c>
      <c r="DZ34" s="64" t="n">
        <f aca="false">IFERROR(DX34/(2_Market_Gross_USD!E32+35),0)</f>
        <v>1.98582559681698</v>
      </c>
      <c r="EA34" s="63" t="n">
        <f aca="false">2_Market_Gross_USD!E32*(1-0.065)</f>
        <v>1729.75</v>
      </c>
      <c r="EB34" s="53" t="n">
        <f aca="false">EA34/0.65</f>
        <v>2661.15384615385</v>
      </c>
      <c r="EC34" s="54" t="n">
        <f aca="false">EB34*0.0225+0</f>
        <v>59.8759615384615</v>
      </c>
      <c r="ED34" s="55" t="n">
        <f aca="false">EB34+EC34</f>
        <v>2721.02980769231</v>
      </c>
      <c r="EE34" s="54" t="n">
        <f aca="false">ED34-(2_Market_Gross_USD!E32+35)</f>
        <v>836.029807692308</v>
      </c>
      <c r="EF34" s="64" t="n">
        <f aca="false">IFERROR(ED34/(2_Market_Gross_USD!E32+35),0)</f>
        <v>1.44351713935931</v>
      </c>
      <c r="EG34" s="63" t="n">
        <f aca="false">2_Market_Gross_USD!E32*(1-0.065)</f>
        <v>1729.75</v>
      </c>
      <c r="EH34" s="53" t="n">
        <f aca="false">EG34/0.99</f>
        <v>1747.22222222222</v>
      </c>
      <c r="EI34" s="54" t="n">
        <f aca="false">EH34*0+0</f>
        <v>0</v>
      </c>
      <c r="EJ34" s="55" t="n">
        <f aca="false">EH34+EI34</f>
        <v>1747.22222222222</v>
      </c>
      <c r="EK34" s="54" t="n">
        <f aca="false">EJ34-(2_Market_Gross_USD!E32+35)</f>
        <v>-137.777777777778</v>
      </c>
      <c r="EL34" s="64" t="n">
        <f aca="false">IFERROR(EJ34/(2_Market_Gross_USD!E32+35),0)</f>
        <v>0.926908340701444</v>
      </c>
      <c r="EM34" s="63" t="n">
        <f aca="false">2_Market_Gross_USD!E32*(1-0.065)</f>
        <v>1729.75</v>
      </c>
      <c r="EN34" s="53" t="n">
        <f aca="false">EM34/0.65</f>
        <v>2661.15384615385</v>
      </c>
      <c r="EO34" s="54" t="n">
        <f aca="false">EN34*0.0225+500</f>
        <v>559.875961538462</v>
      </c>
      <c r="EP34" s="55" t="n">
        <f aca="false">EN34+EO34</f>
        <v>3221.02980769231</v>
      </c>
      <c r="EQ34" s="54" t="n">
        <f aca="false">EP34-(2_Market_Gross_USD!E32+35)</f>
        <v>1336.02980769231</v>
      </c>
      <c r="ER34" s="64" t="n">
        <f aca="false">IFERROR(EP34/(2_Market_Gross_USD!E32+35),0)</f>
        <v>1.70876912874923</v>
      </c>
    </row>
    <row r="35" customFormat="false" ht="15" hidden="false" customHeight="false" outlineLevel="0" collapsed="false">
      <c r="A35" s="41" t="n">
        <v>30</v>
      </c>
      <c r="B35" s="28" t="s">
        <v>266</v>
      </c>
      <c r="C35" s="8" t="s">
        <v>267</v>
      </c>
      <c r="D35" s="65" t="s">
        <v>249</v>
      </c>
      <c r="E35" s="63" t="n">
        <f aca="false">2_Market_Gross_USD!E33*(1-0.065)</f>
        <v>4464.625</v>
      </c>
      <c r="F35" s="53" t="n">
        <f aca="false">E35/0.7429</f>
        <v>6009.72540045767</v>
      </c>
      <c r="G35" s="58" t="n">
        <f aca="false">F35*0.2038+0</f>
        <v>1224.78203661327</v>
      </c>
      <c r="H35" s="55" t="n">
        <f aca="false">F35+G35</f>
        <v>7234.50743707094</v>
      </c>
      <c r="I35" s="58" t="n">
        <f aca="false">H35-(2_Market_Gross_USD!E33+35)</f>
        <v>2424.50743707094</v>
      </c>
      <c r="J35" s="66" t="n">
        <f aca="false">IFERROR(H35/(2_Market_Gross_USD!E33+35),0)</f>
        <v>1.50405560022265</v>
      </c>
      <c r="K35" s="63" t="n">
        <f aca="false">2_Market_Gross_USD!E33*(1-0.065)</f>
        <v>4464.625</v>
      </c>
      <c r="L35" s="53" t="n">
        <f aca="false">K35/0.88</f>
        <v>5073.4375</v>
      </c>
      <c r="M35" s="58" t="n">
        <f aca="false">L35*0+0</f>
        <v>0</v>
      </c>
      <c r="N35" s="55" t="n">
        <f aca="false">L35+M35</f>
        <v>5073.4375</v>
      </c>
      <c r="O35" s="58" t="n">
        <f aca="false">N35-(2_Market_Gross_USD!E33+35)</f>
        <v>263.4375</v>
      </c>
      <c r="P35" s="66" t="n">
        <f aca="false">IFERROR(N35/(2_Market_Gross_USD!E33+35),0)</f>
        <v>1.05476871101871</v>
      </c>
      <c r="Q35" s="63" t="n">
        <f aca="false">2_Market_Gross_USD!E33*(1-0.065)</f>
        <v>4464.625</v>
      </c>
      <c r="R35" s="53" t="n">
        <f aca="false">Q35/0.7429</f>
        <v>6009.72540045767</v>
      </c>
      <c r="S35" s="58" t="n">
        <f aca="false">R35*0.2038+500</f>
        <v>1724.78203661327</v>
      </c>
      <c r="T35" s="55" t="n">
        <f aca="false">R35+S35</f>
        <v>7734.50743707094</v>
      </c>
      <c r="U35" s="58" t="n">
        <f aca="false">T35-(2_Market_Gross_USD!E33+35)</f>
        <v>2924.50743707094</v>
      </c>
      <c r="V35" s="66" t="n">
        <f aca="false">IFERROR(T35/(2_Market_Gross_USD!E33+35),0)</f>
        <v>1.60800570417275</v>
      </c>
      <c r="W35" s="63" t="n">
        <f aca="false">2_Market_Gross_USD!E33*(1-0.065)</f>
        <v>4464.625</v>
      </c>
      <c r="X35" s="53" t="n">
        <f aca="false">W35/0.72</f>
        <v>6200.86805555556</v>
      </c>
      <c r="Y35" s="58" t="n">
        <f aca="false">X35*0.15+0</f>
        <v>930.130208333333</v>
      </c>
      <c r="Z35" s="55" t="n">
        <f aca="false">X35+Y35</f>
        <v>7130.99826388889</v>
      </c>
      <c r="AA35" s="58" t="n">
        <f aca="false">Z35-(2_Market_Gross_USD!E33+35)</f>
        <v>2320.99826388889</v>
      </c>
      <c r="AB35" s="66" t="n">
        <f aca="false">IFERROR(Z35/(2_Market_Gross_USD!E33+35),0)</f>
        <v>1.48253602159852</v>
      </c>
      <c r="AC35" s="63" t="n">
        <f aca="false">2_Market_Gross_USD!E33*(1-0.065)</f>
        <v>4464.625</v>
      </c>
      <c r="AD35" s="53" t="n">
        <f aca="false">AC35/0.81</f>
        <v>5511.88271604938</v>
      </c>
      <c r="AE35" s="58" t="n">
        <f aca="false">AD35*0+0</f>
        <v>0</v>
      </c>
      <c r="AF35" s="55" t="n">
        <f aca="false">AD35+AE35</f>
        <v>5511.88271604938</v>
      </c>
      <c r="AG35" s="58" t="n">
        <f aca="false">AF35-(2_Market_Gross_USD!E33+35)</f>
        <v>701.882716049382</v>
      </c>
      <c r="AH35" s="66" t="n">
        <f aca="false">IFERROR(AF35/(2_Market_Gross_USD!E33+35),0)</f>
        <v>1.14592156258823</v>
      </c>
      <c r="AI35" s="63" t="n">
        <f aca="false">2_Market_Gross_USD!E33*(1-0.065)</f>
        <v>4464.625</v>
      </c>
      <c r="AJ35" s="53" t="n">
        <f aca="false">AI35/0.72</f>
        <v>6200.86805555556</v>
      </c>
      <c r="AK35" s="58" t="n">
        <f aca="false">AJ35*0.15+500</f>
        <v>1430.13020833333</v>
      </c>
      <c r="AL35" s="55" t="n">
        <f aca="false">AJ35+AK35</f>
        <v>7630.99826388889</v>
      </c>
      <c r="AM35" s="58" t="n">
        <f aca="false">AL35-(2_Market_Gross_USD!E33+35)</f>
        <v>2820.99826388889</v>
      </c>
      <c r="AN35" s="66" t="n">
        <f aca="false">IFERROR(AL35/(2_Market_Gross_USD!E33+35),0)</f>
        <v>1.58648612554863</v>
      </c>
      <c r="AO35" s="63" t="n">
        <f aca="false">2_Market_Gross_USD!E33*(1-0.065)</f>
        <v>4464.625</v>
      </c>
      <c r="AP35" s="53" t="n">
        <f aca="false">AO35/0.7035</f>
        <v>6346.30419331912</v>
      </c>
      <c r="AQ35" s="58" t="n">
        <f aca="false">AP35*0.11+0</f>
        <v>698.093461265103</v>
      </c>
      <c r="AR35" s="55" t="n">
        <f aca="false">AP35+AQ35</f>
        <v>7044.39765458422</v>
      </c>
      <c r="AS35" s="58" t="n">
        <f aca="false">AR35-(2_Market_Gross_USD!E33+35)</f>
        <v>2234.39765458422</v>
      </c>
      <c r="AT35" s="66" t="n">
        <f aca="false">IFERROR(AR35/(2_Market_Gross_USD!E33+35),0)</f>
        <v>1.4645317369198</v>
      </c>
      <c r="AU35" s="63" t="n">
        <f aca="false">2_Market_Gross_USD!E33*(1-0.065)</f>
        <v>4464.625</v>
      </c>
      <c r="AV35" s="53" t="n">
        <f aca="false">AU35/0.627</f>
        <v>7120.61403508772</v>
      </c>
      <c r="AW35" s="58" t="n">
        <f aca="false">AV35*0+0</f>
        <v>0</v>
      </c>
      <c r="AX35" s="55" t="n">
        <f aca="false">AV35+AW35</f>
        <v>7120.61403508772</v>
      </c>
      <c r="AY35" s="58" t="n">
        <f aca="false">AX35-(2_Market_Gross_USD!E33+35)</f>
        <v>2310.61403508772</v>
      </c>
      <c r="AZ35" s="66" t="n">
        <f aca="false">IFERROR(AX35/(2_Market_Gross_USD!E33+35),0)</f>
        <v>1.48037713827188</v>
      </c>
      <c r="BA35" s="63" t="n">
        <f aca="false">2_Market_Gross_USD!E33*(1-0.065)</f>
        <v>4464.625</v>
      </c>
      <c r="BB35" s="53" t="n">
        <f aca="false">BA35/0.7035</f>
        <v>6346.30419331912</v>
      </c>
      <c r="BC35" s="58" t="n">
        <f aca="false">BB35*0.11+500</f>
        <v>1198.0934612651</v>
      </c>
      <c r="BD35" s="55" t="n">
        <f aca="false">BB35+BC35</f>
        <v>7544.39765458422</v>
      </c>
      <c r="BE35" s="58" t="n">
        <f aca="false">BD35-(2_Market_Gross_USD!E33+35)</f>
        <v>2734.39765458422</v>
      </c>
      <c r="BF35" s="66" t="n">
        <f aca="false">IFERROR(BD35/(2_Market_Gross_USD!E33+35),0)</f>
        <v>1.5684818408699</v>
      </c>
      <c r="BG35" s="63" t="n">
        <f aca="false">2_Market_Gross_USD!E33*(1-0.065)</f>
        <v>4464.625</v>
      </c>
      <c r="BH35" s="53" t="n">
        <f aca="false">BG35/0.5215</f>
        <v>8561.1217641419</v>
      </c>
      <c r="BI35" s="58" t="n">
        <f aca="false">BH35*0.21+0</f>
        <v>1797.8355704698</v>
      </c>
      <c r="BJ35" s="55" t="n">
        <f aca="false">BH35+BI35</f>
        <v>10358.9573346117</v>
      </c>
      <c r="BK35" s="58" t="n">
        <f aca="false">BJ35-(2_Market_Gross_USD!E33+35)</f>
        <v>5548.9573346117</v>
      </c>
      <c r="BL35" s="66" t="n">
        <f aca="false">IFERROR(BJ35/(2_Market_Gross_USD!E33+35),0)</f>
        <v>2.15362938349516</v>
      </c>
      <c r="BM35" s="63" t="n">
        <f aca="false">2_Market_Gross_USD!E33*(1-0.065)</f>
        <v>4464.625</v>
      </c>
      <c r="BN35" s="53" t="n">
        <f aca="false">BM35/0.75</f>
        <v>5952.83333333333</v>
      </c>
      <c r="BO35" s="58" t="n">
        <f aca="false">BN35*0+0</f>
        <v>0</v>
      </c>
      <c r="BP35" s="55" t="n">
        <f aca="false">BN35+BO35</f>
        <v>5952.83333333333</v>
      </c>
      <c r="BQ35" s="58" t="n">
        <f aca="false">BP35-(2_Market_Gross_USD!E33+35)</f>
        <v>1142.83333333333</v>
      </c>
      <c r="BR35" s="66" t="n">
        <f aca="false">IFERROR(BP35/(2_Market_Gross_USD!E33+35),0)</f>
        <v>1.23759528759529</v>
      </c>
      <c r="BS35" s="63" t="n">
        <f aca="false">2_Market_Gross_USD!E33*(1-0.065)</f>
        <v>4464.625</v>
      </c>
      <c r="BT35" s="53" t="n">
        <f aca="false">BS35/0.5215</f>
        <v>8561.1217641419</v>
      </c>
      <c r="BU35" s="58" t="n">
        <f aca="false">BT35*0.21+500</f>
        <v>2297.8355704698</v>
      </c>
      <c r="BV35" s="55" t="n">
        <f aca="false">BT35+BU35</f>
        <v>10858.9573346117</v>
      </c>
      <c r="BW35" s="58" t="n">
        <f aca="false">BV35-(2_Market_Gross_USD!E33+35)</f>
        <v>6048.9573346117</v>
      </c>
      <c r="BX35" s="66" t="n">
        <f aca="false">IFERROR(BV35/(2_Market_Gross_USD!E33+35),0)</f>
        <v>2.25757948744526</v>
      </c>
      <c r="BY35" s="63" t="n">
        <f aca="false">2_Market_Gross_USD!E33*(1-0.065)</f>
        <v>4464.625</v>
      </c>
      <c r="BZ35" s="53" t="n">
        <f aca="false">BY35/0.6303</f>
        <v>7083.33333333333</v>
      </c>
      <c r="CA35" s="58" t="n">
        <f aca="false">BZ35*0.2+0</f>
        <v>1416.66666666667</v>
      </c>
      <c r="CB35" s="55" t="n">
        <f aca="false">BZ35+CA35</f>
        <v>8500</v>
      </c>
      <c r="CC35" s="58" t="n">
        <f aca="false">CB35-(2_Market_Gross_USD!E33+35)</f>
        <v>3690</v>
      </c>
      <c r="CD35" s="66" t="n">
        <f aca="false">IFERROR(CB35/(2_Market_Gross_USD!E33+35),0)</f>
        <v>1.76715176715177</v>
      </c>
      <c r="CE35" s="63" t="n">
        <f aca="false">2_Market_Gross_USD!E33*(1-0.065)</f>
        <v>4464.625</v>
      </c>
      <c r="CF35" s="53" t="n">
        <f aca="false">CE35/0.6303</f>
        <v>7083.33333333333</v>
      </c>
      <c r="CG35" s="58" t="n">
        <f aca="false">CF35*0+0</f>
        <v>0</v>
      </c>
      <c r="CH35" s="55" t="n">
        <f aca="false">CF35+CG35</f>
        <v>7083.33333333333</v>
      </c>
      <c r="CI35" s="58" t="n">
        <f aca="false">CH35-(2_Market_Gross_USD!E33+35)</f>
        <v>2273.33333333333</v>
      </c>
      <c r="CJ35" s="66" t="n">
        <f aca="false">IFERROR(CH35/(2_Market_Gross_USD!E33+35),0)</f>
        <v>1.47262647262647</v>
      </c>
      <c r="CK35" s="63" t="n">
        <f aca="false">2_Market_Gross_USD!E33*(1-0.065)</f>
        <v>4464.625</v>
      </c>
      <c r="CL35" s="53" t="n">
        <f aca="false">CK35/0.6303</f>
        <v>7083.33333333333</v>
      </c>
      <c r="CM35" s="58" t="n">
        <f aca="false">CL35*0.2+500</f>
        <v>1916.66666666667</v>
      </c>
      <c r="CN35" s="55" t="n">
        <f aca="false">CL35+CM35</f>
        <v>9000</v>
      </c>
      <c r="CO35" s="58" t="n">
        <f aca="false">CN35-(2_Market_Gross_USD!E33+35)</f>
        <v>4190</v>
      </c>
      <c r="CP35" s="66" t="n">
        <f aca="false">IFERROR(CN35/(2_Market_Gross_USD!E33+35),0)</f>
        <v>1.87110187110187</v>
      </c>
      <c r="CQ35" s="63" t="n">
        <f aca="false">2_Market_Gross_USD!E33*(1-0.065)</f>
        <v>4464.625</v>
      </c>
      <c r="CR35" s="53" t="n">
        <f aca="false">CQ35/0.74</f>
        <v>6033.27702702703</v>
      </c>
      <c r="CS35" s="58" t="n">
        <f aca="false">CR35*0.338+0</f>
        <v>2039.24763513514</v>
      </c>
      <c r="CT35" s="55" t="n">
        <f aca="false">CR35+CS35</f>
        <v>8072.52466216216</v>
      </c>
      <c r="CU35" s="58" t="n">
        <f aca="false">CT35-(2_Market_Gross_USD!E33+35)</f>
        <v>3262.52466216216</v>
      </c>
      <c r="CV35" s="66" t="n">
        <f aca="false">IFERROR(CT35/(2_Market_Gross_USD!E33+35),0)</f>
        <v>1.67827955554307</v>
      </c>
      <c r="CW35" s="63" t="n">
        <f aca="false">2_Market_Gross_USD!E33*(1-0.065)</f>
        <v>4464.625</v>
      </c>
      <c r="CX35" s="53" t="n">
        <f aca="false">CW35/0.85</f>
        <v>5252.5</v>
      </c>
      <c r="CY35" s="58" t="n">
        <f aca="false">CX35*0+0</f>
        <v>0</v>
      </c>
      <c r="CZ35" s="55" t="n">
        <f aca="false">CX35+CY35</f>
        <v>5252.5</v>
      </c>
      <c r="DA35" s="58" t="n">
        <f aca="false">CZ35-(2_Market_Gross_USD!E33+35)</f>
        <v>442.5</v>
      </c>
      <c r="DB35" s="66" t="n">
        <f aca="false">IFERROR(CZ35/(2_Market_Gross_USD!E33+35),0)</f>
        <v>1.09199584199584</v>
      </c>
      <c r="DC35" s="63" t="n">
        <f aca="false">2_Market_Gross_USD!E33*(1-0.065)</f>
        <v>4464.625</v>
      </c>
      <c r="DD35" s="53" t="n">
        <f aca="false">DC35/0.74</f>
        <v>6033.27702702703</v>
      </c>
      <c r="DE35" s="58" t="n">
        <f aca="false">DD35*0.338+500</f>
        <v>2539.24763513514</v>
      </c>
      <c r="DF35" s="55" t="n">
        <f aca="false">DD35+DE35</f>
        <v>8572.52466216216</v>
      </c>
      <c r="DG35" s="58" t="n">
        <f aca="false">DF35-(2_Market_Gross_USD!E33+35)</f>
        <v>3762.52466216216</v>
      </c>
      <c r="DH35" s="66" t="n">
        <f aca="false">IFERROR(DF35/(2_Market_Gross_USD!E33+35),0)</f>
        <v>1.78222965949317</v>
      </c>
      <c r="DI35" s="63" t="n">
        <f aca="false">2_Market_Gross_USD!E33*(1-0.065)</f>
        <v>4464.625</v>
      </c>
      <c r="DJ35" s="53" t="n">
        <f aca="false">DI35/0.66</f>
        <v>6764.58333333333</v>
      </c>
      <c r="DK35" s="58" t="n">
        <f aca="false">DJ35*0.2375+0</f>
        <v>1606.58854166667</v>
      </c>
      <c r="DL35" s="55" t="n">
        <f aca="false">DJ35+DK35</f>
        <v>8371.171875</v>
      </c>
      <c r="DM35" s="58" t="n">
        <f aca="false">DL35-(2_Market_Gross_USD!E33+35)</f>
        <v>3561.171875</v>
      </c>
      <c r="DN35" s="66" t="n">
        <f aca="false">IFERROR(DL35/(2_Market_Gross_USD!E33+35),0)</f>
        <v>1.74036837318087</v>
      </c>
      <c r="DO35" s="63" t="n">
        <f aca="false">2_Market_Gross_USD!E33*(1-0.065)</f>
        <v>4464.625</v>
      </c>
      <c r="DP35" s="53" t="n">
        <f aca="false">DO35/0.8</f>
        <v>5580.78125</v>
      </c>
      <c r="DQ35" s="58" t="n">
        <f aca="false">DP35*0+0</f>
        <v>0</v>
      </c>
      <c r="DR35" s="55" t="n">
        <f aca="false">DP35+DQ35</f>
        <v>5580.78125</v>
      </c>
      <c r="DS35" s="58" t="n">
        <f aca="false">DR35-(2_Market_Gross_USD!E33+35)</f>
        <v>770.78125</v>
      </c>
      <c r="DT35" s="66" t="n">
        <f aca="false">IFERROR(DR35/(2_Market_Gross_USD!E33+35),0)</f>
        <v>1.16024558212058</v>
      </c>
      <c r="DU35" s="63" t="n">
        <f aca="false">2_Market_Gross_USD!E33*(1-0.065)</f>
        <v>4464.625</v>
      </c>
      <c r="DV35" s="53" t="n">
        <f aca="false">DU35/0.66</f>
        <v>6764.58333333333</v>
      </c>
      <c r="DW35" s="58" t="n">
        <f aca="false">DV35*0.2375+500</f>
        <v>2106.58854166667</v>
      </c>
      <c r="DX35" s="55" t="n">
        <f aca="false">DV35+DW35</f>
        <v>8871.171875</v>
      </c>
      <c r="DY35" s="58" t="n">
        <f aca="false">DX35-(2_Market_Gross_USD!E33+35)</f>
        <v>4061.171875</v>
      </c>
      <c r="DZ35" s="66" t="n">
        <f aca="false">IFERROR(DX35/(2_Market_Gross_USD!E33+35),0)</f>
        <v>1.84431847713098</v>
      </c>
      <c r="EA35" s="63" t="n">
        <f aca="false">2_Market_Gross_USD!E33*(1-0.065)</f>
        <v>4464.625</v>
      </c>
      <c r="EB35" s="53" t="n">
        <f aca="false">EA35/0.65</f>
        <v>6868.65384615385</v>
      </c>
      <c r="EC35" s="58" t="n">
        <f aca="false">EB35*0.0225+0</f>
        <v>154.544711538462</v>
      </c>
      <c r="ED35" s="55" t="n">
        <f aca="false">EB35+EC35</f>
        <v>7023.19855769231</v>
      </c>
      <c r="EE35" s="58" t="n">
        <f aca="false">ED35-(2_Market_Gross_USD!E33+35)</f>
        <v>2213.19855769231</v>
      </c>
      <c r="EF35" s="66" t="n">
        <f aca="false">IFERROR(ED35/(2_Market_Gross_USD!E33+35),0)</f>
        <v>1.46012444026867</v>
      </c>
      <c r="EG35" s="63" t="n">
        <f aca="false">2_Market_Gross_USD!E33*(1-0.065)</f>
        <v>4464.625</v>
      </c>
      <c r="EH35" s="53" t="n">
        <f aca="false">EG35/0.99</f>
        <v>4509.72222222222</v>
      </c>
      <c r="EI35" s="58" t="n">
        <f aca="false">EH35*0+0</f>
        <v>0</v>
      </c>
      <c r="EJ35" s="55" t="n">
        <f aca="false">EH35+EI35</f>
        <v>4509.72222222222</v>
      </c>
      <c r="EK35" s="58" t="n">
        <f aca="false">EJ35-(2_Market_Gross_USD!E33+35)</f>
        <v>-300.277777777777</v>
      </c>
      <c r="EL35" s="66" t="n">
        <f aca="false">IFERROR(EJ35/(2_Market_Gross_USD!E33+35),0)</f>
        <v>0.937572187572188</v>
      </c>
      <c r="EM35" s="63" t="n">
        <f aca="false">2_Market_Gross_USD!E33*(1-0.065)</f>
        <v>4464.625</v>
      </c>
      <c r="EN35" s="53" t="n">
        <f aca="false">EM35/0.65</f>
        <v>6868.65384615385</v>
      </c>
      <c r="EO35" s="58" t="n">
        <f aca="false">EN35*0.0225+500</f>
        <v>654.544711538462</v>
      </c>
      <c r="EP35" s="55" t="n">
        <f aca="false">EN35+EO35</f>
        <v>7523.19855769231</v>
      </c>
      <c r="EQ35" s="58" t="n">
        <f aca="false">EP35-(2_Market_Gross_USD!E33+35)</f>
        <v>2713.19855769231</v>
      </c>
      <c r="ER35" s="66" t="n">
        <f aca="false">IFERROR(EP35/(2_Market_Gross_USD!E33+35),0)</f>
        <v>1.56407454421878</v>
      </c>
    </row>
    <row r="36" customFormat="false" ht="15" hidden="false" customHeight="false" outlineLevel="0" collapsed="false">
      <c r="A36" s="37" t="n">
        <v>31</v>
      </c>
      <c r="B36" s="32" t="s">
        <v>268</v>
      </c>
      <c r="C36" s="32" t="s">
        <v>269</v>
      </c>
      <c r="D36" s="62" t="s">
        <v>248</v>
      </c>
      <c r="E36" s="63" t="n">
        <f aca="false">2_Market_Gross_USD!E34*(1-0.065)</f>
        <v>1309</v>
      </c>
      <c r="F36" s="53" t="n">
        <f aca="false">E36/0.7429</f>
        <v>1762.01372997712</v>
      </c>
      <c r="G36" s="54" t="n">
        <f aca="false">F36*0.2038+0</f>
        <v>359.098398169336</v>
      </c>
      <c r="H36" s="55" t="n">
        <f aca="false">F36+G36</f>
        <v>2121.11212814645</v>
      </c>
      <c r="I36" s="54" t="n">
        <f aca="false">H36-(2_Market_Gross_USD!E34+35)</f>
        <v>686.112128146453</v>
      </c>
      <c r="J36" s="64" t="n">
        <f aca="false">IFERROR(H36/(2_Market_Gross_USD!E34+35),0)</f>
        <v>1.47812691856896</v>
      </c>
      <c r="K36" s="63" t="n">
        <f aca="false">2_Market_Gross_USD!E34*(1-0.065)</f>
        <v>1309</v>
      </c>
      <c r="L36" s="53" t="n">
        <f aca="false">K36/0.88</f>
        <v>1487.5</v>
      </c>
      <c r="M36" s="54" t="n">
        <f aca="false">L36*0+0</f>
        <v>0</v>
      </c>
      <c r="N36" s="55" t="n">
        <f aca="false">L36+M36</f>
        <v>1487.5</v>
      </c>
      <c r="O36" s="54" t="n">
        <f aca="false">N36-(2_Market_Gross_USD!E34+35)</f>
        <v>52.5</v>
      </c>
      <c r="P36" s="64" t="n">
        <f aca="false">IFERROR(N36/(2_Market_Gross_USD!E34+35),0)</f>
        <v>1.03658536585366</v>
      </c>
      <c r="Q36" s="63" t="n">
        <f aca="false">2_Market_Gross_USD!E34*(1-0.065)</f>
        <v>1309</v>
      </c>
      <c r="R36" s="53" t="n">
        <f aca="false">Q36/0.7429</f>
        <v>1762.01372997712</v>
      </c>
      <c r="S36" s="54" t="n">
        <f aca="false">R36*0.2038+500</f>
        <v>859.098398169336</v>
      </c>
      <c r="T36" s="55" t="n">
        <f aca="false">R36+S36</f>
        <v>2621.11212814645</v>
      </c>
      <c r="U36" s="54" t="n">
        <f aca="false">T36-(2_Market_Gross_USD!E34+35)</f>
        <v>1186.11212814645</v>
      </c>
      <c r="V36" s="64" t="n">
        <f aca="false">IFERROR(T36/(2_Market_Gross_USD!E34+35),0)</f>
        <v>1.82655897431809</v>
      </c>
      <c r="W36" s="63" t="n">
        <f aca="false">2_Market_Gross_USD!E34*(1-0.065)</f>
        <v>1309</v>
      </c>
      <c r="X36" s="53" t="n">
        <f aca="false">W36/0.72</f>
        <v>1818.05555555556</v>
      </c>
      <c r="Y36" s="54" t="n">
        <f aca="false">X36*0.15+0</f>
        <v>272.708333333333</v>
      </c>
      <c r="Z36" s="55" t="n">
        <f aca="false">X36+Y36</f>
        <v>2090.76388888889</v>
      </c>
      <c r="AA36" s="54" t="n">
        <f aca="false">Z36-(2_Market_Gross_USD!E34+35)</f>
        <v>655.763888888889</v>
      </c>
      <c r="AB36" s="64" t="n">
        <f aca="false">IFERROR(Z36/(2_Market_Gross_USD!E34+35),0)</f>
        <v>1.4569783197832</v>
      </c>
      <c r="AC36" s="63" t="n">
        <f aca="false">2_Market_Gross_USD!E34*(1-0.065)</f>
        <v>1309</v>
      </c>
      <c r="AD36" s="53" t="n">
        <f aca="false">AC36/0.81</f>
        <v>1616.04938271605</v>
      </c>
      <c r="AE36" s="54" t="n">
        <f aca="false">AD36*0+0</f>
        <v>0</v>
      </c>
      <c r="AF36" s="55" t="n">
        <f aca="false">AD36+AE36</f>
        <v>1616.04938271605</v>
      </c>
      <c r="AG36" s="54" t="n">
        <f aca="false">AF36-(2_Market_Gross_USD!E34+35)</f>
        <v>181.049382716049</v>
      </c>
      <c r="AH36" s="64" t="n">
        <f aca="false">IFERROR(AF36/(2_Market_Gross_USD!E34+35),0)</f>
        <v>1.12616681722373</v>
      </c>
      <c r="AI36" s="63" t="n">
        <f aca="false">2_Market_Gross_USD!E34*(1-0.065)</f>
        <v>1309</v>
      </c>
      <c r="AJ36" s="53" t="n">
        <f aca="false">AI36/0.72</f>
        <v>1818.05555555556</v>
      </c>
      <c r="AK36" s="54" t="n">
        <f aca="false">AJ36*0.15+500</f>
        <v>772.708333333333</v>
      </c>
      <c r="AL36" s="55" t="n">
        <f aca="false">AJ36+AK36</f>
        <v>2590.76388888889</v>
      </c>
      <c r="AM36" s="54" t="n">
        <f aca="false">AL36-(2_Market_Gross_USD!E34+35)</f>
        <v>1155.76388888889</v>
      </c>
      <c r="AN36" s="64" t="n">
        <f aca="false">IFERROR(AL36/(2_Market_Gross_USD!E34+35),0)</f>
        <v>1.80541037553233</v>
      </c>
      <c r="AO36" s="63" t="n">
        <f aca="false">2_Market_Gross_USD!E34*(1-0.065)</f>
        <v>1309</v>
      </c>
      <c r="AP36" s="53" t="n">
        <f aca="false">AO36/0.7035</f>
        <v>1860.69651741294</v>
      </c>
      <c r="AQ36" s="54" t="n">
        <f aca="false">AP36*0.11+0</f>
        <v>204.676616915423</v>
      </c>
      <c r="AR36" s="55" t="n">
        <f aca="false">AP36+AQ36</f>
        <v>2065.37313432836</v>
      </c>
      <c r="AS36" s="54" t="n">
        <f aca="false">AR36-(2_Market_Gross_USD!E34+35)</f>
        <v>630.373134328358</v>
      </c>
      <c r="AT36" s="64" t="n">
        <f aca="false">IFERROR(AR36/(2_Market_Gross_USD!E34+35),0)</f>
        <v>1.4392844141661</v>
      </c>
      <c r="AU36" s="63" t="n">
        <f aca="false">2_Market_Gross_USD!E34*(1-0.065)</f>
        <v>1309</v>
      </c>
      <c r="AV36" s="53" t="n">
        <f aca="false">AU36/0.627</f>
        <v>2087.71929824561</v>
      </c>
      <c r="AW36" s="54" t="n">
        <f aca="false">AV36*0+0</f>
        <v>0</v>
      </c>
      <c r="AX36" s="55" t="n">
        <f aca="false">AV36+AW36</f>
        <v>2087.71929824561</v>
      </c>
      <c r="AY36" s="54" t="n">
        <f aca="false">AX36-(2_Market_Gross_USD!E34+35)</f>
        <v>652.719298245614</v>
      </c>
      <c r="AZ36" s="64" t="n">
        <f aca="false">IFERROR(AX36/(2_Market_Gross_USD!E34+35),0)</f>
        <v>1.4548566538297</v>
      </c>
      <c r="BA36" s="63" t="n">
        <f aca="false">2_Market_Gross_USD!E34*(1-0.065)</f>
        <v>1309</v>
      </c>
      <c r="BB36" s="53" t="n">
        <f aca="false">BA36/0.7035</f>
        <v>1860.69651741294</v>
      </c>
      <c r="BC36" s="54" t="n">
        <f aca="false">BB36*0.11+500</f>
        <v>704.676616915423</v>
      </c>
      <c r="BD36" s="55" t="n">
        <f aca="false">BB36+BC36</f>
        <v>2565.37313432836</v>
      </c>
      <c r="BE36" s="54" t="n">
        <f aca="false">BD36-(2_Market_Gross_USD!E34+35)</f>
        <v>1130.37313432836</v>
      </c>
      <c r="BF36" s="64" t="n">
        <f aca="false">IFERROR(BD36/(2_Market_Gross_USD!E34+35),0)</f>
        <v>1.78771646991523</v>
      </c>
      <c r="BG36" s="63" t="n">
        <f aca="false">2_Market_Gross_USD!E34*(1-0.065)</f>
        <v>1309</v>
      </c>
      <c r="BH36" s="53" t="n">
        <f aca="false">BG36/0.5215</f>
        <v>2510.06711409396</v>
      </c>
      <c r="BI36" s="54" t="n">
        <f aca="false">BH36*0.21+0</f>
        <v>527.114093959732</v>
      </c>
      <c r="BJ36" s="55" t="n">
        <f aca="false">BH36+BI36</f>
        <v>3037.18120805369</v>
      </c>
      <c r="BK36" s="54" t="n">
        <f aca="false">BJ36-(2_Market_Gross_USD!E34+35)</f>
        <v>1602.18120805369</v>
      </c>
      <c r="BL36" s="64" t="n">
        <f aca="false">IFERROR(BJ36/(2_Market_Gross_USD!E34+35),0)</f>
        <v>2.11650258400954</v>
      </c>
      <c r="BM36" s="63" t="n">
        <f aca="false">2_Market_Gross_USD!E34*(1-0.065)</f>
        <v>1309</v>
      </c>
      <c r="BN36" s="53" t="n">
        <f aca="false">BM36/0.75</f>
        <v>1745.33333333333</v>
      </c>
      <c r="BO36" s="54" t="n">
        <f aca="false">BN36*0+0</f>
        <v>0</v>
      </c>
      <c r="BP36" s="55" t="n">
        <f aca="false">BN36+BO36</f>
        <v>1745.33333333333</v>
      </c>
      <c r="BQ36" s="54" t="n">
        <f aca="false">BP36-(2_Market_Gross_USD!E34+35)</f>
        <v>310.333333333333</v>
      </c>
      <c r="BR36" s="64" t="n">
        <f aca="false">IFERROR(BP36/(2_Market_Gross_USD!E34+35),0)</f>
        <v>1.21626016260163</v>
      </c>
      <c r="BS36" s="63" t="n">
        <f aca="false">2_Market_Gross_USD!E34*(1-0.065)</f>
        <v>1309</v>
      </c>
      <c r="BT36" s="53" t="n">
        <f aca="false">BS36/0.5215</f>
        <v>2510.06711409396</v>
      </c>
      <c r="BU36" s="54" t="n">
        <f aca="false">BT36*0.21+500</f>
        <v>1027.11409395973</v>
      </c>
      <c r="BV36" s="55" t="n">
        <f aca="false">BT36+BU36</f>
        <v>3537.18120805369</v>
      </c>
      <c r="BW36" s="54" t="n">
        <f aca="false">BV36-(2_Market_Gross_USD!E34+35)</f>
        <v>2102.18120805369</v>
      </c>
      <c r="BX36" s="64" t="n">
        <f aca="false">IFERROR(BV36/(2_Market_Gross_USD!E34+35),0)</f>
        <v>2.46493463975867</v>
      </c>
      <c r="BY36" s="63" t="n">
        <f aca="false">2_Market_Gross_USD!E34*(1-0.065)</f>
        <v>1309</v>
      </c>
      <c r="BZ36" s="53" t="n">
        <f aca="false">BY36/0.6303</f>
        <v>2076.78883071553</v>
      </c>
      <c r="CA36" s="54" t="n">
        <f aca="false">BZ36*0.2+0</f>
        <v>415.357766143106</v>
      </c>
      <c r="CB36" s="55" t="n">
        <f aca="false">BZ36+CA36</f>
        <v>2492.14659685864</v>
      </c>
      <c r="CC36" s="54" t="n">
        <f aca="false">CB36-(2_Market_Gross_USD!E34+35)</f>
        <v>1057.14659685864</v>
      </c>
      <c r="CD36" s="64" t="n">
        <f aca="false">IFERROR(CB36/(2_Market_Gross_USD!E34+35),0)</f>
        <v>1.7366875239433</v>
      </c>
      <c r="CE36" s="63" t="n">
        <f aca="false">2_Market_Gross_USD!E34*(1-0.065)</f>
        <v>1309</v>
      </c>
      <c r="CF36" s="53" t="n">
        <f aca="false">CE36/0.6303</f>
        <v>2076.78883071553</v>
      </c>
      <c r="CG36" s="54" t="n">
        <f aca="false">CF36*0+0</f>
        <v>0</v>
      </c>
      <c r="CH36" s="55" t="n">
        <f aca="false">CF36+CG36</f>
        <v>2076.78883071553</v>
      </c>
      <c r="CI36" s="54" t="n">
        <f aca="false">CH36-(2_Market_Gross_USD!E34+35)</f>
        <v>641.788830715532</v>
      </c>
      <c r="CJ36" s="64" t="n">
        <f aca="false">IFERROR(CH36/(2_Market_Gross_USD!E34+35),0)</f>
        <v>1.44723960328609</v>
      </c>
      <c r="CK36" s="63" t="n">
        <f aca="false">2_Market_Gross_USD!E34*(1-0.065)</f>
        <v>1309</v>
      </c>
      <c r="CL36" s="53" t="n">
        <f aca="false">CK36/0.6303</f>
        <v>2076.78883071553</v>
      </c>
      <c r="CM36" s="54" t="n">
        <f aca="false">CL36*0.2+500</f>
        <v>915.357766143107</v>
      </c>
      <c r="CN36" s="55" t="n">
        <f aca="false">CL36+CM36</f>
        <v>2992.14659685864</v>
      </c>
      <c r="CO36" s="54" t="n">
        <f aca="false">CN36-(2_Market_Gross_USD!E34+35)</f>
        <v>1557.14659685864</v>
      </c>
      <c r="CP36" s="64" t="n">
        <f aca="false">IFERROR(CN36/(2_Market_Gross_USD!E34+35),0)</f>
        <v>2.08511957969243</v>
      </c>
      <c r="CQ36" s="63" t="n">
        <f aca="false">2_Market_Gross_USD!E34*(1-0.065)</f>
        <v>1309</v>
      </c>
      <c r="CR36" s="53" t="n">
        <f aca="false">CQ36/0.74</f>
        <v>1768.91891891892</v>
      </c>
      <c r="CS36" s="54" t="n">
        <f aca="false">CR36*0.338+0</f>
        <v>597.894594594595</v>
      </c>
      <c r="CT36" s="55" t="n">
        <f aca="false">CR36+CS36</f>
        <v>2366.81351351351</v>
      </c>
      <c r="CU36" s="54" t="n">
        <f aca="false">CT36-(2_Market_Gross_USD!E34+35)</f>
        <v>931.813513513514</v>
      </c>
      <c r="CV36" s="64" t="n">
        <f aca="false">IFERROR(CT36/(2_Market_Gross_USD!E34+35),0)</f>
        <v>1.64934739617666</v>
      </c>
      <c r="CW36" s="63" t="n">
        <f aca="false">2_Market_Gross_USD!E34*(1-0.065)</f>
        <v>1309</v>
      </c>
      <c r="CX36" s="53" t="n">
        <f aca="false">CW36/0.85</f>
        <v>1540</v>
      </c>
      <c r="CY36" s="54" t="n">
        <f aca="false">CX36*0+0</f>
        <v>0</v>
      </c>
      <c r="CZ36" s="55" t="n">
        <f aca="false">CX36+CY36</f>
        <v>1540</v>
      </c>
      <c r="DA36" s="54" t="n">
        <f aca="false">CZ36-(2_Market_Gross_USD!E34+35)</f>
        <v>105</v>
      </c>
      <c r="DB36" s="64" t="n">
        <f aca="false">IFERROR(CZ36/(2_Market_Gross_USD!E34+35),0)</f>
        <v>1.07317073170732</v>
      </c>
      <c r="DC36" s="63" t="n">
        <f aca="false">2_Market_Gross_USD!E34*(1-0.065)</f>
        <v>1309</v>
      </c>
      <c r="DD36" s="53" t="n">
        <f aca="false">DC36/0.74</f>
        <v>1768.91891891892</v>
      </c>
      <c r="DE36" s="54" t="n">
        <f aca="false">DD36*0.338+500</f>
        <v>1097.89459459459</v>
      </c>
      <c r="DF36" s="55" t="n">
        <f aca="false">DD36+DE36</f>
        <v>2866.81351351351</v>
      </c>
      <c r="DG36" s="54" t="n">
        <f aca="false">DF36-(2_Market_Gross_USD!E34+35)</f>
        <v>1431.81351351351</v>
      </c>
      <c r="DH36" s="64" t="n">
        <f aca="false">IFERROR(DF36/(2_Market_Gross_USD!E34+35),0)</f>
        <v>1.99777945192579</v>
      </c>
      <c r="DI36" s="63" t="n">
        <f aca="false">2_Market_Gross_USD!E34*(1-0.065)</f>
        <v>1309</v>
      </c>
      <c r="DJ36" s="53" t="n">
        <f aca="false">DI36/0.66</f>
        <v>1983.33333333333</v>
      </c>
      <c r="DK36" s="54" t="n">
        <f aca="false">DJ36*0.2375+0</f>
        <v>471.041666666667</v>
      </c>
      <c r="DL36" s="55" t="n">
        <f aca="false">DJ36+DK36</f>
        <v>2454.375</v>
      </c>
      <c r="DM36" s="54" t="n">
        <f aca="false">DL36-(2_Market_Gross_USD!E34+35)</f>
        <v>1019.375</v>
      </c>
      <c r="DN36" s="64" t="n">
        <f aca="false">IFERROR(DL36/(2_Market_Gross_USD!E34+35),0)</f>
        <v>1.71036585365854</v>
      </c>
      <c r="DO36" s="63" t="n">
        <f aca="false">2_Market_Gross_USD!E34*(1-0.065)</f>
        <v>1309</v>
      </c>
      <c r="DP36" s="53" t="n">
        <f aca="false">DO36/0.8</f>
        <v>1636.25</v>
      </c>
      <c r="DQ36" s="54" t="n">
        <f aca="false">DP36*0+0</f>
        <v>0</v>
      </c>
      <c r="DR36" s="55" t="n">
        <f aca="false">DP36+DQ36</f>
        <v>1636.25</v>
      </c>
      <c r="DS36" s="54" t="n">
        <f aca="false">DR36-(2_Market_Gross_USD!E34+35)</f>
        <v>201.25</v>
      </c>
      <c r="DT36" s="64" t="n">
        <f aca="false">IFERROR(DR36/(2_Market_Gross_USD!E34+35),0)</f>
        <v>1.14024390243902</v>
      </c>
      <c r="DU36" s="63" t="n">
        <f aca="false">2_Market_Gross_USD!E34*(1-0.065)</f>
        <v>1309</v>
      </c>
      <c r="DV36" s="53" t="n">
        <f aca="false">DU36/0.66</f>
        <v>1983.33333333333</v>
      </c>
      <c r="DW36" s="54" t="n">
        <f aca="false">DV36*0.2375+500</f>
        <v>971.041666666667</v>
      </c>
      <c r="DX36" s="55" t="n">
        <f aca="false">DV36+DW36</f>
        <v>2954.375</v>
      </c>
      <c r="DY36" s="54" t="n">
        <f aca="false">DX36-(2_Market_Gross_USD!E34+35)</f>
        <v>1519.375</v>
      </c>
      <c r="DZ36" s="64" t="n">
        <f aca="false">IFERROR(DX36/(2_Market_Gross_USD!E34+35),0)</f>
        <v>2.05879790940767</v>
      </c>
      <c r="EA36" s="63" t="n">
        <f aca="false">2_Market_Gross_USD!E34*(1-0.065)</f>
        <v>1309</v>
      </c>
      <c r="EB36" s="53" t="n">
        <f aca="false">EA36/0.65</f>
        <v>2013.84615384615</v>
      </c>
      <c r="EC36" s="54" t="n">
        <f aca="false">EB36*0.0225+0</f>
        <v>45.3115384615385</v>
      </c>
      <c r="ED36" s="55" t="n">
        <f aca="false">EB36+EC36</f>
        <v>2059.15769230769</v>
      </c>
      <c r="EE36" s="54" t="n">
        <f aca="false">ED36-(2_Market_Gross_USD!E34+35)</f>
        <v>624.157692307692</v>
      </c>
      <c r="EF36" s="64" t="n">
        <f aca="false">IFERROR(ED36/(2_Market_Gross_USD!E34+35),0)</f>
        <v>1.4349530956848</v>
      </c>
      <c r="EG36" s="63" t="n">
        <f aca="false">2_Market_Gross_USD!E34*(1-0.065)</f>
        <v>1309</v>
      </c>
      <c r="EH36" s="53" t="n">
        <f aca="false">EG36/0.99</f>
        <v>1322.22222222222</v>
      </c>
      <c r="EI36" s="54" t="n">
        <f aca="false">EH36*0+0</f>
        <v>0</v>
      </c>
      <c r="EJ36" s="55" t="n">
        <f aca="false">EH36+EI36</f>
        <v>1322.22222222222</v>
      </c>
      <c r="EK36" s="54" t="n">
        <f aca="false">EJ36-(2_Market_Gross_USD!E34+35)</f>
        <v>-112.777777777778</v>
      </c>
      <c r="EL36" s="64" t="n">
        <f aca="false">IFERROR(EJ36/(2_Market_Gross_USD!E34+35),0)</f>
        <v>0.921409214092141</v>
      </c>
      <c r="EM36" s="63" t="n">
        <f aca="false">2_Market_Gross_USD!E34*(1-0.065)</f>
        <v>1309</v>
      </c>
      <c r="EN36" s="53" t="n">
        <f aca="false">EM36/0.65</f>
        <v>2013.84615384615</v>
      </c>
      <c r="EO36" s="54" t="n">
        <f aca="false">EN36*0.0225+500</f>
        <v>545.311538461539</v>
      </c>
      <c r="EP36" s="55" t="n">
        <f aca="false">EN36+EO36</f>
        <v>2559.15769230769</v>
      </c>
      <c r="EQ36" s="54" t="n">
        <f aca="false">EP36-(2_Market_Gross_USD!E34+35)</f>
        <v>1124.15769230769</v>
      </c>
      <c r="ER36" s="64" t="n">
        <f aca="false">IFERROR(EP36/(2_Market_Gross_USD!E34+35),0)</f>
        <v>1.78338515143393</v>
      </c>
    </row>
    <row r="37" customFormat="false" ht="15" hidden="false" customHeight="false" outlineLevel="0" collapsed="false">
      <c r="A37" s="41" t="n">
        <v>32</v>
      </c>
      <c r="B37" s="28" t="s">
        <v>268</v>
      </c>
      <c r="C37" s="8" t="s">
        <v>269</v>
      </c>
      <c r="D37" s="65" t="s">
        <v>249</v>
      </c>
      <c r="E37" s="63" t="n">
        <f aca="false">2_Market_Gross_USD!E35*(1-0.065)</f>
        <v>2992</v>
      </c>
      <c r="F37" s="53" t="n">
        <f aca="false">E37/0.7429</f>
        <v>4027.45995423341</v>
      </c>
      <c r="G37" s="58" t="n">
        <f aca="false">F37*0.2038+0</f>
        <v>820.796338672769</v>
      </c>
      <c r="H37" s="55" t="n">
        <f aca="false">F37+G37</f>
        <v>4848.25629290618</v>
      </c>
      <c r="I37" s="58" t="n">
        <f aca="false">H37-(2_Market_Gross_USD!E35+35)</f>
        <v>1613.25629290618</v>
      </c>
      <c r="J37" s="66" t="n">
        <f aca="false">IFERROR(H37/(2_Market_Gross_USD!E35+35),0)</f>
        <v>1.49868818946095</v>
      </c>
      <c r="K37" s="63" t="n">
        <f aca="false">2_Market_Gross_USD!E35*(1-0.065)</f>
        <v>2992</v>
      </c>
      <c r="L37" s="53" t="n">
        <f aca="false">K37/0.88</f>
        <v>3400</v>
      </c>
      <c r="M37" s="58" t="n">
        <f aca="false">L37*0+0</f>
        <v>0</v>
      </c>
      <c r="N37" s="55" t="n">
        <f aca="false">L37+M37</f>
        <v>3400</v>
      </c>
      <c r="O37" s="58" t="n">
        <f aca="false">N37-(2_Market_Gross_USD!E35+35)</f>
        <v>165</v>
      </c>
      <c r="P37" s="66" t="n">
        <f aca="false">IFERROR(N37/(2_Market_Gross_USD!E35+35),0)</f>
        <v>1.05100463678516</v>
      </c>
      <c r="Q37" s="63" t="n">
        <f aca="false">2_Market_Gross_USD!E35*(1-0.065)</f>
        <v>2992</v>
      </c>
      <c r="R37" s="53" t="n">
        <f aca="false">Q37/0.7429</f>
        <v>4027.45995423341</v>
      </c>
      <c r="S37" s="58" t="n">
        <f aca="false">R37*0.2038+500</f>
        <v>1320.79633867277</v>
      </c>
      <c r="T37" s="55" t="n">
        <f aca="false">R37+S37</f>
        <v>5348.25629290618</v>
      </c>
      <c r="U37" s="58" t="n">
        <f aca="false">T37-(2_Market_Gross_USD!E35+35)</f>
        <v>2113.25629290618</v>
      </c>
      <c r="V37" s="66" t="n">
        <f aca="false">IFERROR(T37/(2_Market_Gross_USD!E35+35),0)</f>
        <v>1.65324769487053</v>
      </c>
      <c r="W37" s="63" t="n">
        <f aca="false">2_Market_Gross_USD!E35*(1-0.065)</f>
        <v>2992</v>
      </c>
      <c r="X37" s="53" t="n">
        <f aca="false">W37/0.72</f>
        <v>4155.55555555556</v>
      </c>
      <c r="Y37" s="58" t="n">
        <f aca="false">X37*0.15+0</f>
        <v>623.333333333333</v>
      </c>
      <c r="Z37" s="55" t="n">
        <f aca="false">X37+Y37</f>
        <v>4778.88888888889</v>
      </c>
      <c r="AA37" s="58" t="n">
        <f aca="false">Z37-(2_Market_Gross_USD!E35+35)</f>
        <v>1543.88888888889</v>
      </c>
      <c r="AB37" s="66" t="n">
        <f aca="false">IFERROR(Z37/(2_Market_Gross_USD!E35+35),0)</f>
        <v>1.47724540614803</v>
      </c>
      <c r="AC37" s="63" t="n">
        <f aca="false">2_Market_Gross_USD!E35*(1-0.065)</f>
        <v>2992</v>
      </c>
      <c r="AD37" s="53" t="n">
        <f aca="false">AC37/0.81</f>
        <v>3693.82716049383</v>
      </c>
      <c r="AE37" s="58" t="n">
        <f aca="false">AD37*0+0</f>
        <v>0</v>
      </c>
      <c r="AF37" s="55" t="n">
        <f aca="false">AD37+AE37</f>
        <v>3693.82716049383</v>
      </c>
      <c r="AG37" s="58" t="n">
        <f aca="false">AF37-(2_Market_Gross_USD!E35+35)</f>
        <v>458.827160493827</v>
      </c>
      <c r="AH37" s="66" t="n">
        <f aca="false">IFERROR(AF37/(2_Market_Gross_USD!E35+35),0)</f>
        <v>1.14183219798882</v>
      </c>
      <c r="AI37" s="63" t="n">
        <f aca="false">2_Market_Gross_USD!E35*(1-0.065)</f>
        <v>2992</v>
      </c>
      <c r="AJ37" s="53" t="n">
        <f aca="false">AI37/0.72</f>
        <v>4155.55555555556</v>
      </c>
      <c r="AK37" s="58" t="n">
        <f aca="false">AJ37*0.15+500</f>
        <v>1123.33333333333</v>
      </c>
      <c r="AL37" s="55" t="n">
        <f aca="false">AJ37+AK37</f>
        <v>5278.88888888889</v>
      </c>
      <c r="AM37" s="58" t="n">
        <f aca="false">AL37-(2_Market_Gross_USD!E35+35)</f>
        <v>2043.88888888889</v>
      </c>
      <c r="AN37" s="66" t="n">
        <f aca="false">IFERROR(AL37/(2_Market_Gross_USD!E35+35),0)</f>
        <v>1.63180491155762</v>
      </c>
      <c r="AO37" s="63" t="n">
        <f aca="false">2_Market_Gross_USD!E35*(1-0.065)</f>
        <v>2992</v>
      </c>
      <c r="AP37" s="53" t="n">
        <f aca="false">AO37/0.7035</f>
        <v>4253.02061122957</v>
      </c>
      <c r="AQ37" s="58" t="n">
        <f aca="false">AP37*0.11+0</f>
        <v>467.832267235252</v>
      </c>
      <c r="AR37" s="55" t="n">
        <f aca="false">AP37+AQ37</f>
        <v>4720.85287846482</v>
      </c>
      <c r="AS37" s="58" t="n">
        <f aca="false">AR37-(2_Market_Gross_USD!E35+35)</f>
        <v>1485.85287846482</v>
      </c>
      <c r="AT37" s="66" t="n">
        <f aca="false">IFERROR(AR37/(2_Market_Gross_USD!E35+35),0)</f>
        <v>1.45930537201385</v>
      </c>
      <c r="AU37" s="63" t="n">
        <f aca="false">2_Market_Gross_USD!E35*(1-0.065)</f>
        <v>2992</v>
      </c>
      <c r="AV37" s="53" t="n">
        <f aca="false">AU37/0.627</f>
        <v>4771.9298245614</v>
      </c>
      <c r="AW37" s="58" t="n">
        <f aca="false">AV37*0+0</f>
        <v>0</v>
      </c>
      <c r="AX37" s="55" t="n">
        <f aca="false">AV37+AW37</f>
        <v>4771.9298245614</v>
      </c>
      <c r="AY37" s="58" t="n">
        <f aca="false">AX37-(2_Market_Gross_USD!E35+35)</f>
        <v>1536.9298245614</v>
      </c>
      <c r="AZ37" s="66" t="n">
        <f aca="false">IFERROR(AX37/(2_Market_Gross_USD!E35+35),0)</f>
        <v>1.47509422706689</v>
      </c>
      <c r="BA37" s="63" t="n">
        <f aca="false">2_Market_Gross_USD!E35*(1-0.065)</f>
        <v>2992</v>
      </c>
      <c r="BB37" s="53" t="n">
        <f aca="false">BA37/0.7035</f>
        <v>4253.02061122957</v>
      </c>
      <c r="BC37" s="58" t="n">
        <f aca="false">BB37*0.11+500</f>
        <v>967.832267235252</v>
      </c>
      <c r="BD37" s="55" t="n">
        <f aca="false">BB37+BC37</f>
        <v>5220.85287846482</v>
      </c>
      <c r="BE37" s="58" t="n">
        <f aca="false">BD37-(2_Market_Gross_USD!E35+35)</f>
        <v>1985.85287846482</v>
      </c>
      <c r="BF37" s="66" t="n">
        <f aca="false">IFERROR(BD37/(2_Market_Gross_USD!E35+35),0)</f>
        <v>1.61386487742344</v>
      </c>
      <c r="BG37" s="63" t="n">
        <f aca="false">2_Market_Gross_USD!E35*(1-0.065)</f>
        <v>2992</v>
      </c>
      <c r="BH37" s="53" t="n">
        <f aca="false">BG37/0.5215</f>
        <v>5737.29626078619</v>
      </c>
      <c r="BI37" s="58" t="n">
        <f aca="false">BH37*0.21+0</f>
        <v>1204.8322147651</v>
      </c>
      <c r="BJ37" s="55" t="n">
        <f aca="false">BH37+BI37</f>
        <v>6942.12847555129</v>
      </c>
      <c r="BK37" s="58" t="n">
        <f aca="false">BJ37-(2_Market_Gross_USD!E35+35)</f>
        <v>3707.12847555129</v>
      </c>
      <c r="BL37" s="66" t="n">
        <f aca="false">IFERROR(BJ37/(2_Market_Gross_USD!E35+35),0)</f>
        <v>2.14594388734198</v>
      </c>
      <c r="BM37" s="63" t="n">
        <f aca="false">2_Market_Gross_USD!E35*(1-0.065)</f>
        <v>2992</v>
      </c>
      <c r="BN37" s="53" t="n">
        <f aca="false">BM37/0.75</f>
        <v>3989.33333333333</v>
      </c>
      <c r="BO37" s="58" t="n">
        <f aca="false">BN37*0+0</f>
        <v>0</v>
      </c>
      <c r="BP37" s="55" t="n">
        <f aca="false">BN37+BO37</f>
        <v>3989.33333333333</v>
      </c>
      <c r="BQ37" s="58" t="n">
        <f aca="false">BP37-(2_Market_Gross_USD!E35+35)</f>
        <v>754.333333333334</v>
      </c>
      <c r="BR37" s="66" t="n">
        <f aca="false">IFERROR(BP37/(2_Market_Gross_USD!E35+35),0)</f>
        <v>1.23317877382792</v>
      </c>
      <c r="BS37" s="63" t="n">
        <f aca="false">2_Market_Gross_USD!E35*(1-0.065)</f>
        <v>2992</v>
      </c>
      <c r="BT37" s="53" t="n">
        <f aca="false">BS37/0.5215</f>
        <v>5737.29626078619</v>
      </c>
      <c r="BU37" s="58" t="n">
        <f aca="false">BT37*0.21+500</f>
        <v>1704.8322147651</v>
      </c>
      <c r="BV37" s="55" t="n">
        <f aca="false">BT37+BU37</f>
        <v>7442.12847555129</v>
      </c>
      <c r="BW37" s="58" t="n">
        <f aca="false">BV37-(2_Market_Gross_USD!E35+35)</f>
        <v>4207.12847555129</v>
      </c>
      <c r="BX37" s="66" t="n">
        <f aca="false">IFERROR(BV37/(2_Market_Gross_USD!E35+35),0)</f>
        <v>2.30050339275156</v>
      </c>
      <c r="BY37" s="63" t="n">
        <f aca="false">2_Market_Gross_USD!E35*(1-0.065)</f>
        <v>2992</v>
      </c>
      <c r="BZ37" s="53" t="n">
        <f aca="false">BY37/0.6303</f>
        <v>4746.94589877836</v>
      </c>
      <c r="CA37" s="58" t="n">
        <f aca="false">BZ37*0.2+0</f>
        <v>949.389179755672</v>
      </c>
      <c r="CB37" s="55" t="n">
        <f aca="false">BZ37+CA37</f>
        <v>5696.33507853403</v>
      </c>
      <c r="CC37" s="58" t="n">
        <f aca="false">CB37-(2_Market_Gross_USD!E35+35)</f>
        <v>2461.33507853403</v>
      </c>
      <c r="CD37" s="66" t="n">
        <f aca="false">IFERROR(CB37/(2_Market_Gross_USD!E35+35),0)</f>
        <v>1.76084546477095</v>
      </c>
      <c r="CE37" s="63" t="n">
        <f aca="false">2_Market_Gross_USD!E35*(1-0.065)</f>
        <v>2992</v>
      </c>
      <c r="CF37" s="53" t="n">
        <f aca="false">CE37/0.6303</f>
        <v>4746.94589877836</v>
      </c>
      <c r="CG37" s="58" t="n">
        <f aca="false">CF37*0+0</f>
        <v>0</v>
      </c>
      <c r="CH37" s="55" t="n">
        <f aca="false">CF37+CG37</f>
        <v>4746.94589877836</v>
      </c>
      <c r="CI37" s="58" t="n">
        <f aca="false">CH37-(2_Market_Gross_USD!E35+35)</f>
        <v>1511.94589877836</v>
      </c>
      <c r="CJ37" s="66" t="n">
        <f aca="false">IFERROR(CH37/(2_Market_Gross_USD!E35+35),0)</f>
        <v>1.46737122064246</v>
      </c>
      <c r="CK37" s="63" t="n">
        <f aca="false">2_Market_Gross_USD!E35*(1-0.065)</f>
        <v>2992</v>
      </c>
      <c r="CL37" s="53" t="n">
        <f aca="false">CK37/0.6303</f>
        <v>4746.94589877836</v>
      </c>
      <c r="CM37" s="58" t="n">
        <f aca="false">CL37*0.2+500</f>
        <v>1449.38917975567</v>
      </c>
      <c r="CN37" s="55" t="n">
        <f aca="false">CL37+CM37</f>
        <v>6196.33507853403</v>
      </c>
      <c r="CO37" s="58" t="n">
        <f aca="false">CN37-(2_Market_Gross_USD!E35+35)</f>
        <v>2961.33507853403</v>
      </c>
      <c r="CP37" s="66" t="n">
        <f aca="false">IFERROR(CN37/(2_Market_Gross_USD!E35+35),0)</f>
        <v>1.91540497018054</v>
      </c>
      <c r="CQ37" s="63" t="n">
        <f aca="false">2_Market_Gross_USD!E35*(1-0.065)</f>
        <v>2992</v>
      </c>
      <c r="CR37" s="53" t="n">
        <f aca="false">CQ37/0.74</f>
        <v>4043.24324324324</v>
      </c>
      <c r="CS37" s="58" t="n">
        <f aca="false">CR37*0.338+0</f>
        <v>1366.61621621622</v>
      </c>
      <c r="CT37" s="55" t="n">
        <f aca="false">CR37+CS37</f>
        <v>5409.85945945946</v>
      </c>
      <c r="CU37" s="58" t="n">
        <f aca="false">CT37-(2_Market_Gross_USD!E35+35)</f>
        <v>2174.85945945946</v>
      </c>
      <c r="CV37" s="66" t="n">
        <f aca="false">IFERROR(CT37/(2_Market_Gross_USD!E35+35),0)</f>
        <v>1.67229040477881</v>
      </c>
      <c r="CW37" s="63" t="n">
        <f aca="false">2_Market_Gross_USD!E35*(1-0.065)</f>
        <v>2992</v>
      </c>
      <c r="CX37" s="53" t="n">
        <f aca="false">CW37/0.85</f>
        <v>3520</v>
      </c>
      <c r="CY37" s="58" t="n">
        <f aca="false">CX37*0+0</f>
        <v>0</v>
      </c>
      <c r="CZ37" s="55" t="n">
        <f aca="false">CX37+CY37</f>
        <v>3520</v>
      </c>
      <c r="DA37" s="58" t="n">
        <f aca="false">CZ37-(2_Market_Gross_USD!E35+35)</f>
        <v>285</v>
      </c>
      <c r="DB37" s="66" t="n">
        <f aca="false">IFERROR(CZ37/(2_Market_Gross_USD!E35+35),0)</f>
        <v>1.08809891808346</v>
      </c>
      <c r="DC37" s="63" t="n">
        <f aca="false">2_Market_Gross_USD!E35*(1-0.065)</f>
        <v>2992</v>
      </c>
      <c r="DD37" s="53" t="n">
        <f aca="false">DC37/0.74</f>
        <v>4043.24324324324</v>
      </c>
      <c r="DE37" s="58" t="n">
        <f aca="false">DD37*0.338+500</f>
        <v>1866.61621621622</v>
      </c>
      <c r="DF37" s="55" t="n">
        <f aca="false">DD37+DE37</f>
        <v>5909.85945945946</v>
      </c>
      <c r="DG37" s="58" t="n">
        <f aca="false">DF37-(2_Market_Gross_USD!E35+35)</f>
        <v>2674.85945945946</v>
      </c>
      <c r="DH37" s="66" t="n">
        <f aca="false">IFERROR(DF37/(2_Market_Gross_USD!E35+35),0)</f>
        <v>1.8268499101884</v>
      </c>
      <c r="DI37" s="63" t="n">
        <f aca="false">2_Market_Gross_USD!E35*(1-0.065)</f>
        <v>2992</v>
      </c>
      <c r="DJ37" s="53" t="n">
        <f aca="false">DI37/0.66</f>
        <v>4533.33333333333</v>
      </c>
      <c r="DK37" s="58" t="n">
        <f aca="false">DJ37*0.2375+0</f>
        <v>1076.66666666667</v>
      </c>
      <c r="DL37" s="55" t="n">
        <f aca="false">DJ37+DK37</f>
        <v>5610</v>
      </c>
      <c r="DM37" s="58" t="n">
        <f aca="false">DL37-(2_Market_Gross_USD!E35+35)</f>
        <v>2375</v>
      </c>
      <c r="DN37" s="66" t="n">
        <f aca="false">IFERROR(DL37/(2_Market_Gross_USD!E35+35),0)</f>
        <v>1.73415765069552</v>
      </c>
      <c r="DO37" s="63" t="n">
        <f aca="false">2_Market_Gross_USD!E35*(1-0.065)</f>
        <v>2992</v>
      </c>
      <c r="DP37" s="53" t="n">
        <f aca="false">DO37/0.8</f>
        <v>3740</v>
      </c>
      <c r="DQ37" s="58" t="n">
        <f aca="false">DP37*0+0</f>
        <v>0</v>
      </c>
      <c r="DR37" s="55" t="n">
        <f aca="false">DP37+DQ37</f>
        <v>3740</v>
      </c>
      <c r="DS37" s="58" t="n">
        <f aca="false">DR37-(2_Market_Gross_USD!E35+35)</f>
        <v>505</v>
      </c>
      <c r="DT37" s="66" t="n">
        <f aca="false">IFERROR(DR37/(2_Market_Gross_USD!E35+35),0)</f>
        <v>1.15610510046368</v>
      </c>
      <c r="DU37" s="63" t="n">
        <f aca="false">2_Market_Gross_USD!E35*(1-0.065)</f>
        <v>2992</v>
      </c>
      <c r="DV37" s="53" t="n">
        <f aca="false">DU37/0.66</f>
        <v>4533.33333333333</v>
      </c>
      <c r="DW37" s="58" t="n">
        <f aca="false">DV37*0.2375+500</f>
        <v>1576.66666666667</v>
      </c>
      <c r="DX37" s="55" t="n">
        <f aca="false">DV37+DW37</f>
        <v>6110</v>
      </c>
      <c r="DY37" s="58" t="n">
        <f aca="false">DX37-(2_Market_Gross_USD!E35+35)</f>
        <v>2875</v>
      </c>
      <c r="DZ37" s="66" t="n">
        <f aca="false">IFERROR(DX37/(2_Market_Gross_USD!E35+35),0)</f>
        <v>1.8887171561051</v>
      </c>
      <c r="EA37" s="63" t="n">
        <f aca="false">2_Market_Gross_USD!E35*(1-0.065)</f>
        <v>2992</v>
      </c>
      <c r="EB37" s="53" t="n">
        <f aca="false">EA37/0.65</f>
        <v>4603.07692307692</v>
      </c>
      <c r="EC37" s="58" t="n">
        <f aca="false">EB37*0.0225+0</f>
        <v>103.569230769231</v>
      </c>
      <c r="ED37" s="55" t="n">
        <f aca="false">EB37+EC37</f>
        <v>4706.64615384615</v>
      </c>
      <c r="EE37" s="58" t="n">
        <f aca="false">ED37-(2_Market_Gross_USD!E35+35)</f>
        <v>1471.64615384615</v>
      </c>
      <c r="EF37" s="66" t="n">
        <f aca="false">IFERROR(ED37/(2_Market_Gross_USD!E35+35),0)</f>
        <v>1.45491380335275</v>
      </c>
      <c r="EG37" s="63" t="n">
        <f aca="false">2_Market_Gross_USD!E35*(1-0.065)</f>
        <v>2992</v>
      </c>
      <c r="EH37" s="53" t="n">
        <f aca="false">EG37/0.99</f>
        <v>3022.22222222222</v>
      </c>
      <c r="EI37" s="58" t="n">
        <f aca="false">EH37*0+0</f>
        <v>0</v>
      </c>
      <c r="EJ37" s="55" t="n">
        <f aca="false">EH37+EI37</f>
        <v>3022.22222222222</v>
      </c>
      <c r="EK37" s="58" t="n">
        <f aca="false">EJ37-(2_Market_Gross_USD!E35+35)</f>
        <v>-212.777777777778</v>
      </c>
      <c r="EL37" s="66" t="n">
        <f aca="false">IFERROR(EJ37/(2_Market_Gross_USD!E35+35),0)</f>
        <v>0.934226343809033</v>
      </c>
      <c r="EM37" s="63" t="n">
        <f aca="false">2_Market_Gross_USD!E35*(1-0.065)</f>
        <v>2992</v>
      </c>
      <c r="EN37" s="53" t="n">
        <f aca="false">EM37/0.65</f>
        <v>4603.07692307692</v>
      </c>
      <c r="EO37" s="58" t="n">
        <f aca="false">EN37*0.0225+500</f>
        <v>603.569230769231</v>
      </c>
      <c r="EP37" s="55" t="n">
        <f aca="false">EN37+EO37</f>
        <v>5206.64615384615</v>
      </c>
      <c r="EQ37" s="58" t="n">
        <f aca="false">EP37-(2_Market_Gross_USD!E35+35)</f>
        <v>1971.64615384615</v>
      </c>
      <c r="ER37" s="66" t="n">
        <f aca="false">IFERROR(EP37/(2_Market_Gross_USD!E35+35),0)</f>
        <v>1.60947330876234</v>
      </c>
    </row>
    <row r="38" customFormat="false" ht="15" hidden="false" customHeight="false" outlineLevel="0" collapsed="false">
      <c r="A38" s="37" t="n">
        <v>33</v>
      </c>
      <c r="B38" s="32" t="s">
        <v>270</v>
      </c>
      <c r="C38" s="32" t="s">
        <v>271</v>
      </c>
      <c r="D38" s="62" t="s">
        <v>248</v>
      </c>
      <c r="E38" s="63" t="n">
        <f aca="false">2_Market_Gross_USD!E36*(1-0.065)</f>
        <v>1075.25</v>
      </c>
      <c r="F38" s="53" t="n">
        <f aca="false">E38/0.7429</f>
        <v>1447.36842105263</v>
      </c>
      <c r="G38" s="54" t="n">
        <f aca="false">F38*0.2038+0</f>
        <v>294.973684210526</v>
      </c>
      <c r="H38" s="55" t="n">
        <f aca="false">F38+G38</f>
        <v>1742.34210526316</v>
      </c>
      <c r="I38" s="54" t="n">
        <f aca="false">H38-(2_Market_Gross_USD!E36+35)</f>
        <v>557.342105263158</v>
      </c>
      <c r="J38" s="64" t="n">
        <f aca="false">IFERROR(H38/(2_Market_Gross_USD!E36+35),0)</f>
        <v>1.47033089051743</v>
      </c>
      <c r="K38" s="63" t="n">
        <f aca="false">2_Market_Gross_USD!E36*(1-0.065)</f>
        <v>1075.25</v>
      </c>
      <c r="L38" s="53" t="n">
        <f aca="false">K38/0.88</f>
        <v>1221.875</v>
      </c>
      <c r="M38" s="54" t="n">
        <f aca="false">L38*0+0</f>
        <v>0</v>
      </c>
      <c r="N38" s="55" t="n">
        <f aca="false">L38+M38</f>
        <v>1221.875</v>
      </c>
      <c r="O38" s="54" t="n">
        <f aca="false">N38-(2_Market_Gross_USD!E36+35)</f>
        <v>36.875</v>
      </c>
      <c r="P38" s="64" t="n">
        <f aca="false">IFERROR(N38/(2_Market_Gross_USD!E36+35),0)</f>
        <v>1.03111814345992</v>
      </c>
      <c r="Q38" s="63" t="n">
        <f aca="false">2_Market_Gross_USD!E36*(1-0.065)</f>
        <v>1075.25</v>
      </c>
      <c r="R38" s="53" t="n">
        <f aca="false">Q38/0.7429</f>
        <v>1447.36842105263</v>
      </c>
      <c r="S38" s="54" t="n">
        <f aca="false">R38*0.2038+500</f>
        <v>794.973684210526</v>
      </c>
      <c r="T38" s="55" t="n">
        <f aca="false">R38+S38</f>
        <v>2242.34210526316</v>
      </c>
      <c r="U38" s="54" t="n">
        <f aca="false">T38-(2_Market_Gross_USD!E36+35)</f>
        <v>1057.34210526316</v>
      </c>
      <c r="V38" s="64" t="n">
        <f aca="false">IFERROR(T38/(2_Market_Gross_USD!E36+35),0)</f>
        <v>1.89227181878748</v>
      </c>
      <c r="W38" s="63" t="n">
        <f aca="false">2_Market_Gross_USD!E36*(1-0.065)</f>
        <v>1075.25</v>
      </c>
      <c r="X38" s="53" t="n">
        <f aca="false">W38/0.72</f>
        <v>1493.40277777778</v>
      </c>
      <c r="Y38" s="54" t="n">
        <f aca="false">X38*0.15+0</f>
        <v>224.010416666667</v>
      </c>
      <c r="Z38" s="55" t="n">
        <f aca="false">X38+Y38</f>
        <v>1717.41319444444</v>
      </c>
      <c r="AA38" s="54" t="n">
        <f aca="false">Z38-(2_Market_Gross_USD!E36+35)</f>
        <v>532.413194444445</v>
      </c>
      <c r="AB38" s="64" t="n">
        <f aca="false">IFERROR(Z38/(2_Market_Gross_USD!E36+35),0)</f>
        <v>1.44929383497421</v>
      </c>
      <c r="AC38" s="63" t="n">
        <f aca="false">2_Market_Gross_USD!E36*(1-0.065)</f>
        <v>1075.25</v>
      </c>
      <c r="AD38" s="53" t="n">
        <f aca="false">AC38/0.81</f>
        <v>1327.46913580247</v>
      </c>
      <c r="AE38" s="54" t="n">
        <f aca="false">AD38*0+0</f>
        <v>0</v>
      </c>
      <c r="AF38" s="55" t="n">
        <f aca="false">AD38+AE38</f>
        <v>1327.46913580247</v>
      </c>
      <c r="AG38" s="54" t="n">
        <f aca="false">AF38-(2_Market_Gross_USD!E36+35)</f>
        <v>142.469135802469</v>
      </c>
      <c r="AH38" s="64" t="n">
        <f aca="false">IFERROR(AF38/(2_Market_Gross_USD!E36+35),0)</f>
        <v>1.12022711882065</v>
      </c>
      <c r="AI38" s="63" t="n">
        <f aca="false">2_Market_Gross_USD!E36*(1-0.065)</f>
        <v>1075.25</v>
      </c>
      <c r="AJ38" s="53" t="n">
        <f aca="false">AI38/0.72</f>
        <v>1493.40277777778</v>
      </c>
      <c r="AK38" s="54" t="n">
        <f aca="false">AJ38*0.15+500</f>
        <v>724.010416666667</v>
      </c>
      <c r="AL38" s="55" t="n">
        <f aca="false">AJ38+AK38</f>
        <v>2217.41319444444</v>
      </c>
      <c r="AM38" s="54" t="n">
        <f aca="false">AL38-(2_Market_Gross_USD!E36+35)</f>
        <v>1032.41319444444</v>
      </c>
      <c r="AN38" s="64" t="n">
        <f aca="false">IFERROR(AL38/(2_Market_Gross_USD!E36+35),0)</f>
        <v>1.87123476324426</v>
      </c>
      <c r="AO38" s="63" t="n">
        <f aca="false">2_Market_Gross_USD!E36*(1-0.065)</f>
        <v>1075.25</v>
      </c>
      <c r="AP38" s="53" t="n">
        <f aca="false">AO38/0.7035</f>
        <v>1528.42928216063</v>
      </c>
      <c r="AQ38" s="54" t="n">
        <f aca="false">AP38*0.11+0</f>
        <v>168.127221037669</v>
      </c>
      <c r="AR38" s="55" t="n">
        <f aca="false">AP38+AQ38</f>
        <v>1696.55650319829</v>
      </c>
      <c r="AS38" s="54" t="n">
        <f aca="false">AR38-(2_Market_Gross_USD!E36+35)</f>
        <v>511.556503198294</v>
      </c>
      <c r="AT38" s="64" t="n">
        <f aca="false">IFERROR(AR38/(2_Market_Gross_USD!E36+35),0)</f>
        <v>1.43169325164413</v>
      </c>
      <c r="AU38" s="63" t="n">
        <f aca="false">2_Market_Gross_USD!E36*(1-0.065)</f>
        <v>1075.25</v>
      </c>
      <c r="AV38" s="53" t="n">
        <f aca="false">AU38/0.627</f>
        <v>1714.91228070175</v>
      </c>
      <c r="AW38" s="54" t="n">
        <f aca="false">AV38*0+0</f>
        <v>0</v>
      </c>
      <c r="AX38" s="55" t="n">
        <f aca="false">AV38+AW38</f>
        <v>1714.91228070175</v>
      </c>
      <c r="AY38" s="54" t="n">
        <f aca="false">AX38-(2_Market_Gross_USD!E36+35)</f>
        <v>529.912280701754</v>
      </c>
      <c r="AZ38" s="64" t="n">
        <f aca="false">IFERROR(AX38/(2_Market_Gross_USD!E36+35),0)</f>
        <v>1.44718335924199</v>
      </c>
      <c r="BA38" s="63" t="n">
        <f aca="false">2_Market_Gross_USD!E36*(1-0.065)</f>
        <v>1075.25</v>
      </c>
      <c r="BB38" s="53" t="n">
        <f aca="false">BA38/0.7035</f>
        <v>1528.42928216063</v>
      </c>
      <c r="BC38" s="54" t="n">
        <f aca="false">BB38*0.11+500</f>
        <v>668.127221037669</v>
      </c>
      <c r="BD38" s="55" t="n">
        <f aca="false">BB38+BC38</f>
        <v>2196.55650319829</v>
      </c>
      <c r="BE38" s="54" t="n">
        <f aca="false">BD38-(2_Market_Gross_USD!E36+35)</f>
        <v>1011.55650319829</v>
      </c>
      <c r="BF38" s="64" t="n">
        <f aca="false">IFERROR(BD38/(2_Market_Gross_USD!E36+35),0)</f>
        <v>1.85363417991417</v>
      </c>
      <c r="BG38" s="63" t="n">
        <f aca="false">2_Market_Gross_USD!E36*(1-0.065)</f>
        <v>1075.25</v>
      </c>
      <c r="BH38" s="53" t="n">
        <f aca="false">BG38/0.5215</f>
        <v>2061.84084372004</v>
      </c>
      <c r="BI38" s="54" t="n">
        <f aca="false">BH38*0.21+0</f>
        <v>432.986577181208</v>
      </c>
      <c r="BJ38" s="55" t="n">
        <f aca="false">BH38+BI38</f>
        <v>2494.82742090125</v>
      </c>
      <c r="BK38" s="54" t="n">
        <f aca="false">BJ38-(2_Market_Gross_USD!E36+35)</f>
        <v>1309.82742090125</v>
      </c>
      <c r="BL38" s="64" t="n">
        <f aca="false">IFERROR(BJ38/(2_Market_Gross_USD!E36+35),0)</f>
        <v>2.10533959569726</v>
      </c>
      <c r="BM38" s="63" t="n">
        <f aca="false">2_Market_Gross_USD!E36*(1-0.065)</f>
        <v>1075.25</v>
      </c>
      <c r="BN38" s="53" t="n">
        <f aca="false">BM38/0.75</f>
        <v>1433.66666666667</v>
      </c>
      <c r="BO38" s="54" t="n">
        <f aca="false">BN38*0+0</f>
        <v>0</v>
      </c>
      <c r="BP38" s="55" t="n">
        <f aca="false">BN38+BO38</f>
        <v>1433.66666666667</v>
      </c>
      <c r="BQ38" s="54" t="n">
        <f aca="false">BP38-(2_Market_Gross_USD!E36+35)</f>
        <v>248.666666666667</v>
      </c>
      <c r="BR38" s="64" t="n">
        <f aca="false">IFERROR(BP38/(2_Market_Gross_USD!E36+35),0)</f>
        <v>1.2098452883263</v>
      </c>
      <c r="BS38" s="63" t="n">
        <f aca="false">2_Market_Gross_USD!E36*(1-0.065)</f>
        <v>1075.25</v>
      </c>
      <c r="BT38" s="53" t="n">
        <f aca="false">BS38/0.5215</f>
        <v>2061.84084372004</v>
      </c>
      <c r="BU38" s="54" t="n">
        <f aca="false">BT38*0.21+500</f>
        <v>932.986577181208</v>
      </c>
      <c r="BV38" s="55" t="n">
        <f aca="false">BT38+BU38</f>
        <v>2994.82742090125</v>
      </c>
      <c r="BW38" s="54" t="n">
        <f aca="false">BV38-(2_Market_Gross_USD!E36+35)</f>
        <v>1809.82742090125</v>
      </c>
      <c r="BX38" s="64" t="n">
        <f aca="false">IFERROR(BV38/(2_Market_Gross_USD!E36+35),0)</f>
        <v>2.5272805239673</v>
      </c>
      <c r="BY38" s="63" t="n">
        <f aca="false">2_Market_Gross_USD!E36*(1-0.065)</f>
        <v>1075.25</v>
      </c>
      <c r="BZ38" s="53" t="n">
        <f aca="false">BY38/0.6303</f>
        <v>1705.93368237347</v>
      </c>
      <c r="CA38" s="54" t="n">
        <f aca="false">BZ38*0.2+0</f>
        <v>341.186736474695</v>
      </c>
      <c r="CB38" s="55" t="n">
        <f aca="false">BZ38+CA38</f>
        <v>2047.12041884817</v>
      </c>
      <c r="CC38" s="54" t="n">
        <f aca="false">CB38-(2_Market_Gross_USD!E36+35)</f>
        <v>862.120418848167</v>
      </c>
      <c r="CD38" s="64" t="n">
        <f aca="false">IFERROR(CB38/(2_Market_Gross_USD!E36+35),0)</f>
        <v>1.72752777961871</v>
      </c>
      <c r="CE38" s="63" t="n">
        <f aca="false">2_Market_Gross_USD!E36*(1-0.065)</f>
        <v>1075.25</v>
      </c>
      <c r="CF38" s="53" t="n">
        <f aca="false">CE38/0.6303</f>
        <v>1705.93368237347</v>
      </c>
      <c r="CG38" s="54" t="n">
        <f aca="false">CF38*0+0</f>
        <v>0</v>
      </c>
      <c r="CH38" s="55" t="n">
        <f aca="false">CF38+CG38</f>
        <v>1705.93368237347</v>
      </c>
      <c r="CI38" s="54" t="n">
        <f aca="false">CH38-(2_Market_Gross_USD!E36+35)</f>
        <v>520.933682373473</v>
      </c>
      <c r="CJ38" s="64" t="n">
        <f aca="false">IFERROR(CH38/(2_Market_Gross_USD!E36+35),0)</f>
        <v>1.43960648301559</v>
      </c>
      <c r="CK38" s="63" t="n">
        <f aca="false">2_Market_Gross_USD!E36*(1-0.065)</f>
        <v>1075.25</v>
      </c>
      <c r="CL38" s="53" t="n">
        <f aca="false">CK38/0.6303</f>
        <v>1705.93368237347</v>
      </c>
      <c r="CM38" s="54" t="n">
        <f aca="false">CL38*0.2+500</f>
        <v>841.186736474695</v>
      </c>
      <c r="CN38" s="55" t="n">
        <f aca="false">CL38+CM38</f>
        <v>2547.12041884817</v>
      </c>
      <c r="CO38" s="54" t="n">
        <f aca="false">CN38-(2_Market_Gross_USD!E36+35)</f>
        <v>1362.12041884817</v>
      </c>
      <c r="CP38" s="64" t="n">
        <f aca="false">IFERROR(CN38/(2_Market_Gross_USD!E36+35),0)</f>
        <v>2.14946870788875</v>
      </c>
      <c r="CQ38" s="63" t="n">
        <f aca="false">2_Market_Gross_USD!E36*(1-0.065)</f>
        <v>1075.25</v>
      </c>
      <c r="CR38" s="53" t="n">
        <f aca="false">CQ38/0.74</f>
        <v>1453.04054054054</v>
      </c>
      <c r="CS38" s="54" t="n">
        <f aca="false">CR38*0.338+0</f>
        <v>491.127702702703</v>
      </c>
      <c r="CT38" s="55" t="n">
        <f aca="false">CR38+CS38</f>
        <v>1944.16824324324</v>
      </c>
      <c r="CU38" s="54" t="n">
        <f aca="false">CT38-(2_Market_Gross_USD!E36+35)</f>
        <v>759.168243243244</v>
      </c>
      <c r="CV38" s="64" t="n">
        <f aca="false">IFERROR(CT38/(2_Market_Gross_USD!E36+35),0)</f>
        <v>1.64064830653438</v>
      </c>
      <c r="CW38" s="63" t="n">
        <f aca="false">2_Market_Gross_USD!E36*(1-0.065)</f>
        <v>1075.25</v>
      </c>
      <c r="CX38" s="53" t="n">
        <f aca="false">CW38/0.85</f>
        <v>1265</v>
      </c>
      <c r="CY38" s="54" t="n">
        <f aca="false">CX38*0+0</f>
        <v>0</v>
      </c>
      <c r="CZ38" s="55" t="n">
        <f aca="false">CX38+CY38</f>
        <v>1265</v>
      </c>
      <c r="DA38" s="54" t="n">
        <f aca="false">CZ38-(2_Market_Gross_USD!E36+35)</f>
        <v>80</v>
      </c>
      <c r="DB38" s="64" t="n">
        <f aca="false">IFERROR(CZ38/(2_Market_Gross_USD!E36+35),0)</f>
        <v>1.06751054852321</v>
      </c>
      <c r="DC38" s="63" t="n">
        <f aca="false">2_Market_Gross_USD!E36*(1-0.065)</f>
        <v>1075.25</v>
      </c>
      <c r="DD38" s="53" t="n">
        <f aca="false">DC38/0.74</f>
        <v>1453.04054054054</v>
      </c>
      <c r="DE38" s="54" t="n">
        <f aca="false">DD38*0.338+500</f>
        <v>991.127702702703</v>
      </c>
      <c r="DF38" s="55" t="n">
        <f aca="false">DD38+DE38</f>
        <v>2444.16824324324</v>
      </c>
      <c r="DG38" s="54" t="n">
        <f aca="false">DF38-(2_Market_Gross_USD!E36+35)</f>
        <v>1259.16824324324</v>
      </c>
      <c r="DH38" s="64" t="n">
        <f aca="false">IFERROR(DF38/(2_Market_Gross_USD!E36+35),0)</f>
        <v>2.06258923480443</v>
      </c>
      <c r="DI38" s="63" t="n">
        <f aca="false">2_Market_Gross_USD!E36*(1-0.065)</f>
        <v>1075.25</v>
      </c>
      <c r="DJ38" s="53" t="n">
        <f aca="false">DI38/0.66</f>
        <v>1629.16666666667</v>
      </c>
      <c r="DK38" s="54" t="n">
        <f aca="false">DJ38*0.2375+0</f>
        <v>386.927083333333</v>
      </c>
      <c r="DL38" s="55" t="n">
        <f aca="false">DJ38+DK38</f>
        <v>2016.09375</v>
      </c>
      <c r="DM38" s="54" t="n">
        <f aca="false">DL38-(2_Market_Gross_USD!E36+35)</f>
        <v>831.09375</v>
      </c>
      <c r="DN38" s="64" t="n">
        <f aca="false">IFERROR(DL38/(2_Market_Gross_USD!E36+35),0)</f>
        <v>1.70134493670886</v>
      </c>
      <c r="DO38" s="63" t="n">
        <f aca="false">2_Market_Gross_USD!E36*(1-0.065)</f>
        <v>1075.25</v>
      </c>
      <c r="DP38" s="53" t="n">
        <f aca="false">DO38/0.8</f>
        <v>1344.0625</v>
      </c>
      <c r="DQ38" s="54" t="n">
        <f aca="false">DP38*0+0</f>
        <v>0</v>
      </c>
      <c r="DR38" s="55" t="n">
        <f aca="false">DP38+DQ38</f>
        <v>1344.0625</v>
      </c>
      <c r="DS38" s="54" t="n">
        <f aca="false">DR38-(2_Market_Gross_USD!E36+35)</f>
        <v>159.0625</v>
      </c>
      <c r="DT38" s="64" t="n">
        <f aca="false">IFERROR(DR38/(2_Market_Gross_USD!E36+35),0)</f>
        <v>1.13422995780591</v>
      </c>
      <c r="DU38" s="63" t="n">
        <f aca="false">2_Market_Gross_USD!E36*(1-0.065)</f>
        <v>1075.25</v>
      </c>
      <c r="DV38" s="53" t="n">
        <f aca="false">DU38/0.66</f>
        <v>1629.16666666667</v>
      </c>
      <c r="DW38" s="54" t="n">
        <f aca="false">DV38*0.2375+500</f>
        <v>886.927083333333</v>
      </c>
      <c r="DX38" s="55" t="n">
        <f aca="false">DV38+DW38</f>
        <v>2516.09375</v>
      </c>
      <c r="DY38" s="54" t="n">
        <f aca="false">DX38-(2_Market_Gross_USD!E36+35)</f>
        <v>1331.09375</v>
      </c>
      <c r="DZ38" s="64" t="n">
        <f aca="false">IFERROR(DX38/(2_Market_Gross_USD!E36+35),0)</f>
        <v>2.1232858649789</v>
      </c>
      <c r="EA38" s="63" t="n">
        <f aca="false">2_Market_Gross_USD!E36*(1-0.065)</f>
        <v>1075.25</v>
      </c>
      <c r="EB38" s="53" t="n">
        <f aca="false">EA38/0.65</f>
        <v>1654.23076923077</v>
      </c>
      <c r="EC38" s="54" t="n">
        <f aca="false">EB38*0.0225+0</f>
        <v>37.2201923076923</v>
      </c>
      <c r="ED38" s="55" t="n">
        <f aca="false">EB38+EC38</f>
        <v>1691.45096153846</v>
      </c>
      <c r="EE38" s="54" t="n">
        <f aca="false">ED38-(2_Market_Gross_USD!E36+35)</f>
        <v>506.450961538462</v>
      </c>
      <c r="EF38" s="64" t="n">
        <f aca="false">IFERROR(ED38/(2_Market_Gross_USD!E36+35),0)</f>
        <v>1.42738477766959</v>
      </c>
      <c r="EG38" s="63" t="n">
        <f aca="false">2_Market_Gross_USD!E36*(1-0.065)</f>
        <v>1075.25</v>
      </c>
      <c r="EH38" s="53" t="n">
        <f aca="false">EG38/0.99</f>
        <v>1086.11111111111</v>
      </c>
      <c r="EI38" s="54" t="n">
        <f aca="false">EH38*0+0</f>
        <v>0</v>
      </c>
      <c r="EJ38" s="55" t="n">
        <f aca="false">EH38+EI38</f>
        <v>1086.11111111111</v>
      </c>
      <c r="EK38" s="54" t="n">
        <f aca="false">EJ38-(2_Market_Gross_USD!E36+35)</f>
        <v>-98.8888888888889</v>
      </c>
      <c r="EL38" s="64" t="n">
        <f aca="false">IFERROR(EJ38/(2_Market_Gross_USD!E36+35),0)</f>
        <v>0.916549460853258</v>
      </c>
      <c r="EM38" s="63" t="n">
        <f aca="false">2_Market_Gross_USD!E36*(1-0.065)</f>
        <v>1075.25</v>
      </c>
      <c r="EN38" s="53" t="n">
        <f aca="false">EM38/0.65</f>
        <v>1654.23076923077</v>
      </c>
      <c r="EO38" s="54" t="n">
        <f aca="false">EN38*0.0225+500</f>
        <v>537.220192307692</v>
      </c>
      <c r="EP38" s="55" t="n">
        <f aca="false">EN38+EO38</f>
        <v>2191.45096153846</v>
      </c>
      <c r="EQ38" s="54" t="n">
        <f aca="false">EP38-(2_Market_Gross_USD!E36+35)</f>
        <v>1006.45096153846</v>
      </c>
      <c r="ER38" s="64" t="n">
        <f aca="false">IFERROR(EP38/(2_Market_Gross_USD!E36+35),0)</f>
        <v>1.84932570593963</v>
      </c>
    </row>
    <row r="39" customFormat="false" ht="15" hidden="false" customHeight="false" outlineLevel="0" collapsed="false">
      <c r="A39" s="41" t="n">
        <v>34</v>
      </c>
      <c r="B39" s="28" t="s">
        <v>270</v>
      </c>
      <c r="C39" s="8" t="s">
        <v>271</v>
      </c>
      <c r="D39" s="65" t="s">
        <v>249</v>
      </c>
      <c r="E39" s="63" t="n">
        <f aca="false">2_Market_Gross_USD!E37*(1-0.065)</f>
        <v>2571.25</v>
      </c>
      <c r="F39" s="53" t="n">
        <f aca="false">E39/0.7429</f>
        <v>3461.09839816934</v>
      </c>
      <c r="G39" s="58" t="n">
        <f aca="false">F39*0.2038+0</f>
        <v>705.371853546911</v>
      </c>
      <c r="H39" s="55" t="n">
        <f aca="false">F39+G39</f>
        <v>4166.47025171625</v>
      </c>
      <c r="I39" s="58" t="n">
        <f aca="false">H39-(2_Market_Gross_USD!E37+35)</f>
        <v>1381.47025171625</v>
      </c>
      <c r="J39" s="66" t="n">
        <f aca="false">IFERROR(H39/(2_Market_Gross_USD!E37+35),0)</f>
        <v>1.49603958768986</v>
      </c>
      <c r="K39" s="63" t="n">
        <f aca="false">2_Market_Gross_USD!E37*(1-0.065)</f>
        <v>2571.25</v>
      </c>
      <c r="L39" s="53" t="n">
        <f aca="false">K39/0.88</f>
        <v>2921.875</v>
      </c>
      <c r="M39" s="58" t="n">
        <f aca="false">L39*0+0</f>
        <v>0</v>
      </c>
      <c r="N39" s="55" t="n">
        <f aca="false">L39+M39</f>
        <v>2921.875</v>
      </c>
      <c r="O39" s="58" t="n">
        <f aca="false">N39-(2_Market_Gross_USD!E37+35)</f>
        <v>136.875</v>
      </c>
      <c r="P39" s="66" t="n">
        <f aca="false">IFERROR(N39/(2_Market_Gross_USD!E37+35),0)</f>
        <v>1.04914721723519</v>
      </c>
      <c r="Q39" s="63" t="n">
        <f aca="false">2_Market_Gross_USD!E37*(1-0.065)</f>
        <v>2571.25</v>
      </c>
      <c r="R39" s="53" t="n">
        <f aca="false">Q39/0.7429</f>
        <v>3461.09839816934</v>
      </c>
      <c r="S39" s="58" t="n">
        <f aca="false">R39*0.2038+500</f>
        <v>1205.37185354691</v>
      </c>
      <c r="T39" s="55" t="n">
        <f aca="false">R39+S39</f>
        <v>4666.47025171625</v>
      </c>
      <c r="U39" s="58" t="n">
        <f aca="false">T39-(2_Market_Gross_USD!E37+35)</f>
        <v>1881.47025171625</v>
      </c>
      <c r="V39" s="66" t="n">
        <f aca="false">IFERROR(T39/(2_Market_Gross_USD!E37+35),0)</f>
        <v>1.67557280133438</v>
      </c>
      <c r="W39" s="63" t="n">
        <f aca="false">2_Market_Gross_USD!E37*(1-0.065)</f>
        <v>2571.25</v>
      </c>
      <c r="X39" s="53" t="n">
        <f aca="false">W39/0.72</f>
        <v>3571.18055555556</v>
      </c>
      <c r="Y39" s="58" t="n">
        <f aca="false">X39*0.15+0</f>
        <v>535.677083333333</v>
      </c>
      <c r="Z39" s="55" t="n">
        <f aca="false">X39+Y39</f>
        <v>4106.85763888889</v>
      </c>
      <c r="AA39" s="58" t="n">
        <f aca="false">Z39-(2_Market_Gross_USD!E37+35)</f>
        <v>1321.85763888889</v>
      </c>
      <c r="AB39" s="66" t="n">
        <f aca="false">IFERROR(Z39/(2_Market_Gross_USD!E37+35),0)</f>
        <v>1.47463469978057</v>
      </c>
      <c r="AC39" s="63" t="n">
        <f aca="false">2_Market_Gross_USD!E37*(1-0.065)</f>
        <v>2571.25</v>
      </c>
      <c r="AD39" s="53" t="n">
        <f aca="false">AC39/0.81</f>
        <v>3174.38271604938</v>
      </c>
      <c r="AE39" s="58" t="n">
        <f aca="false">AD39*0+0</f>
        <v>0</v>
      </c>
      <c r="AF39" s="55" t="n">
        <f aca="false">AD39+AE39</f>
        <v>3174.38271604938</v>
      </c>
      <c r="AG39" s="58" t="n">
        <f aca="false">AF39-(2_Market_Gross_USD!E37+35)</f>
        <v>389.382716049382</v>
      </c>
      <c r="AH39" s="66" t="n">
        <f aca="false">IFERROR(AF39/(2_Market_Gross_USD!E37+35),0)</f>
        <v>1.13981426069996</v>
      </c>
      <c r="AI39" s="63" t="n">
        <f aca="false">2_Market_Gross_USD!E37*(1-0.065)</f>
        <v>2571.25</v>
      </c>
      <c r="AJ39" s="53" t="n">
        <f aca="false">AI39/0.72</f>
        <v>3571.18055555556</v>
      </c>
      <c r="AK39" s="58" t="n">
        <f aca="false">AJ39*0.15+500</f>
        <v>1035.67708333333</v>
      </c>
      <c r="AL39" s="55" t="n">
        <f aca="false">AJ39+AK39</f>
        <v>4606.85763888889</v>
      </c>
      <c r="AM39" s="58" t="n">
        <f aca="false">AL39-(2_Market_Gross_USD!E37+35)</f>
        <v>1821.85763888889</v>
      </c>
      <c r="AN39" s="66" t="n">
        <f aca="false">IFERROR(AL39/(2_Market_Gross_USD!E37+35),0)</f>
        <v>1.65416791342509</v>
      </c>
      <c r="AO39" s="63" t="n">
        <f aca="false">2_Market_Gross_USD!E37*(1-0.065)</f>
        <v>2571.25</v>
      </c>
      <c r="AP39" s="53" t="n">
        <f aca="false">AO39/0.7035</f>
        <v>3654.93958777541</v>
      </c>
      <c r="AQ39" s="58" t="n">
        <f aca="false">AP39*0.11+0</f>
        <v>402.043354655295</v>
      </c>
      <c r="AR39" s="55" t="n">
        <f aca="false">AP39+AQ39</f>
        <v>4056.9829424307</v>
      </c>
      <c r="AS39" s="58" t="n">
        <f aca="false">AR39-(2_Market_Gross_USD!E37+35)</f>
        <v>1271.9829424307</v>
      </c>
      <c r="AT39" s="66" t="n">
        <f aca="false">IFERROR(AR39/(2_Market_Gross_USD!E37+35),0)</f>
        <v>1.4567263707112</v>
      </c>
      <c r="AU39" s="63" t="n">
        <f aca="false">2_Market_Gross_USD!E37*(1-0.065)</f>
        <v>2571.25</v>
      </c>
      <c r="AV39" s="53" t="n">
        <f aca="false">AU39/0.627</f>
        <v>4100.87719298246</v>
      </c>
      <c r="AW39" s="58" t="n">
        <f aca="false">AV39*0+0</f>
        <v>0</v>
      </c>
      <c r="AX39" s="55" t="n">
        <f aca="false">AV39+AW39</f>
        <v>4100.87719298246</v>
      </c>
      <c r="AY39" s="58" t="n">
        <f aca="false">AX39-(2_Market_Gross_USD!E37+35)</f>
        <v>1315.87719298246</v>
      </c>
      <c r="AZ39" s="66" t="n">
        <f aca="false">IFERROR(AX39/(2_Market_Gross_USD!E37+35),0)</f>
        <v>1.47248732243535</v>
      </c>
      <c r="BA39" s="63" t="n">
        <f aca="false">2_Market_Gross_USD!E37*(1-0.065)</f>
        <v>2571.25</v>
      </c>
      <c r="BB39" s="53" t="n">
        <f aca="false">BA39/0.7035</f>
        <v>3654.93958777541</v>
      </c>
      <c r="BC39" s="58" t="n">
        <f aca="false">BB39*0.11+500</f>
        <v>902.043354655295</v>
      </c>
      <c r="BD39" s="55" t="n">
        <f aca="false">BB39+BC39</f>
        <v>4556.9829424307</v>
      </c>
      <c r="BE39" s="58" t="n">
        <f aca="false">BD39-(2_Market_Gross_USD!E37+35)</f>
        <v>1771.9829424307</v>
      </c>
      <c r="BF39" s="66" t="n">
        <f aca="false">IFERROR(BD39/(2_Market_Gross_USD!E37+35),0)</f>
        <v>1.63625958435573</v>
      </c>
      <c r="BG39" s="63" t="n">
        <f aca="false">2_Market_Gross_USD!E37*(1-0.065)</f>
        <v>2571.25</v>
      </c>
      <c r="BH39" s="53" t="n">
        <f aca="false">BG39/0.5215</f>
        <v>4930.48897411314</v>
      </c>
      <c r="BI39" s="58" t="n">
        <f aca="false">BH39*0.21+0</f>
        <v>1035.40268456376</v>
      </c>
      <c r="BJ39" s="55" t="n">
        <f aca="false">BH39+BI39</f>
        <v>5965.89165867689</v>
      </c>
      <c r="BK39" s="58" t="n">
        <f aca="false">BJ39-(2_Market_Gross_USD!E37+35)</f>
        <v>3180.89165867689</v>
      </c>
      <c r="BL39" s="66" t="n">
        <f aca="false">IFERROR(BJ39/(2_Market_Gross_USD!E37+35),0)</f>
        <v>2.14215140347465</v>
      </c>
      <c r="BM39" s="63" t="n">
        <f aca="false">2_Market_Gross_USD!E37*(1-0.065)</f>
        <v>2571.25</v>
      </c>
      <c r="BN39" s="53" t="n">
        <f aca="false">BM39/0.75</f>
        <v>3428.33333333333</v>
      </c>
      <c r="BO39" s="58" t="n">
        <f aca="false">BN39*0+0</f>
        <v>0</v>
      </c>
      <c r="BP39" s="55" t="n">
        <f aca="false">BN39+BO39</f>
        <v>3428.33333333333</v>
      </c>
      <c r="BQ39" s="58" t="n">
        <f aca="false">BP39-(2_Market_Gross_USD!E37+35)</f>
        <v>643.333333333334</v>
      </c>
      <c r="BR39" s="66" t="n">
        <f aca="false">IFERROR(BP39/(2_Market_Gross_USD!E37+35),0)</f>
        <v>1.23099940155595</v>
      </c>
      <c r="BS39" s="63" t="n">
        <f aca="false">2_Market_Gross_USD!E37*(1-0.065)</f>
        <v>2571.25</v>
      </c>
      <c r="BT39" s="53" t="n">
        <f aca="false">BS39/0.5215</f>
        <v>4930.48897411314</v>
      </c>
      <c r="BU39" s="58" t="n">
        <f aca="false">BT39*0.21+500</f>
        <v>1535.40268456376</v>
      </c>
      <c r="BV39" s="55" t="n">
        <f aca="false">BT39+BU39</f>
        <v>6465.89165867689</v>
      </c>
      <c r="BW39" s="58" t="n">
        <f aca="false">BV39-(2_Market_Gross_USD!E37+35)</f>
        <v>3680.89165867689</v>
      </c>
      <c r="BX39" s="66" t="n">
        <f aca="false">IFERROR(BV39/(2_Market_Gross_USD!E37+35),0)</f>
        <v>2.32168461711917</v>
      </c>
      <c r="BY39" s="63" t="n">
        <f aca="false">2_Market_Gross_USD!E37*(1-0.065)</f>
        <v>2571.25</v>
      </c>
      <c r="BZ39" s="53" t="n">
        <f aca="false">BY39/0.6303</f>
        <v>4079.40663176265</v>
      </c>
      <c r="CA39" s="58" t="n">
        <f aca="false">BZ39*0.2+0</f>
        <v>815.881326352531</v>
      </c>
      <c r="CB39" s="55" t="n">
        <f aca="false">BZ39+CA39</f>
        <v>4895.28795811518</v>
      </c>
      <c r="CC39" s="58" t="n">
        <f aca="false">CB39-(2_Market_Gross_USD!E37+35)</f>
        <v>2110.28795811518</v>
      </c>
      <c r="CD39" s="66" t="n">
        <f aca="false">IFERROR(CB39/(2_Market_Gross_USD!E37+35),0)</f>
        <v>1.75773355767152</v>
      </c>
      <c r="CE39" s="63" t="n">
        <f aca="false">2_Market_Gross_USD!E37*(1-0.065)</f>
        <v>2571.25</v>
      </c>
      <c r="CF39" s="53" t="n">
        <f aca="false">CE39/0.6303</f>
        <v>4079.40663176265</v>
      </c>
      <c r="CG39" s="58" t="n">
        <f aca="false">CF39*0+0</f>
        <v>0</v>
      </c>
      <c r="CH39" s="55" t="n">
        <f aca="false">CF39+CG39</f>
        <v>4079.40663176265</v>
      </c>
      <c r="CI39" s="58" t="n">
        <f aca="false">CH39-(2_Market_Gross_USD!E37+35)</f>
        <v>1294.40663176265</v>
      </c>
      <c r="CJ39" s="66" t="n">
        <f aca="false">IFERROR(CH39/(2_Market_Gross_USD!E37+35),0)</f>
        <v>1.46477796472627</v>
      </c>
      <c r="CK39" s="63" t="n">
        <f aca="false">2_Market_Gross_USD!E37*(1-0.065)</f>
        <v>2571.25</v>
      </c>
      <c r="CL39" s="53" t="n">
        <f aca="false">CK39/0.6303</f>
        <v>4079.40663176265</v>
      </c>
      <c r="CM39" s="58" t="n">
        <f aca="false">CL39*0.2+500</f>
        <v>1315.88132635253</v>
      </c>
      <c r="CN39" s="55" t="n">
        <f aca="false">CL39+CM39</f>
        <v>5395.28795811518</v>
      </c>
      <c r="CO39" s="58" t="n">
        <f aca="false">CN39-(2_Market_Gross_USD!E37+35)</f>
        <v>2610.28795811518</v>
      </c>
      <c r="CP39" s="66" t="n">
        <f aca="false">IFERROR(CN39/(2_Market_Gross_USD!E37+35),0)</f>
        <v>1.93726677131604</v>
      </c>
      <c r="CQ39" s="63" t="n">
        <f aca="false">2_Market_Gross_USD!E37*(1-0.065)</f>
        <v>2571.25</v>
      </c>
      <c r="CR39" s="53" t="n">
        <f aca="false">CQ39/0.74</f>
        <v>3474.66216216216</v>
      </c>
      <c r="CS39" s="58" t="n">
        <f aca="false">CR39*0.338+0</f>
        <v>1174.43581081081</v>
      </c>
      <c r="CT39" s="55" t="n">
        <f aca="false">CR39+CS39</f>
        <v>4649.09797297297</v>
      </c>
      <c r="CU39" s="58" t="n">
        <f aca="false">CT39-(2_Market_Gross_USD!E37+35)</f>
        <v>1864.09797297297</v>
      </c>
      <c r="CV39" s="66" t="n">
        <f aca="false">IFERROR(CT39/(2_Market_Gross_USD!E37+35),0)</f>
        <v>1.66933499927216</v>
      </c>
      <c r="CW39" s="63" t="n">
        <f aca="false">2_Market_Gross_USD!E37*(1-0.065)</f>
        <v>2571.25</v>
      </c>
      <c r="CX39" s="53" t="n">
        <f aca="false">CW39/0.85</f>
        <v>3025</v>
      </c>
      <c r="CY39" s="58" t="n">
        <f aca="false">CX39*0+0</f>
        <v>0</v>
      </c>
      <c r="CZ39" s="55" t="n">
        <f aca="false">CX39+CY39</f>
        <v>3025</v>
      </c>
      <c r="DA39" s="58" t="n">
        <f aca="false">CZ39-(2_Market_Gross_USD!E37+35)</f>
        <v>240</v>
      </c>
      <c r="DB39" s="66" t="n">
        <f aca="false">IFERROR(CZ39/(2_Market_Gross_USD!E37+35),0)</f>
        <v>1.08617594254937</v>
      </c>
      <c r="DC39" s="63" t="n">
        <f aca="false">2_Market_Gross_USD!E37*(1-0.065)</f>
        <v>2571.25</v>
      </c>
      <c r="DD39" s="53" t="n">
        <f aca="false">DC39/0.74</f>
        <v>3474.66216216216</v>
      </c>
      <c r="DE39" s="58" t="n">
        <f aca="false">DD39*0.338+500</f>
        <v>1674.43581081081</v>
      </c>
      <c r="DF39" s="55" t="n">
        <f aca="false">DD39+DE39</f>
        <v>5149.09797297297</v>
      </c>
      <c r="DG39" s="58" t="n">
        <f aca="false">DF39-(2_Market_Gross_USD!E37+35)</f>
        <v>2364.09797297297</v>
      </c>
      <c r="DH39" s="66" t="n">
        <f aca="false">IFERROR(DF39/(2_Market_Gross_USD!E37+35),0)</f>
        <v>1.84886821291669</v>
      </c>
      <c r="DI39" s="63" t="n">
        <f aca="false">2_Market_Gross_USD!E37*(1-0.065)</f>
        <v>2571.25</v>
      </c>
      <c r="DJ39" s="53" t="n">
        <f aca="false">DI39/0.66</f>
        <v>3895.83333333333</v>
      </c>
      <c r="DK39" s="58" t="n">
        <f aca="false">DJ39*0.2375+0</f>
        <v>925.260416666667</v>
      </c>
      <c r="DL39" s="55" t="n">
        <f aca="false">DJ39+DK39</f>
        <v>4821.09375</v>
      </c>
      <c r="DM39" s="58" t="n">
        <f aca="false">DL39-(2_Market_Gross_USD!E37+35)</f>
        <v>2036.09375</v>
      </c>
      <c r="DN39" s="66" t="n">
        <f aca="false">IFERROR(DL39/(2_Market_Gross_USD!E37+35),0)</f>
        <v>1.73109290843806</v>
      </c>
      <c r="DO39" s="63" t="n">
        <f aca="false">2_Market_Gross_USD!E37*(1-0.065)</f>
        <v>2571.25</v>
      </c>
      <c r="DP39" s="53" t="n">
        <f aca="false">DO39/0.8</f>
        <v>3214.0625</v>
      </c>
      <c r="DQ39" s="58" t="n">
        <f aca="false">DP39*0+0</f>
        <v>0</v>
      </c>
      <c r="DR39" s="55" t="n">
        <f aca="false">DP39+DQ39</f>
        <v>3214.0625</v>
      </c>
      <c r="DS39" s="58" t="n">
        <f aca="false">DR39-(2_Market_Gross_USD!E37+35)</f>
        <v>429.0625</v>
      </c>
      <c r="DT39" s="66" t="n">
        <f aca="false">IFERROR(DR39/(2_Market_Gross_USD!E37+35),0)</f>
        <v>1.15406193895871</v>
      </c>
      <c r="DU39" s="63" t="n">
        <f aca="false">2_Market_Gross_USD!E37*(1-0.065)</f>
        <v>2571.25</v>
      </c>
      <c r="DV39" s="53" t="n">
        <f aca="false">DU39/0.66</f>
        <v>3895.83333333333</v>
      </c>
      <c r="DW39" s="58" t="n">
        <f aca="false">DV39*0.2375+500</f>
        <v>1425.26041666667</v>
      </c>
      <c r="DX39" s="55" t="n">
        <f aca="false">DV39+DW39</f>
        <v>5321.09375</v>
      </c>
      <c r="DY39" s="58" t="n">
        <f aca="false">DX39-(2_Market_Gross_USD!E37+35)</f>
        <v>2536.09375</v>
      </c>
      <c r="DZ39" s="66" t="n">
        <f aca="false">IFERROR(DX39/(2_Market_Gross_USD!E37+35),0)</f>
        <v>1.91062612208259</v>
      </c>
      <c r="EA39" s="63" t="n">
        <f aca="false">2_Market_Gross_USD!E37*(1-0.065)</f>
        <v>2571.25</v>
      </c>
      <c r="EB39" s="53" t="n">
        <f aca="false">EA39/0.65</f>
        <v>3955.76923076923</v>
      </c>
      <c r="EC39" s="58" t="n">
        <f aca="false">EB39*0.0225+0</f>
        <v>89.0048076923077</v>
      </c>
      <c r="ED39" s="55" t="n">
        <f aca="false">EB39+EC39</f>
        <v>4044.77403846154</v>
      </c>
      <c r="EE39" s="58" t="n">
        <f aca="false">ED39-(2_Market_Gross_USD!E37+35)</f>
        <v>1259.77403846154</v>
      </c>
      <c r="EF39" s="66" t="n">
        <f aca="false">IFERROR(ED39/(2_Market_Gross_USD!E37+35),0)</f>
        <v>1.45234256318188</v>
      </c>
      <c r="EG39" s="63" t="n">
        <f aca="false">2_Market_Gross_USD!E37*(1-0.065)</f>
        <v>2571.25</v>
      </c>
      <c r="EH39" s="53" t="n">
        <f aca="false">EG39/0.99</f>
        <v>2597.22222222222</v>
      </c>
      <c r="EI39" s="58" t="n">
        <f aca="false">EH39*0+0</f>
        <v>0</v>
      </c>
      <c r="EJ39" s="55" t="n">
        <f aca="false">EH39+EI39</f>
        <v>2597.22222222222</v>
      </c>
      <c r="EK39" s="58" t="n">
        <f aca="false">EJ39-(2_Market_Gross_USD!E37+35)</f>
        <v>-187.777777777778</v>
      </c>
      <c r="EL39" s="66" t="n">
        <f aca="false">IFERROR(EJ39/(2_Market_Gross_USD!E37+35),0)</f>
        <v>0.932575304209056</v>
      </c>
      <c r="EM39" s="63" t="n">
        <f aca="false">2_Market_Gross_USD!E37*(1-0.065)</f>
        <v>2571.25</v>
      </c>
      <c r="EN39" s="53" t="n">
        <f aca="false">EM39/0.65</f>
        <v>3955.76923076923</v>
      </c>
      <c r="EO39" s="58" t="n">
        <f aca="false">EN39*0.0225+500</f>
        <v>589.004807692308</v>
      </c>
      <c r="EP39" s="55" t="n">
        <f aca="false">EN39+EO39</f>
        <v>4544.77403846154</v>
      </c>
      <c r="EQ39" s="58" t="n">
        <f aca="false">EP39-(2_Market_Gross_USD!E37+35)</f>
        <v>1759.77403846154</v>
      </c>
      <c r="ER39" s="66" t="n">
        <f aca="false">IFERROR(EP39/(2_Market_Gross_USD!E37+35),0)</f>
        <v>1.63187577682641</v>
      </c>
    </row>
    <row r="40" customFormat="false" ht="15" hidden="false" customHeight="false" outlineLevel="0" collapsed="false">
      <c r="A40" s="37" t="n">
        <v>35</v>
      </c>
      <c r="B40" s="32" t="s">
        <v>272</v>
      </c>
      <c r="C40" s="32" t="s">
        <v>273</v>
      </c>
      <c r="D40" s="62" t="s">
        <v>248</v>
      </c>
      <c r="E40" s="63" t="n">
        <f aca="false">2_Market_Gross_USD!E38*(1-0.065)</f>
        <v>1402.5</v>
      </c>
      <c r="F40" s="53" t="n">
        <f aca="false">E40/0.7429</f>
        <v>1887.87185354691</v>
      </c>
      <c r="G40" s="54" t="n">
        <f aca="false">F40*0.2038+0</f>
        <v>384.74828375286</v>
      </c>
      <c r="H40" s="55" t="n">
        <f aca="false">F40+G40</f>
        <v>2272.62013729977</v>
      </c>
      <c r="I40" s="54" t="n">
        <f aca="false">H40-(2_Market_Gross_USD!E38+35)</f>
        <v>737.620137299771</v>
      </c>
      <c r="J40" s="64" t="n">
        <f aca="false">IFERROR(H40/(2_Market_Gross_USD!E38+35),0)</f>
        <v>1.4805342914005</v>
      </c>
      <c r="K40" s="63" t="n">
        <f aca="false">2_Market_Gross_USD!E38*(1-0.065)</f>
        <v>1402.5</v>
      </c>
      <c r="L40" s="53" t="n">
        <f aca="false">K40/0.88</f>
        <v>1593.75</v>
      </c>
      <c r="M40" s="54" t="n">
        <f aca="false">L40*0+0</f>
        <v>0</v>
      </c>
      <c r="N40" s="55" t="n">
        <f aca="false">L40+M40</f>
        <v>1593.75</v>
      </c>
      <c r="O40" s="54" t="n">
        <f aca="false">N40-(2_Market_Gross_USD!E38+35)</f>
        <v>58.75</v>
      </c>
      <c r="P40" s="64" t="n">
        <f aca="false">IFERROR(N40/(2_Market_Gross_USD!E38+35),0)</f>
        <v>1.03827361563518</v>
      </c>
      <c r="Q40" s="63" t="n">
        <f aca="false">2_Market_Gross_USD!E38*(1-0.065)</f>
        <v>1402.5</v>
      </c>
      <c r="R40" s="53" t="n">
        <f aca="false">Q40/0.7429</f>
        <v>1887.87185354691</v>
      </c>
      <c r="S40" s="54" t="n">
        <f aca="false">R40*0.2038+500</f>
        <v>884.74828375286</v>
      </c>
      <c r="T40" s="55" t="n">
        <f aca="false">R40+S40</f>
        <v>2772.62013729977</v>
      </c>
      <c r="U40" s="54" t="n">
        <f aca="false">T40-(2_Market_Gross_USD!E38+35)</f>
        <v>1237.62013729977</v>
      </c>
      <c r="V40" s="64" t="n">
        <f aca="false">IFERROR(T40/(2_Market_Gross_USD!E38+35),0)</f>
        <v>1.8062671904233</v>
      </c>
      <c r="W40" s="63" t="n">
        <f aca="false">2_Market_Gross_USD!E38*(1-0.065)</f>
        <v>1402.5</v>
      </c>
      <c r="X40" s="53" t="n">
        <f aca="false">W40/0.72</f>
        <v>1947.91666666667</v>
      </c>
      <c r="Y40" s="54" t="n">
        <f aca="false">X40*0.15+0</f>
        <v>292.1875</v>
      </c>
      <c r="Z40" s="55" t="n">
        <f aca="false">X40+Y40</f>
        <v>2240.10416666667</v>
      </c>
      <c r="AA40" s="54" t="n">
        <f aca="false">Z40-(2_Market_Gross_USD!E38+35)</f>
        <v>705.104166666667</v>
      </c>
      <c r="AB40" s="64" t="n">
        <f aca="false">IFERROR(Z40/(2_Market_Gross_USD!E38+35),0)</f>
        <v>1.45935124864278</v>
      </c>
      <c r="AC40" s="63" t="n">
        <f aca="false">2_Market_Gross_USD!E38*(1-0.065)</f>
        <v>1402.5</v>
      </c>
      <c r="AD40" s="53" t="n">
        <f aca="false">AC40/0.81</f>
        <v>1731.48148148148</v>
      </c>
      <c r="AE40" s="54" t="n">
        <f aca="false">AD40*0+0</f>
        <v>0</v>
      </c>
      <c r="AF40" s="55" t="n">
        <f aca="false">AD40+AE40</f>
        <v>1731.48148148148</v>
      </c>
      <c r="AG40" s="54" t="n">
        <f aca="false">AF40-(2_Market_Gross_USD!E38+35)</f>
        <v>196.481481481481</v>
      </c>
      <c r="AH40" s="64" t="n">
        <f aca="false">IFERROR(AF40/(2_Market_Gross_USD!E38+35),0)</f>
        <v>1.12800096513452</v>
      </c>
      <c r="AI40" s="63" t="n">
        <f aca="false">2_Market_Gross_USD!E38*(1-0.065)</f>
        <v>1402.5</v>
      </c>
      <c r="AJ40" s="53" t="n">
        <f aca="false">AI40/0.72</f>
        <v>1947.91666666667</v>
      </c>
      <c r="AK40" s="54" t="n">
        <f aca="false">AJ40*0.15+500</f>
        <v>792.1875</v>
      </c>
      <c r="AL40" s="55" t="n">
        <f aca="false">AJ40+AK40</f>
        <v>2740.10416666667</v>
      </c>
      <c r="AM40" s="54" t="n">
        <f aca="false">AL40-(2_Market_Gross_USD!E38+35)</f>
        <v>1205.10416666667</v>
      </c>
      <c r="AN40" s="64" t="n">
        <f aca="false">IFERROR(AL40/(2_Market_Gross_USD!E38+35),0)</f>
        <v>1.78508414766558</v>
      </c>
      <c r="AO40" s="63" t="n">
        <f aca="false">2_Market_Gross_USD!E38*(1-0.065)</f>
        <v>1402.5</v>
      </c>
      <c r="AP40" s="53" t="n">
        <f aca="false">AO40/0.7035</f>
        <v>1993.60341151386</v>
      </c>
      <c r="AQ40" s="54" t="n">
        <f aca="false">AP40*0.11+0</f>
        <v>219.296375266525</v>
      </c>
      <c r="AR40" s="55" t="n">
        <f aca="false">AP40+AQ40</f>
        <v>2212.89978678038</v>
      </c>
      <c r="AS40" s="54" t="n">
        <f aca="false">AR40-(2_Market_Gross_USD!E38+35)</f>
        <v>677.899786780384</v>
      </c>
      <c r="AT40" s="64" t="n">
        <f aca="false">IFERROR(AR40/(2_Market_Gross_USD!E38+35),0)</f>
        <v>1.44162852558983</v>
      </c>
      <c r="AU40" s="63" t="n">
        <f aca="false">2_Market_Gross_USD!E38*(1-0.065)</f>
        <v>1402.5</v>
      </c>
      <c r="AV40" s="53" t="n">
        <f aca="false">AU40/0.627</f>
        <v>2236.84210526316</v>
      </c>
      <c r="AW40" s="54" t="n">
        <f aca="false">AV40*0+0</f>
        <v>0</v>
      </c>
      <c r="AX40" s="55" t="n">
        <f aca="false">AV40+AW40</f>
        <v>2236.84210526316</v>
      </c>
      <c r="AY40" s="54" t="n">
        <f aca="false">AX40-(2_Market_Gross_USD!E38+35)</f>
        <v>701.842105263158</v>
      </c>
      <c r="AZ40" s="64" t="n">
        <f aca="false">IFERROR(AX40/(2_Market_Gross_USD!E38+35),0)</f>
        <v>1.45722612720727</v>
      </c>
      <c r="BA40" s="63" t="n">
        <f aca="false">2_Market_Gross_USD!E38*(1-0.065)</f>
        <v>1402.5</v>
      </c>
      <c r="BB40" s="53" t="n">
        <f aca="false">BA40/0.7035</f>
        <v>1993.60341151386</v>
      </c>
      <c r="BC40" s="54" t="n">
        <f aca="false">BB40*0.11+500</f>
        <v>719.296375266525</v>
      </c>
      <c r="BD40" s="55" t="n">
        <f aca="false">BB40+BC40</f>
        <v>2712.89978678038</v>
      </c>
      <c r="BE40" s="54" t="n">
        <f aca="false">BD40-(2_Market_Gross_USD!E38+35)</f>
        <v>1177.89978678038</v>
      </c>
      <c r="BF40" s="64" t="n">
        <f aca="false">IFERROR(BD40/(2_Market_Gross_USD!E38+35),0)</f>
        <v>1.76736142461263</v>
      </c>
      <c r="BG40" s="63" t="n">
        <f aca="false">2_Market_Gross_USD!E38*(1-0.065)</f>
        <v>1402.5</v>
      </c>
      <c r="BH40" s="53" t="n">
        <f aca="false">BG40/0.5215</f>
        <v>2689.35762224353</v>
      </c>
      <c r="BI40" s="54" t="n">
        <f aca="false">BH40*0.21+0</f>
        <v>564.765100671141</v>
      </c>
      <c r="BJ40" s="55" t="n">
        <f aca="false">BH40+BI40</f>
        <v>3254.12272291467</v>
      </c>
      <c r="BK40" s="54" t="n">
        <f aca="false">BJ40-(2_Market_Gross_USD!E38+35)</f>
        <v>1719.12272291467</v>
      </c>
      <c r="BL40" s="64" t="n">
        <f aca="false">IFERROR(BJ40/(2_Market_Gross_USD!E38+35),0)</f>
        <v>2.11994965662193</v>
      </c>
      <c r="BM40" s="63" t="n">
        <f aca="false">2_Market_Gross_USD!E38*(1-0.065)</f>
        <v>1402.5</v>
      </c>
      <c r="BN40" s="53" t="n">
        <f aca="false">BM40/0.75</f>
        <v>1870</v>
      </c>
      <c r="BO40" s="54" t="n">
        <f aca="false">BN40*0+0</f>
        <v>0</v>
      </c>
      <c r="BP40" s="55" t="n">
        <f aca="false">BN40+BO40</f>
        <v>1870</v>
      </c>
      <c r="BQ40" s="54" t="n">
        <f aca="false">BP40-(2_Market_Gross_USD!E38+35)</f>
        <v>335</v>
      </c>
      <c r="BR40" s="64" t="n">
        <f aca="false">IFERROR(BP40/(2_Market_Gross_USD!E38+35),0)</f>
        <v>1.21824104234528</v>
      </c>
      <c r="BS40" s="63" t="n">
        <f aca="false">2_Market_Gross_USD!E38*(1-0.065)</f>
        <v>1402.5</v>
      </c>
      <c r="BT40" s="53" t="n">
        <f aca="false">BS40/0.5215</f>
        <v>2689.35762224353</v>
      </c>
      <c r="BU40" s="54" t="n">
        <f aca="false">BT40*0.21+500</f>
        <v>1064.76510067114</v>
      </c>
      <c r="BV40" s="55" t="n">
        <f aca="false">BT40+BU40</f>
        <v>3754.12272291467</v>
      </c>
      <c r="BW40" s="54" t="n">
        <f aca="false">BV40-(2_Market_Gross_USD!E38+35)</f>
        <v>2219.12272291467</v>
      </c>
      <c r="BX40" s="64" t="n">
        <f aca="false">IFERROR(BV40/(2_Market_Gross_USD!E38+35),0)</f>
        <v>2.44568255564474</v>
      </c>
      <c r="BY40" s="63" t="n">
        <f aca="false">2_Market_Gross_USD!E38*(1-0.065)</f>
        <v>1402.5</v>
      </c>
      <c r="BZ40" s="53" t="n">
        <f aca="false">BY40/0.6303</f>
        <v>2225.13089005236</v>
      </c>
      <c r="CA40" s="54" t="n">
        <f aca="false">BZ40*0.2+0</f>
        <v>445.026178010471</v>
      </c>
      <c r="CB40" s="55" t="n">
        <f aca="false">BZ40+CA40</f>
        <v>2670.15706806283</v>
      </c>
      <c r="CC40" s="54" t="n">
        <f aca="false">CB40-(2_Market_Gross_USD!E38+35)</f>
        <v>1135.15706806283</v>
      </c>
      <c r="CD40" s="64" t="n">
        <f aca="false">IFERROR(CB40/(2_Market_Gross_USD!E38+35),0)</f>
        <v>1.73951600525266</v>
      </c>
      <c r="CE40" s="63" t="n">
        <f aca="false">2_Market_Gross_USD!E38*(1-0.065)</f>
        <v>1402.5</v>
      </c>
      <c r="CF40" s="53" t="n">
        <f aca="false">CE40/0.6303</f>
        <v>2225.13089005236</v>
      </c>
      <c r="CG40" s="54" t="n">
        <f aca="false">CF40*0+0</f>
        <v>0</v>
      </c>
      <c r="CH40" s="55" t="n">
        <f aca="false">CF40+CG40</f>
        <v>2225.13089005236</v>
      </c>
      <c r="CI40" s="54" t="n">
        <f aca="false">CH40-(2_Market_Gross_USD!E38+35)</f>
        <v>690.130890052356</v>
      </c>
      <c r="CJ40" s="64" t="n">
        <f aca="false">IFERROR(CH40/(2_Market_Gross_USD!E38+35),0)</f>
        <v>1.44959667104388</v>
      </c>
      <c r="CK40" s="63" t="n">
        <f aca="false">2_Market_Gross_USD!E38*(1-0.065)</f>
        <v>1402.5</v>
      </c>
      <c r="CL40" s="53" t="n">
        <f aca="false">CK40/0.6303</f>
        <v>2225.13089005236</v>
      </c>
      <c r="CM40" s="54" t="n">
        <f aca="false">CL40*0.2+500</f>
        <v>945.026178010471</v>
      </c>
      <c r="CN40" s="55" t="n">
        <f aca="false">CL40+CM40</f>
        <v>3170.15706806283</v>
      </c>
      <c r="CO40" s="54" t="n">
        <f aca="false">CN40-(2_Market_Gross_USD!E38+35)</f>
        <v>1635.15706806283</v>
      </c>
      <c r="CP40" s="64" t="n">
        <f aca="false">IFERROR(CN40/(2_Market_Gross_USD!E38+35),0)</f>
        <v>2.06524890427546</v>
      </c>
      <c r="CQ40" s="63" t="n">
        <f aca="false">2_Market_Gross_USD!E38*(1-0.065)</f>
        <v>1402.5</v>
      </c>
      <c r="CR40" s="53" t="n">
        <f aca="false">CQ40/0.74</f>
        <v>1895.27027027027</v>
      </c>
      <c r="CS40" s="54" t="n">
        <f aca="false">CR40*0.338+0</f>
        <v>640.601351351351</v>
      </c>
      <c r="CT40" s="55" t="n">
        <f aca="false">CR40+CS40</f>
        <v>2535.87162162162</v>
      </c>
      <c r="CU40" s="54" t="n">
        <f aca="false">CT40-(2_Market_Gross_USD!E38+35)</f>
        <v>1000.87162162162</v>
      </c>
      <c r="CV40" s="64" t="n">
        <f aca="false">IFERROR(CT40/(2_Market_Gross_USD!E38+35),0)</f>
        <v>1.65203362972093</v>
      </c>
      <c r="CW40" s="63" t="n">
        <f aca="false">2_Market_Gross_USD!E38*(1-0.065)</f>
        <v>1402.5</v>
      </c>
      <c r="CX40" s="53" t="n">
        <f aca="false">CW40/0.85</f>
        <v>1650</v>
      </c>
      <c r="CY40" s="54" t="n">
        <f aca="false">CX40*0+0</f>
        <v>0</v>
      </c>
      <c r="CZ40" s="55" t="n">
        <f aca="false">CX40+CY40</f>
        <v>1650</v>
      </c>
      <c r="DA40" s="54" t="n">
        <f aca="false">CZ40-(2_Market_Gross_USD!E38+35)</f>
        <v>115</v>
      </c>
      <c r="DB40" s="64" t="n">
        <f aca="false">IFERROR(CZ40/(2_Market_Gross_USD!E38+35),0)</f>
        <v>1.07491856677524</v>
      </c>
      <c r="DC40" s="63" t="n">
        <f aca="false">2_Market_Gross_USD!E38*(1-0.065)</f>
        <v>1402.5</v>
      </c>
      <c r="DD40" s="53" t="n">
        <f aca="false">DC40/0.74</f>
        <v>1895.27027027027</v>
      </c>
      <c r="DE40" s="54" t="n">
        <f aca="false">DD40*0.338+500</f>
        <v>1140.60135135135</v>
      </c>
      <c r="DF40" s="55" t="n">
        <f aca="false">DD40+DE40</f>
        <v>3035.87162162162</v>
      </c>
      <c r="DG40" s="54" t="n">
        <f aca="false">DF40-(2_Market_Gross_USD!E38+35)</f>
        <v>1500.87162162162</v>
      </c>
      <c r="DH40" s="64" t="n">
        <f aca="false">IFERROR(DF40/(2_Market_Gross_USD!E38+35),0)</f>
        <v>1.97776652874373</v>
      </c>
      <c r="DI40" s="63" t="n">
        <f aca="false">2_Market_Gross_USD!E38*(1-0.065)</f>
        <v>1402.5</v>
      </c>
      <c r="DJ40" s="53" t="n">
        <f aca="false">DI40/0.66</f>
        <v>2125</v>
      </c>
      <c r="DK40" s="54" t="n">
        <f aca="false">DJ40*0.2375+0</f>
        <v>504.6875</v>
      </c>
      <c r="DL40" s="55" t="n">
        <f aca="false">DJ40+DK40</f>
        <v>2629.6875</v>
      </c>
      <c r="DM40" s="54" t="n">
        <f aca="false">DL40-(2_Market_Gross_USD!E38+35)</f>
        <v>1094.6875</v>
      </c>
      <c r="DN40" s="64" t="n">
        <f aca="false">IFERROR(DL40/(2_Market_Gross_USD!E38+35),0)</f>
        <v>1.71315146579805</v>
      </c>
      <c r="DO40" s="63" t="n">
        <f aca="false">2_Market_Gross_USD!E38*(1-0.065)</f>
        <v>1402.5</v>
      </c>
      <c r="DP40" s="53" t="n">
        <f aca="false">DO40/0.8</f>
        <v>1753.125</v>
      </c>
      <c r="DQ40" s="54" t="n">
        <f aca="false">DP40*0+0</f>
        <v>0</v>
      </c>
      <c r="DR40" s="55" t="n">
        <f aca="false">DP40+DQ40</f>
        <v>1753.125</v>
      </c>
      <c r="DS40" s="54" t="n">
        <f aca="false">DR40-(2_Market_Gross_USD!E38+35)</f>
        <v>218.125</v>
      </c>
      <c r="DT40" s="64" t="n">
        <f aca="false">IFERROR(DR40/(2_Market_Gross_USD!E38+35),0)</f>
        <v>1.1421009771987</v>
      </c>
      <c r="DU40" s="63" t="n">
        <f aca="false">2_Market_Gross_USD!E38*(1-0.065)</f>
        <v>1402.5</v>
      </c>
      <c r="DV40" s="53" t="n">
        <f aca="false">DU40/0.66</f>
        <v>2125</v>
      </c>
      <c r="DW40" s="54" t="n">
        <f aca="false">DV40*0.2375+500</f>
        <v>1004.6875</v>
      </c>
      <c r="DX40" s="55" t="n">
        <f aca="false">DV40+DW40</f>
        <v>3129.6875</v>
      </c>
      <c r="DY40" s="54" t="n">
        <f aca="false">DX40-(2_Market_Gross_USD!E38+35)</f>
        <v>1594.6875</v>
      </c>
      <c r="DZ40" s="64" t="n">
        <f aca="false">IFERROR(DX40/(2_Market_Gross_USD!E38+35),0)</f>
        <v>2.03888436482085</v>
      </c>
      <c r="EA40" s="63" t="n">
        <f aca="false">2_Market_Gross_USD!E38*(1-0.065)</f>
        <v>1402.5</v>
      </c>
      <c r="EB40" s="53" t="n">
        <f aca="false">EA40/0.65</f>
        <v>2157.69230769231</v>
      </c>
      <c r="EC40" s="54" t="n">
        <f aca="false">EB40*0.0225+0</f>
        <v>48.5480769230769</v>
      </c>
      <c r="ED40" s="55" t="n">
        <f aca="false">EB40+EC40</f>
        <v>2206.24038461538</v>
      </c>
      <c r="EE40" s="54" t="n">
        <f aca="false">ED40-(2_Market_Gross_USD!E38+35)</f>
        <v>671.240384615385</v>
      </c>
      <c r="EF40" s="64" t="n">
        <f aca="false">IFERROR(ED40/(2_Market_Gross_USD!E38+35),0)</f>
        <v>1.4372901528439</v>
      </c>
      <c r="EG40" s="63" t="n">
        <f aca="false">2_Market_Gross_USD!E38*(1-0.065)</f>
        <v>1402.5</v>
      </c>
      <c r="EH40" s="53" t="n">
        <f aca="false">EG40/0.99</f>
        <v>1416.66666666667</v>
      </c>
      <c r="EI40" s="54" t="n">
        <f aca="false">EH40*0+0</f>
        <v>0</v>
      </c>
      <c r="EJ40" s="55" t="n">
        <f aca="false">EH40+EI40</f>
        <v>1416.66666666667</v>
      </c>
      <c r="EK40" s="54" t="n">
        <f aca="false">EJ40-(2_Market_Gross_USD!E38+35)</f>
        <v>-118.333333333333</v>
      </c>
      <c r="EL40" s="64" t="n">
        <f aca="false">IFERROR(EJ40/(2_Market_Gross_USD!E38+35),0)</f>
        <v>0.922909880564604</v>
      </c>
      <c r="EM40" s="63" t="n">
        <f aca="false">2_Market_Gross_USD!E38*(1-0.065)</f>
        <v>1402.5</v>
      </c>
      <c r="EN40" s="53" t="n">
        <f aca="false">EM40/0.65</f>
        <v>2157.69230769231</v>
      </c>
      <c r="EO40" s="54" t="n">
        <f aca="false">EN40*0.0225+500</f>
        <v>548.548076923077</v>
      </c>
      <c r="EP40" s="55" t="n">
        <f aca="false">EN40+EO40</f>
        <v>2706.24038461538</v>
      </c>
      <c r="EQ40" s="54" t="n">
        <f aca="false">EP40-(2_Market_Gross_USD!E38+35)</f>
        <v>1171.24038461538</v>
      </c>
      <c r="ER40" s="64" t="n">
        <f aca="false">IFERROR(EP40/(2_Market_Gross_USD!E38+35),0)</f>
        <v>1.7630230518667</v>
      </c>
    </row>
    <row r="41" customFormat="false" ht="15" hidden="false" customHeight="false" outlineLevel="0" collapsed="false">
      <c r="A41" s="41" t="n">
        <v>36</v>
      </c>
      <c r="B41" s="28" t="s">
        <v>272</v>
      </c>
      <c r="C41" s="8" t="s">
        <v>273</v>
      </c>
      <c r="D41" s="65" t="s">
        <v>249</v>
      </c>
      <c r="E41" s="63" t="n">
        <f aca="false">2_Market_Gross_USD!E39*(1-0.065)</f>
        <v>3973.75</v>
      </c>
      <c r="F41" s="53" t="n">
        <f aca="false">E41/0.7429</f>
        <v>5348.97025171625</v>
      </c>
      <c r="G41" s="58" t="n">
        <f aca="false">F41*0.2038+0</f>
        <v>1090.12013729977</v>
      </c>
      <c r="H41" s="55" t="n">
        <f aca="false">F41+G41</f>
        <v>6439.09038901602</v>
      </c>
      <c r="I41" s="58" t="n">
        <f aca="false">H41-(2_Market_Gross_USD!E39+35)</f>
        <v>2154.09038901602</v>
      </c>
      <c r="J41" s="66" t="n">
        <f aca="false">IFERROR(H41/(2_Market_Gross_USD!E39+35),0)</f>
        <v>1.50270487491622</v>
      </c>
      <c r="K41" s="63" t="n">
        <f aca="false">2_Market_Gross_USD!E39*(1-0.065)</f>
        <v>3973.75</v>
      </c>
      <c r="L41" s="53" t="n">
        <f aca="false">K41/0.88</f>
        <v>4515.625</v>
      </c>
      <c r="M41" s="58" t="n">
        <f aca="false">L41*0+0</f>
        <v>0</v>
      </c>
      <c r="N41" s="55" t="n">
        <f aca="false">L41+M41</f>
        <v>4515.625</v>
      </c>
      <c r="O41" s="58" t="n">
        <f aca="false">N41-(2_Market_Gross_USD!E39+35)</f>
        <v>230.625</v>
      </c>
      <c r="P41" s="66" t="n">
        <f aca="false">IFERROR(N41/(2_Market_Gross_USD!E39+35),0)</f>
        <v>1.05382147024504</v>
      </c>
      <c r="Q41" s="63" t="n">
        <f aca="false">2_Market_Gross_USD!E39*(1-0.065)</f>
        <v>3973.75</v>
      </c>
      <c r="R41" s="53" t="n">
        <f aca="false">Q41/0.7429</f>
        <v>5348.97025171625</v>
      </c>
      <c r="S41" s="58" t="n">
        <f aca="false">R41*0.2038+500</f>
        <v>1590.12013729977</v>
      </c>
      <c r="T41" s="55" t="n">
        <f aca="false">R41+S41</f>
        <v>6939.09038901602</v>
      </c>
      <c r="U41" s="58" t="n">
        <f aca="false">T41-(2_Market_Gross_USD!E39+35)</f>
        <v>2654.09038901602</v>
      </c>
      <c r="V41" s="66" t="n">
        <f aca="false">IFERROR(T41/(2_Market_Gross_USD!E39+35),0)</f>
        <v>1.61939098926862</v>
      </c>
      <c r="W41" s="63" t="n">
        <f aca="false">2_Market_Gross_USD!E39*(1-0.065)</f>
        <v>3973.75</v>
      </c>
      <c r="X41" s="53" t="n">
        <f aca="false">W41/0.72</f>
        <v>5519.09722222222</v>
      </c>
      <c r="Y41" s="58" t="n">
        <f aca="false">X41*0.15+0</f>
        <v>827.864583333333</v>
      </c>
      <c r="Z41" s="55" t="n">
        <f aca="false">X41+Y41</f>
        <v>6346.96180555556</v>
      </c>
      <c r="AA41" s="58" t="n">
        <f aca="false">Z41-(2_Market_Gross_USD!E39+35)</f>
        <v>2061.96180555556</v>
      </c>
      <c r="AB41" s="66" t="n">
        <f aca="false">IFERROR(Z41/(2_Market_Gross_USD!E39+35),0)</f>
        <v>1.48120462206664</v>
      </c>
      <c r="AC41" s="63" t="n">
        <f aca="false">2_Market_Gross_USD!E39*(1-0.065)</f>
        <v>3973.75</v>
      </c>
      <c r="AD41" s="53" t="n">
        <f aca="false">AC41/0.81</f>
        <v>4905.86419753086</v>
      </c>
      <c r="AE41" s="58" t="n">
        <f aca="false">AD41*0+0</f>
        <v>0</v>
      </c>
      <c r="AF41" s="55" t="n">
        <f aca="false">AD41+AE41</f>
        <v>4905.86419753086</v>
      </c>
      <c r="AG41" s="58" t="n">
        <f aca="false">AF41-(2_Market_Gross_USD!E39+35)</f>
        <v>620.864197530864</v>
      </c>
      <c r="AH41" s="66" t="n">
        <f aca="false">IFERROR(AF41/(2_Market_Gross_USD!E39+35),0)</f>
        <v>1.14489246150079</v>
      </c>
      <c r="AI41" s="63" t="n">
        <f aca="false">2_Market_Gross_USD!E39*(1-0.065)</f>
        <v>3973.75</v>
      </c>
      <c r="AJ41" s="53" t="n">
        <f aca="false">AI41/0.72</f>
        <v>5519.09722222222</v>
      </c>
      <c r="AK41" s="58" t="n">
        <f aca="false">AJ41*0.15+500</f>
        <v>1327.86458333333</v>
      </c>
      <c r="AL41" s="55" t="n">
        <f aca="false">AJ41+AK41</f>
        <v>6846.96180555556</v>
      </c>
      <c r="AM41" s="58" t="n">
        <f aca="false">AL41-(2_Market_Gross_USD!E39+35)</f>
        <v>2561.96180555556</v>
      </c>
      <c r="AN41" s="66" t="n">
        <f aca="false">IFERROR(AL41/(2_Market_Gross_USD!E39+35),0)</f>
        <v>1.59789073641903</v>
      </c>
      <c r="AO41" s="63" t="n">
        <f aca="false">2_Market_Gross_USD!E39*(1-0.065)</f>
        <v>3973.75</v>
      </c>
      <c r="AP41" s="53" t="n">
        <f aca="false">AO41/0.7035</f>
        <v>5648.54299928927</v>
      </c>
      <c r="AQ41" s="58" t="n">
        <f aca="false">AP41*0.11+0</f>
        <v>621.339729921819</v>
      </c>
      <c r="AR41" s="55" t="n">
        <f aca="false">AP41+AQ41</f>
        <v>6269.88272921109</v>
      </c>
      <c r="AS41" s="58" t="n">
        <f aca="false">AR41-(2_Market_Gross_USD!E39+35)</f>
        <v>1984.88272921109</v>
      </c>
      <c r="AT41" s="66" t="n">
        <f aca="false">IFERROR(AR41/(2_Market_Gross_USD!E39+35),0)</f>
        <v>1.46321650623363</v>
      </c>
      <c r="AU41" s="63" t="n">
        <f aca="false">2_Market_Gross_USD!E39*(1-0.065)</f>
        <v>3973.75</v>
      </c>
      <c r="AV41" s="53" t="n">
        <f aca="false">AU41/0.627</f>
        <v>6337.71929824561</v>
      </c>
      <c r="AW41" s="58" t="n">
        <f aca="false">AV41*0+0</f>
        <v>0</v>
      </c>
      <c r="AX41" s="55" t="n">
        <f aca="false">AV41+AW41</f>
        <v>6337.71929824561</v>
      </c>
      <c r="AY41" s="58" t="n">
        <f aca="false">AX41-(2_Market_Gross_USD!E39+35)</f>
        <v>2052.71929824561</v>
      </c>
      <c r="AZ41" s="66" t="n">
        <f aca="false">IFERROR(AX41/(2_Market_Gross_USD!E39+35),0)</f>
        <v>1.4790476775369</v>
      </c>
      <c r="BA41" s="63" t="n">
        <f aca="false">2_Market_Gross_USD!E39*(1-0.065)</f>
        <v>3973.75</v>
      </c>
      <c r="BB41" s="53" t="n">
        <f aca="false">BA41/0.7035</f>
        <v>5648.54299928927</v>
      </c>
      <c r="BC41" s="58" t="n">
        <f aca="false">BB41*0.11+500</f>
        <v>1121.33972992182</v>
      </c>
      <c r="BD41" s="55" t="n">
        <f aca="false">BB41+BC41</f>
        <v>6769.88272921109</v>
      </c>
      <c r="BE41" s="58" t="n">
        <f aca="false">BD41-(2_Market_Gross_USD!E39+35)</f>
        <v>2484.88272921109</v>
      </c>
      <c r="BF41" s="66" t="n">
        <f aca="false">IFERROR(BD41/(2_Market_Gross_USD!E39+35),0)</f>
        <v>1.57990262058602</v>
      </c>
      <c r="BG41" s="63" t="n">
        <f aca="false">2_Market_Gross_USD!E39*(1-0.065)</f>
        <v>3973.75</v>
      </c>
      <c r="BH41" s="53" t="n">
        <f aca="false">BG41/0.5215</f>
        <v>7619.84659635666</v>
      </c>
      <c r="BI41" s="58" t="n">
        <f aca="false">BH41*0.21+0</f>
        <v>1600.1677852349</v>
      </c>
      <c r="BJ41" s="55" t="n">
        <f aca="false">BH41+BI41</f>
        <v>9220.01438159156</v>
      </c>
      <c r="BK41" s="58" t="n">
        <f aca="false">BJ41-(2_Market_Gross_USD!E39+35)</f>
        <v>4935.01438159156</v>
      </c>
      <c r="BL41" s="66" t="n">
        <f aca="false">IFERROR(BJ41/(2_Market_Gross_USD!E39+35),0)</f>
        <v>2.15169530492219</v>
      </c>
      <c r="BM41" s="63" t="n">
        <f aca="false">2_Market_Gross_USD!E39*(1-0.065)</f>
        <v>3973.75</v>
      </c>
      <c r="BN41" s="53" t="n">
        <f aca="false">BM41/0.75</f>
        <v>5298.33333333333</v>
      </c>
      <c r="BO41" s="58" t="n">
        <f aca="false">BN41*0+0</f>
        <v>0</v>
      </c>
      <c r="BP41" s="55" t="n">
        <f aca="false">BN41+BO41</f>
        <v>5298.33333333333</v>
      </c>
      <c r="BQ41" s="58" t="n">
        <f aca="false">BP41-(2_Market_Gross_USD!E39+35)</f>
        <v>1013.33333333333</v>
      </c>
      <c r="BR41" s="66" t="n">
        <f aca="false">IFERROR(BP41/(2_Market_Gross_USD!E39+35),0)</f>
        <v>1.23648385842085</v>
      </c>
      <c r="BS41" s="63" t="n">
        <f aca="false">2_Market_Gross_USD!E39*(1-0.065)</f>
        <v>3973.75</v>
      </c>
      <c r="BT41" s="53" t="n">
        <f aca="false">BS41/0.5215</f>
        <v>7619.84659635666</v>
      </c>
      <c r="BU41" s="58" t="n">
        <f aca="false">BT41*0.21+500</f>
        <v>2100.1677852349</v>
      </c>
      <c r="BV41" s="55" t="n">
        <f aca="false">BT41+BU41</f>
        <v>9720.01438159156</v>
      </c>
      <c r="BW41" s="58" t="n">
        <f aca="false">BV41-(2_Market_Gross_USD!E39+35)</f>
        <v>5435.01438159156</v>
      </c>
      <c r="BX41" s="66" t="n">
        <f aca="false">IFERROR(BV41/(2_Market_Gross_USD!E39+35),0)</f>
        <v>2.26838141927458</v>
      </c>
      <c r="BY41" s="63" t="n">
        <f aca="false">2_Market_Gross_USD!E39*(1-0.065)</f>
        <v>3973.75</v>
      </c>
      <c r="BZ41" s="53" t="n">
        <f aca="false">BY41/0.6303</f>
        <v>6304.53752181501</v>
      </c>
      <c r="CA41" s="58" t="n">
        <f aca="false">BZ41*0.2+0</f>
        <v>1260.907504363</v>
      </c>
      <c r="CB41" s="55" t="n">
        <f aca="false">BZ41+CA41</f>
        <v>7565.44502617801</v>
      </c>
      <c r="CC41" s="58" t="n">
        <f aca="false">CB41-(2_Market_Gross_USD!E39+35)</f>
        <v>3280.44502617801</v>
      </c>
      <c r="CD41" s="66" t="n">
        <f aca="false">IFERROR(CB41/(2_Market_Gross_USD!E39+35),0)</f>
        <v>1.76556476690269</v>
      </c>
      <c r="CE41" s="63" t="n">
        <f aca="false">2_Market_Gross_USD!E39*(1-0.065)</f>
        <v>3973.75</v>
      </c>
      <c r="CF41" s="53" t="n">
        <f aca="false">CE41/0.6303</f>
        <v>6304.53752181501</v>
      </c>
      <c r="CG41" s="58" t="n">
        <f aca="false">CF41*0+0</f>
        <v>0</v>
      </c>
      <c r="CH41" s="55" t="n">
        <f aca="false">CF41+CG41</f>
        <v>6304.53752181501</v>
      </c>
      <c r="CI41" s="58" t="n">
        <f aca="false">CH41-(2_Market_Gross_USD!E39+35)</f>
        <v>2019.53752181501</v>
      </c>
      <c r="CJ41" s="66" t="n">
        <f aca="false">IFERROR(CH41/(2_Market_Gross_USD!E39+35),0)</f>
        <v>1.47130397241891</v>
      </c>
      <c r="CK41" s="63" t="n">
        <f aca="false">2_Market_Gross_USD!E39*(1-0.065)</f>
        <v>3973.75</v>
      </c>
      <c r="CL41" s="53" t="n">
        <f aca="false">CK41/0.6303</f>
        <v>6304.53752181501</v>
      </c>
      <c r="CM41" s="58" t="n">
        <f aca="false">CL41*0.2+500</f>
        <v>1760.907504363</v>
      </c>
      <c r="CN41" s="55" t="n">
        <f aca="false">CL41+CM41</f>
        <v>8065.44502617801</v>
      </c>
      <c r="CO41" s="58" t="n">
        <f aca="false">CN41-(2_Market_Gross_USD!E39+35)</f>
        <v>3780.44502617801</v>
      </c>
      <c r="CP41" s="66" t="n">
        <f aca="false">IFERROR(CN41/(2_Market_Gross_USD!E39+35),0)</f>
        <v>1.88225088125508</v>
      </c>
      <c r="CQ41" s="63" t="n">
        <f aca="false">2_Market_Gross_USD!E39*(1-0.065)</f>
        <v>3973.75</v>
      </c>
      <c r="CR41" s="53" t="n">
        <f aca="false">CQ41/0.74</f>
        <v>5369.93243243243</v>
      </c>
      <c r="CS41" s="58" t="n">
        <f aca="false">CR41*0.338+0</f>
        <v>1815.03716216216</v>
      </c>
      <c r="CT41" s="55" t="n">
        <f aca="false">CR41+CS41</f>
        <v>7184.9695945946</v>
      </c>
      <c r="CU41" s="58" t="n">
        <f aca="false">CT41-(2_Market_Gross_USD!E39+35)</f>
        <v>2899.9695945946</v>
      </c>
      <c r="CV41" s="66" t="n">
        <f aca="false">IFERROR(CT41/(2_Market_Gross_USD!E39+35),0)</f>
        <v>1.67677236746665</v>
      </c>
      <c r="CW41" s="63" t="n">
        <f aca="false">2_Market_Gross_USD!E39*(1-0.065)</f>
        <v>3973.75</v>
      </c>
      <c r="CX41" s="53" t="n">
        <f aca="false">CW41/0.85</f>
        <v>4675</v>
      </c>
      <c r="CY41" s="58" t="n">
        <f aca="false">CX41*0+0</f>
        <v>0</v>
      </c>
      <c r="CZ41" s="55" t="n">
        <f aca="false">CX41+CY41</f>
        <v>4675</v>
      </c>
      <c r="DA41" s="58" t="n">
        <f aca="false">CZ41-(2_Market_Gross_USD!E39+35)</f>
        <v>390</v>
      </c>
      <c r="DB41" s="66" t="n">
        <f aca="false">IFERROR(CZ41/(2_Market_Gross_USD!E39+35),0)</f>
        <v>1.09101516919487</v>
      </c>
      <c r="DC41" s="63" t="n">
        <f aca="false">2_Market_Gross_USD!E39*(1-0.065)</f>
        <v>3973.75</v>
      </c>
      <c r="DD41" s="53" t="n">
        <f aca="false">DC41/0.74</f>
        <v>5369.93243243243</v>
      </c>
      <c r="DE41" s="58" t="n">
        <f aca="false">DD41*0.338+500</f>
        <v>2315.03716216216</v>
      </c>
      <c r="DF41" s="55" t="n">
        <f aca="false">DD41+DE41</f>
        <v>7684.9695945946</v>
      </c>
      <c r="DG41" s="58" t="n">
        <f aca="false">DF41-(2_Market_Gross_USD!E39+35)</f>
        <v>3399.9695945946</v>
      </c>
      <c r="DH41" s="66" t="n">
        <f aca="false">IFERROR(DF41/(2_Market_Gross_USD!E39+35),0)</f>
        <v>1.79345848181904</v>
      </c>
      <c r="DI41" s="63" t="n">
        <f aca="false">2_Market_Gross_USD!E39*(1-0.065)</f>
        <v>3973.75</v>
      </c>
      <c r="DJ41" s="53" t="n">
        <f aca="false">DI41/0.66</f>
        <v>6020.83333333333</v>
      </c>
      <c r="DK41" s="58" t="n">
        <f aca="false">DJ41*0.2375+0</f>
        <v>1429.94791666667</v>
      </c>
      <c r="DL41" s="55" t="n">
        <f aca="false">DJ41+DK41</f>
        <v>7450.78125</v>
      </c>
      <c r="DM41" s="58" t="n">
        <f aca="false">DL41-(2_Market_Gross_USD!E39+35)</f>
        <v>3165.78125</v>
      </c>
      <c r="DN41" s="66" t="n">
        <f aca="false">IFERROR(DL41/(2_Market_Gross_USD!E39+35),0)</f>
        <v>1.73880542590432</v>
      </c>
      <c r="DO41" s="63" t="n">
        <f aca="false">2_Market_Gross_USD!E39*(1-0.065)</f>
        <v>3973.75</v>
      </c>
      <c r="DP41" s="53" t="n">
        <f aca="false">DO41/0.8</f>
        <v>4967.1875</v>
      </c>
      <c r="DQ41" s="58" t="n">
        <f aca="false">DP41*0+0</f>
        <v>0</v>
      </c>
      <c r="DR41" s="55" t="n">
        <f aca="false">DP41+DQ41</f>
        <v>4967.1875</v>
      </c>
      <c r="DS41" s="58" t="n">
        <f aca="false">DR41-(2_Market_Gross_USD!E39+35)</f>
        <v>682.1875</v>
      </c>
      <c r="DT41" s="66" t="n">
        <f aca="false">IFERROR(DR41/(2_Market_Gross_USD!E39+35),0)</f>
        <v>1.15920361726955</v>
      </c>
      <c r="DU41" s="63" t="n">
        <f aca="false">2_Market_Gross_USD!E39*(1-0.065)</f>
        <v>3973.75</v>
      </c>
      <c r="DV41" s="53" t="n">
        <f aca="false">DU41/0.66</f>
        <v>6020.83333333333</v>
      </c>
      <c r="DW41" s="58" t="n">
        <f aca="false">DV41*0.2375+500</f>
        <v>1929.94791666667</v>
      </c>
      <c r="DX41" s="55" t="n">
        <f aca="false">DV41+DW41</f>
        <v>7950.78125</v>
      </c>
      <c r="DY41" s="58" t="n">
        <f aca="false">DX41-(2_Market_Gross_USD!E39+35)</f>
        <v>3665.78125</v>
      </c>
      <c r="DZ41" s="66" t="n">
        <f aca="false">IFERROR(DX41/(2_Market_Gross_USD!E39+35),0)</f>
        <v>1.85549154025671</v>
      </c>
      <c r="EA41" s="63" t="n">
        <f aca="false">2_Market_Gross_USD!E39*(1-0.065)</f>
        <v>3973.75</v>
      </c>
      <c r="EB41" s="53" t="n">
        <f aca="false">EA41/0.65</f>
        <v>6113.46153846154</v>
      </c>
      <c r="EC41" s="58" t="n">
        <f aca="false">EB41*0.0225+0</f>
        <v>137.552884615385</v>
      </c>
      <c r="ED41" s="55" t="n">
        <f aca="false">EB41+EC41</f>
        <v>6251.01442307692</v>
      </c>
      <c r="EE41" s="58" t="n">
        <f aca="false">ED41-(2_Market_Gross_USD!E39+35)</f>
        <v>1966.01442307692</v>
      </c>
      <c r="EF41" s="66" t="n">
        <f aca="false">IFERROR(ED41/(2_Market_Gross_USD!E39+35),0)</f>
        <v>1.45881316757921</v>
      </c>
      <c r="EG41" s="63" t="n">
        <f aca="false">2_Market_Gross_USD!E39*(1-0.065)</f>
        <v>3973.75</v>
      </c>
      <c r="EH41" s="53" t="n">
        <f aca="false">EG41/0.99</f>
        <v>4013.88888888889</v>
      </c>
      <c r="EI41" s="58" t="n">
        <f aca="false">EH41*0+0</f>
        <v>0</v>
      </c>
      <c r="EJ41" s="55" t="n">
        <f aca="false">EH41+EI41</f>
        <v>4013.88888888889</v>
      </c>
      <c r="EK41" s="58" t="n">
        <f aca="false">EJ41-(2_Market_Gross_USD!E39+35)</f>
        <v>-271.111111111111</v>
      </c>
      <c r="EL41" s="66" t="n">
        <f aca="false">IFERROR(EJ41/(2_Market_Gross_USD!E39+35),0)</f>
        <v>0.93673019577337</v>
      </c>
      <c r="EM41" s="63" t="n">
        <f aca="false">2_Market_Gross_USD!E39*(1-0.065)</f>
        <v>3973.75</v>
      </c>
      <c r="EN41" s="53" t="n">
        <f aca="false">EM41/0.65</f>
        <v>6113.46153846154</v>
      </c>
      <c r="EO41" s="58" t="n">
        <f aca="false">EN41*0.0225+500</f>
        <v>637.552884615385</v>
      </c>
      <c r="EP41" s="55" t="n">
        <f aca="false">EN41+EO41</f>
        <v>6751.01442307692</v>
      </c>
      <c r="EQ41" s="58" t="n">
        <f aca="false">EP41-(2_Market_Gross_USD!E39+35)</f>
        <v>2466.01442307692</v>
      </c>
      <c r="ER41" s="66" t="n">
        <f aca="false">IFERROR(EP41/(2_Market_Gross_USD!E39+35),0)</f>
        <v>1.5754992819316</v>
      </c>
    </row>
    <row r="42" customFormat="false" ht="15" hidden="false" customHeight="false" outlineLevel="0" collapsed="false">
      <c r="A42" s="37" t="n">
        <v>37</v>
      </c>
      <c r="B42" s="32" t="s">
        <v>272</v>
      </c>
      <c r="C42" s="32" t="s">
        <v>274</v>
      </c>
      <c r="D42" s="62" t="s">
        <v>248</v>
      </c>
      <c r="E42" s="63" t="n">
        <f aca="false">2_Market_Gross_USD!E40*(1-0.065)</f>
        <v>1168.75</v>
      </c>
      <c r="F42" s="53" t="n">
        <f aca="false">E42/0.7429</f>
        <v>1573.22654462243</v>
      </c>
      <c r="G42" s="54" t="n">
        <f aca="false">F42*0.2038+0</f>
        <v>320.62356979405</v>
      </c>
      <c r="H42" s="55" t="n">
        <f aca="false">F42+G42</f>
        <v>1893.85011441648</v>
      </c>
      <c r="I42" s="54" t="n">
        <f aca="false">H42-(2_Market_Gross_USD!E40+35)</f>
        <v>608.850114416476</v>
      </c>
      <c r="J42" s="64" t="n">
        <f aca="false">IFERROR(H42/(2_Market_Gross_USD!E40+35),0)</f>
        <v>1.47381331861204</v>
      </c>
      <c r="K42" s="63" t="n">
        <f aca="false">2_Market_Gross_USD!E40*(1-0.065)</f>
        <v>1168.75</v>
      </c>
      <c r="L42" s="53" t="n">
        <f aca="false">K42/0.88</f>
        <v>1328.125</v>
      </c>
      <c r="M42" s="54" t="n">
        <f aca="false">L42*0+0</f>
        <v>0</v>
      </c>
      <c r="N42" s="55" t="n">
        <f aca="false">L42+M42</f>
        <v>1328.125</v>
      </c>
      <c r="O42" s="54" t="n">
        <f aca="false">N42-(2_Market_Gross_USD!E40+35)</f>
        <v>43.125</v>
      </c>
      <c r="P42" s="64" t="n">
        <f aca="false">IFERROR(N42/(2_Market_Gross_USD!E40+35),0)</f>
        <v>1.03356031128405</v>
      </c>
      <c r="Q42" s="63" t="n">
        <f aca="false">2_Market_Gross_USD!E40*(1-0.065)</f>
        <v>1168.75</v>
      </c>
      <c r="R42" s="53" t="n">
        <f aca="false">Q42/0.7429</f>
        <v>1573.22654462243</v>
      </c>
      <c r="S42" s="54" t="n">
        <f aca="false">R42*0.2038+500</f>
        <v>820.62356979405</v>
      </c>
      <c r="T42" s="55" t="n">
        <f aca="false">R42+S42</f>
        <v>2393.85011441648</v>
      </c>
      <c r="U42" s="54" t="n">
        <f aca="false">T42-(2_Market_Gross_USD!E40+35)</f>
        <v>1108.85011441648</v>
      </c>
      <c r="V42" s="64" t="n">
        <f aca="false">IFERROR(T42/(2_Market_Gross_USD!E40+35),0)</f>
        <v>1.8629183769778</v>
      </c>
      <c r="W42" s="63" t="n">
        <f aca="false">2_Market_Gross_USD!E40*(1-0.065)</f>
        <v>1168.75</v>
      </c>
      <c r="X42" s="53" t="n">
        <f aca="false">W42/0.72</f>
        <v>1623.26388888889</v>
      </c>
      <c r="Y42" s="54" t="n">
        <f aca="false">X42*0.15+0</f>
        <v>243.489583333333</v>
      </c>
      <c r="Z42" s="55" t="n">
        <f aca="false">X42+Y42</f>
        <v>1866.75347222222</v>
      </c>
      <c r="AA42" s="54" t="n">
        <f aca="false">Z42-(2_Market_Gross_USD!E40+35)</f>
        <v>581.753472222222</v>
      </c>
      <c r="AB42" s="64" t="n">
        <f aca="false">IFERROR(Z42/(2_Market_Gross_USD!E40+35),0)</f>
        <v>1.45272643752702</v>
      </c>
      <c r="AC42" s="63" t="n">
        <f aca="false">2_Market_Gross_USD!E40*(1-0.065)</f>
        <v>1168.75</v>
      </c>
      <c r="AD42" s="53" t="n">
        <f aca="false">AC42/0.81</f>
        <v>1442.9012345679</v>
      </c>
      <c r="AE42" s="54" t="n">
        <f aca="false">AD42*0+0</f>
        <v>0</v>
      </c>
      <c r="AF42" s="55" t="n">
        <f aca="false">AD42+AE42</f>
        <v>1442.9012345679</v>
      </c>
      <c r="AG42" s="54" t="n">
        <f aca="false">AF42-(2_Market_Gross_USD!E40+35)</f>
        <v>157.901234567901</v>
      </c>
      <c r="AH42" s="64" t="n">
        <f aca="false">IFERROR(AF42/(2_Market_Gross_USD!E40+35),0)</f>
        <v>1.12288033818514</v>
      </c>
      <c r="AI42" s="63" t="n">
        <f aca="false">2_Market_Gross_USD!E40*(1-0.065)</f>
        <v>1168.75</v>
      </c>
      <c r="AJ42" s="53" t="n">
        <f aca="false">AI42/0.72</f>
        <v>1623.26388888889</v>
      </c>
      <c r="AK42" s="54" t="n">
        <f aca="false">AJ42*0.15+500</f>
        <v>743.489583333333</v>
      </c>
      <c r="AL42" s="55" t="n">
        <f aca="false">AJ42+AK42</f>
        <v>2366.75347222222</v>
      </c>
      <c r="AM42" s="54" t="n">
        <f aca="false">AL42-(2_Market_Gross_USD!E40+35)</f>
        <v>1081.75347222222</v>
      </c>
      <c r="AN42" s="64" t="n">
        <f aca="false">IFERROR(AL42/(2_Market_Gross_USD!E40+35),0)</f>
        <v>1.84183149589278</v>
      </c>
      <c r="AO42" s="63" t="n">
        <f aca="false">2_Market_Gross_USD!E40*(1-0.065)</f>
        <v>1168.75</v>
      </c>
      <c r="AP42" s="53" t="n">
        <f aca="false">AO42/0.7035</f>
        <v>1661.33617626155</v>
      </c>
      <c r="AQ42" s="54" t="n">
        <f aca="false">AP42*0.11+0</f>
        <v>182.74697938877</v>
      </c>
      <c r="AR42" s="55" t="n">
        <f aca="false">AP42+AQ42</f>
        <v>1844.08315565032</v>
      </c>
      <c r="AS42" s="54" t="n">
        <f aca="false">AR42-(2_Market_Gross_USD!E40+35)</f>
        <v>559.08315565032</v>
      </c>
      <c r="AT42" s="64" t="n">
        <f aca="false">IFERROR(AR42/(2_Market_Gross_USD!E40+35),0)</f>
        <v>1.43508416782126</v>
      </c>
      <c r="AU42" s="63" t="n">
        <f aca="false">2_Market_Gross_USD!E40*(1-0.065)</f>
        <v>1168.75</v>
      </c>
      <c r="AV42" s="53" t="n">
        <f aca="false">AU42/0.627</f>
        <v>1864.0350877193</v>
      </c>
      <c r="AW42" s="54" t="n">
        <f aca="false">AV42*0+0</f>
        <v>0</v>
      </c>
      <c r="AX42" s="55" t="n">
        <f aca="false">AV42+AW42</f>
        <v>1864.0350877193</v>
      </c>
      <c r="AY42" s="54" t="n">
        <f aca="false">AX42-(2_Market_Gross_USD!E40+35)</f>
        <v>579.035087719298</v>
      </c>
      <c r="AZ42" s="64" t="n">
        <f aca="false">IFERROR(AX42/(2_Market_Gross_USD!E40+35),0)</f>
        <v>1.45061096320568</v>
      </c>
      <c r="BA42" s="63" t="n">
        <f aca="false">2_Market_Gross_USD!E40*(1-0.065)</f>
        <v>1168.75</v>
      </c>
      <c r="BB42" s="53" t="n">
        <f aca="false">BA42/0.7035</f>
        <v>1661.33617626155</v>
      </c>
      <c r="BC42" s="54" t="n">
        <f aca="false">BB42*0.11+500</f>
        <v>682.746979388771</v>
      </c>
      <c r="BD42" s="55" t="n">
        <f aca="false">BB42+BC42</f>
        <v>2344.08315565032</v>
      </c>
      <c r="BE42" s="54" t="n">
        <f aca="false">BD42-(2_Market_Gross_USD!E40+35)</f>
        <v>1059.08315565032</v>
      </c>
      <c r="BF42" s="64" t="n">
        <f aca="false">IFERROR(BD42/(2_Market_Gross_USD!E40+35),0)</f>
        <v>1.82418922618702</v>
      </c>
      <c r="BG42" s="63" t="n">
        <f aca="false">2_Market_Gross_USD!E40*(1-0.065)</f>
        <v>1168.75</v>
      </c>
      <c r="BH42" s="53" t="n">
        <f aca="false">BG42/0.5215</f>
        <v>2241.13135186961</v>
      </c>
      <c r="BI42" s="54" t="n">
        <f aca="false">BH42*0.21+0</f>
        <v>470.637583892617</v>
      </c>
      <c r="BJ42" s="55" t="n">
        <f aca="false">BH42+BI42</f>
        <v>2711.76893576222</v>
      </c>
      <c r="BK42" s="54" t="n">
        <f aca="false">BJ42-(2_Market_Gross_USD!E40+35)</f>
        <v>1426.76893576222</v>
      </c>
      <c r="BL42" s="64" t="n">
        <f aca="false">IFERROR(BJ42/(2_Market_Gross_USD!E40+35),0)</f>
        <v>2.11032602004842</v>
      </c>
      <c r="BM42" s="63" t="n">
        <f aca="false">2_Market_Gross_USD!E40*(1-0.065)</f>
        <v>1168.75</v>
      </c>
      <c r="BN42" s="53" t="n">
        <f aca="false">BM42/0.75</f>
        <v>1558.33333333333</v>
      </c>
      <c r="BO42" s="54" t="n">
        <f aca="false">BN42*0+0</f>
        <v>0</v>
      </c>
      <c r="BP42" s="55" t="n">
        <f aca="false">BN42+BO42</f>
        <v>1558.33333333333</v>
      </c>
      <c r="BQ42" s="54" t="n">
        <f aca="false">BP42-(2_Market_Gross_USD!E40+35)</f>
        <v>273.333333333333</v>
      </c>
      <c r="BR42" s="64" t="n">
        <f aca="false">IFERROR(BP42/(2_Market_Gross_USD!E40+35),0)</f>
        <v>1.21271076523995</v>
      </c>
      <c r="BS42" s="63" t="n">
        <f aca="false">2_Market_Gross_USD!E40*(1-0.065)</f>
        <v>1168.75</v>
      </c>
      <c r="BT42" s="53" t="n">
        <f aca="false">BS42/0.5215</f>
        <v>2241.13135186961</v>
      </c>
      <c r="BU42" s="54" t="n">
        <f aca="false">BT42*0.21+500</f>
        <v>970.637583892617</v>
      </c>
      <c r="BV42" s="55" t="n">
        <f aca="false">BT42+BU42</f>
        <v>3211.76893576222</v>
      </c>
      <c r="BW42" s="54" t="n">
        <f aca="false">BV42-(2_Market_Gross_USD!E40+35)</f>
        <v>1926.76893576222</v>
      </c>
      <c r="BX42" s="64" t="n">
        <f aca="false">IFERROR(BV42/(2_Market_Gross_USD!E40+35),0)</f>
        <v>2.49943107841418</v>
      </c>
      <c r="BY42" s="63" t="n">
        <f aca="false">2_Market_Gross_USD!E40*(1-0.065)</f>
        <v>1168.75</v>
      </c>
      <c r="BZ42" s="53" t="n">
        <f aca="false">BY42/0.6303</f>
        <v>1854.2757417103</v>
      </c>
      <c r="CA42" s="54" t="n">
        <f aca="false">BZ42*0.2+0</f>
        <v>370.855148342059</v>
      </c>
      <c r="CB42" s="55" t="n">
        <f aca="false">BZ42+CA42</f>
        <v>2225.13089005236</v>
      </c>
      <c r="CC42" s="54" t="n">
        <f aca="false">CB42-(2_Market_Gross_USD!E40+35)</f>
        <v>940.130890052356</v>
      </c>
      <c r="CD42" s="64" t="n">
        <f aca="false">IFERROR(CB42/(2_Market_Gross_USD!E40+35),0)</f>
        <v>1.73161936969055</v>
      </c>
      <c r="CE42" s="63" t="n">
        <f aca="false">2_Market_Gross_USD!E40*(1-0.065)</f>
        <v>1168.75</v>
      </c>
      <c r="CF42" s="53" t="n">
        <f aca="false">CE42/0.6303</f>
        <v>1854.2757417103</v>
      </c>
      <c r="CG42" s="54" t="n">
        <f aca="false">CF42*0+0</f>
        <v>0</v>
      </c>
      <c r="CH42" s="55" t="n">
        <f aca="false">CF42+CG42</f>
        <v>1854.2757417103</v>
      </c>
      <c r="CI42" s="54" t="n">
        <f aca="false">CH42-(2_Market_Gross_USD!E40+35)</f>
        <v>569.275741710297</v>
      </c>
      <c r="CJ42" s="64" t="n">
        <f aca="false">IFERROR(CH42/(2_Market_Gross_USD!E40+35),0)</f>
        <v>1.44301614140879</v>
      </c>
      <c r="CK42" s="63" t="n">
        <f aca="false">2_Market_Gross_USD!E40*(1-0.065)</f>
        <v>1168.75</v>
      </c>
      <c r="CL42" s="53" t="n">
        <f aca="false">CK42/0.6303</f>
        <v>1854.2757417103</v>
      </c>
      <c r="CM42" s="54" t="n">
        <f aca="false">CL42*0.2+500</f>
        <v>870.85514834206</v>
      </c>
      <c r="CN42" s="55" t="n">
        <f aca="false">CL42+CM42</f>
        <v>2725.13089005236</v>
      </c>
      <c r="CO42" s="54" t="n">
        <f aca="false">CN42-(2_Market_Gross_USD!E40+35)</f>
        <v>1440.13089005236</v>
      </c>
      <c r="CP42" s="64" t="n">
        <f aca="false">IFERROR(CN42/(2_Market_Gross_USD!E40+35),0)</f>
        <v>2.12072442805631</v>
      </c>
      <c r="CQ42" s="63" t="n">
        <f aca="false">2_Market_Gross_USD!E40*(1-0.065)</f>
        <v>1168.75</v>
      </c>
      <c r="CR42" s="53" t="n">
        <f aca="false">CQ42/0.74</f>
        <v>1579.39189189189</v>
      </c>
      <c r="CS42" s="54" t="n">
        <f aca="false">CR42*0.338+0</f>
        <v>533.83445945946</v>
      </c>
      <c r="CT42" s="55" t="n">
        <f aca="false">CR42+CS42</f>
        <v>2113.22635135135</v>
      </c>
      <c r="CU42" s="54" t="n">
        <f aca="false">CT42-(2_Market_Gross_USD!E40+35)</f>
        <v>828.226351351351</v>
      </c>
      <c r="CV42" s="64" t="n">
        <f aca="false">IFERROR(CT42/(2_Market_Gross_USD!E40+35),0)</f>
        <v>1.64453412556525</v>
      </c>
      <c r="CW42" s="63" t="n">
        <f aca="false">2_Market_Gross_USD!E40*(1-0.065)</f>
        <v>1168.75</v>
      </c>
      <c r="CX42" s="53" t="n">
        <f aca="false">CW42/0.85</f>
        <v>1375</v>
      </c>
      <c r="CY42" s="54" t="n">
        <f aca="false">CX42*0+0</f>
        <v>0</v>
      </c>
      <c r="CZ42" s="55" t="n">
        <f aca="false">CX42+CY42</f>
        <v>1375</v>
      </c>
      <c r="DA42" s="54" t="n">
        <f aca="false">CZ42-(2_Market_Gross_USD!E40+35)</f>
        <v>90</v>
      </c>
      <c r="DB42" s="64" t="n">
        <f aca="false">IFERROR(CZ42/(2_Market_Gross_USD!E40+35),0)</f>
        <v>1.07003891050584</v>
      </c>
      <c r="DC42" s="63" t="n">
        <f aca="false">2_Market_Gross_USD!E40*(1-0.065)</f>
        <v>1168.75</v>
      </c>
      <c r="DD42" s="53" t="n">
        <f aca="false">DC42/0.74</f>
        <v>1579.39189189189</v>
      </c>
      <c r="DE42" s="54" t="n">
        <f aca="false">DD42*0.338+500</f>
        <v>1033.83445945946</v>
      </c>
      <c r="DF42" s="55" t="n">
        <f aca="false">DD42+DE42</f>
        <v>2613.22635135135</v>
      </c>
      <c r="DG42" s="54" t="n">
        <f aca="false">DF42-(2_Market_Gross_USD!E40+35)</f>
        <v>1328.22635135135</v>
      </c>
      <c r="DH42" s="64" t="n">
        <f aca="false">IFERROR(DF42/(2_Market_Gross_USD!E40+35),0)</f>
        <v>2.03363918393101</v>
      </c>
      <c r="DI42" s="63" t="n">
        <f aca="false">2_Market_Gross_USD!E40*(1-0.065)</f>
        <v>1168.75</v>
      </c>
      <c r="DJ42" s="53" t="n">
        <f aca="false">DI42/0.66</f>
        <v>1770.83333333333</v>
      </c>
      <c r="DK42" s="54" t="n">
        <f aca="false">DJ42*0.2375+0</f>
        <v>420.572916666667</v>
      </c>
      <c r="DL42" s="55" t="n">
        <f aca="false">DJ42+DK42</f>
        <v>2191.40625</v>
      </c>
      <c r="DM42" s="54" t="n">
        <f aca="false">DL42-(2_Market_Gross_USD!E40+35)</f>
        <v>906.40625</v>
      </c>
      <c r="DN42" s="64" t="n">
        <f aca="false">IFERROR(DL42/(2_Market_Gross_USD!E40+35),0)</f>
        <v>1.70537451361868</v>
      </c>
      <c r="DO42" s="63" t="n">
        <f aca="false">2_Market_Gross_USD!E40*(1-0.065)</f>
        <v>1168.75</v>
      </c>
      <c r="DP42" s="53" t="n">
        <f aca="false">DO42/0.8</f>
        <v>1460.9375</v>
      </c>
      <c r="DQ42" s="54" t="n">
        <f aca="false">DP42*0+0</f>
        <v>0</v>
      </c>
      <c r="DR42" s="55" t="n">
        <f aca="false">DP42+DQ42</f>
        <v>1460.9375</v>
      </c>
      <c r="DS42" s="54" t="n">
        <f aca="false">DR42-(2_Market_Gross_USD!E40+35)</f>
        <v>175.9375</v>
      </c>
      <c r="DT42" s="64" t="n">
        <f aca="false">IFERROR(DR42/(2_Market_Gross_USD!E40+35),0)</f>
        <v>1.13691634241245</v>
      </c>
      <c r="DU42" s="63" t="n">
        <f aca="false">2_Market_Gross_USD!E40*(1-0.065)</f>
        <v>1168.75</v>
      </c>
      <c r="DV42" s="53" t="n">
        <f aca="false">DU42/0.66</f>
        <v>1770.83333333333</v>
      </c>
      <c r="DW42" s="54" t="n">
        <f aca="false">DV42*0.2375+500</f>
        <v>920.572916666667</v>
      </c>
      <c r="DX42" s="55" t="n">
        <f aca="false">DV42+DW42</f>
        <v>2691.40625</v>
      </c>
      <c r="DY42" s="54" t="n">
        <f aca="false">DX42-(2_Market_Gross_USD!E40+35)</f>
        <v>1406.40625</v>
      </c>
      <c r="DZ42" s="64" t="n">
        <f aca="false">IFERROR(DX42/(2_Market_Gross_USD!E40+35),0)</f>
        <v>2.09447957198444</v>
      </c>
      <c r="EA42" s="63" t="n">
        <f aca="false">2_Market_Gross_USD!E40*(1-0.065)</f>
        <v>1168.75</v>
      </c>
      <c r="EB42" s="53" t="n">
        <f aca="false">EA42/0.65</f>
        <v>1798.07692307692</v>
      </c>
      <c r="EC42" s="54" t="n">
        <f aca="false">EB42*0.0225+0</f>
        <v>40.4567307692308</v>
      </c>
      <c r="ED42" s="55" t="n">
        <f aca="false">EB42+EC42</f>
        <v>1838.53365384615</v>
      </c>
      <c r="EE42" s="54" t="n">
        <f aca="false">ED42-(2_Market_Gross_USD!E40+35)</f>
        <v>553.533653846154</v>
      </c>
      <c r="EF42" s="64" t="n">
        <f aca="false">IFERROR(ED42/(2_Market_Gross_USD!E40+35),0)</f>
        <v>1.43076548937444</v>
      </c>
      <c r="EG42" s="63" t="n">
        <f aca="false">2_Market_Gross_USD!E40*(1-0.065)</f>
        <v>1168.75</v>
      </c>
      <c r="EH42" s="53" t="n">
        <f aca="false">EG42/0.99</f>
        <v>1180.55555555556</v>
      </c>
      <c r="EI42" s="54" t="n">
        <f aca="false">EH42*0+0</f>
        <v>0</v>
      </c>
      <c r="EJ42" s="55" t="n">
        <f aca="false">EH42+EI42</f>
        <v>1180.55555555556</v>
      </c>
      <c r="EK42" s="54" t="n">
        <f aca="false">EJ42-(2_Market_Gross_USD!E40+35)</f>
        <v>-104.444444444444</v>
      </c>
      <c r="EL42" s="64" t="n">
        <f aca="false">IFERROR(EJ42/(2_Market_Gross_USD!E40+35),0)</f>
        <v>0.918720276696931</v>
      </c>
      <c r="EM42" s="63" t="n">
        <f aca="false">2_Market_Gross_USD!E40*(1-0.065)</f>
        <v>1168.75</v>
      </c>
      <c r="EN42" s="53" t="n">
        <f aca="false">EM42/0.65</f>
        <v>1798.07692307692</v>
      </c>
      <c r="EO42" s="54" t="n">
        <f aca="false">EN42*0.0225+500</f>
        <v>540.456730769231</v>
      </c>
      <c r="EP42" s="55" t="n">
        <f aca="false">EN42+EO42</f>
        <v>2338.53365384615</v>
      </c>
      <c r="EQ42" s="54" t="n">
        <f aca="false">EP42-(2_Market_Gross_USD!E40+35)</f>
        <v>1053.53365384615</v>
      </c>
      <c r="ER42" s="64" t="n">
        <f aca="false">IFERROR(EP42/(2_Market_Gross_USD!E40+35),0)</f>
        <v>1.8198705477402</v>
      </c>
    </row>
    <row r="43" customFormat="false" ht="15" hidden="false" customHeight="false" outlineLevel="0" collapsed="false">
      <c r="A43" s="41" t="n">
        <v>38</v>
      </c>
      <c r="B43" s="28" t="s">
        <v>272</v>
      </c>
      <c r="C43" s="8" t="s">
        <v>274</v>
      </c>
      <c r="D43" s="65" t="s">
        <v>249</v>
      </c>
      <c r="E43" s="63" t="n">
        <f aca="false">2_Market_Gross_USD!E41*(1-0.065)</f>
        <v>3740</v>
      </c>
      <c r="F43" s="53" t="n">
        <f aca="false">E43/0.7429</f>
        <v>5034.32494279176</v>
      </c>
      <c r="G43" s="58" t="n">
        <f aca="false">F43*0.2038+0</f>
        <v>1025.99542334096</v>
      </c>
      <c r="H43" s="55" t="n">
        <f aca="false">F43+G43</f>
        <v>6060.32036613272</v>
      </c>
      <c r="I43" s="58" t="n">
        <f aca="false">H43-(2_Market_Gross_USD!E41+35)</f>
        <v>2025.32036613272</v>
      </c>
      <c r="J43" s="66" t="n">
        <f aca="false">IFERROR(H43/(2_Market_Gross_USD!E41+35),0)</f>
        <v>1.50193813287056</v>
      </c>
      <c r="K43" s="63" t="n">
        <f aca="false">2_Market_Gross_USD!E41*(1-0.065)</f>
        <v>3740</v>
      </c>
      <c r="L43" s="53" t="n">
        <f aca="false">K43/0.88</f>
        <v>4250</v>
      </c>
      <c r="M43" s="58" t="n">
        <f aca="false">L43*0+0</f>
        <v>0</v>
      </c>
      <c r="N43" s="55" t="n">
        <f aca="false">L43+M43</f>
        <v>4250</v>
      </c>
      <c r="O43" s="58" t="n">
        <f aca="false">N43-(2_Market_Gross_USD!E41+35)</f>
        <v>215</v>
      </c>
      <c r="P43" s="66" t="n">
        <f aca="false">IFERROR(N43/(2_Market_Gross_USD!E41+35),0)</f>
        <v>1.05328376703841</v>
      </c>
      <c r="Q43" s="63" t="n">
        <f aca="false">2_Market_Gross_USD!E41*(1-0.065)</f>
        <v>3740</v>
      </c>
      <c r="R43" s="53" t="n">
        <f aca="false">Q43/0.7429</f>
        <v>5034.32494279176</v>
      </c>
      <c r="S43" s="58" t="n">
        <f aca="false">R43*0.2038+500</f>
        <v>1525.99542334096</v>
      </c>
      <c r="T43" s="55" t="n">
        <f aca="false">R43+S43</f>
        <v>6560.32036613272</v>
      </c>
      <c r="U43" s="58" t="n">
        <f aca="false">T43-(2_Market_Gross_USD!E41+35)</f>
        <v>2525.32036613272</v>
      </c>
      <c r="V43" s="66" t="n">
        <f aca="false">IFERROR(T43/(2_Market_Gross_USD!E41+35),0)</f>
        <v>1.6258538701692</v>
      </c>
      <c r="W43" s="63" t="n">
        <f aca="false">2_Market_Gross_USD!E41*(1-0.065)</f>
        <v>3740</v>
      </c>
      <c r="X43" s="53" t="n">
        <f aca="false">W43/0.72</f>
        <v>5194.44444444444</v>
      </c>
      <c r="Y43" s="58" t="n">
        <f aca="false">X43*0.15+0</f>
        <v>779.166666666667</v>
      </c>
      <c r="Z43" s="55" t="n">
        <f aca="false">X43+Y43</f>
        <v>5973.61111111111</v>
      </c>
      <c r="AA43" s="58" t="n">
        <f aca="false">Z43-(2_Market_Gross_USD!E41+35)</f>
        <v>1938.61111111111</v>
      </c>
      <c r="AB43" s="66" t="n">
        <f aca="false">IFERROR(Z43/(2_Market_Gross_USD!E41+35),0)</f>
        <v>1.48044885033733</v>
      </c>
      <c r="AC43" s="63" t="n">
        <f aca="false">2_Market_Gross_USD!E41*(1-0.065)</f>
        <v>3740</v>
      </c>
      <c r="AD43" s="53" t="n">
        <f aca="false">AC43/0.81</f>
        <v>4617.28395061728</v>
      </c>
      <c r="AE43" s="58" t="n">
        <f aca="false">AD43*0+0</f>
        <v>0</v>
      </c>
      <c r="AF43" s="55" t="n">
        <f aca="false">AD43+AE43</f>
        <v>4617.28395061728</v>
      </c>
      <c r="AG43" s="58" t="n">
        <f aca="false">AF43-(2_Market_Gross_USD!E41+35)</f>
        <v>582.283950617284</v>
      </c>
      <c r="AH43" s="66" t="n">
        <f aca="false">IFERROR(AF43/(2_Market_Gross_USD!E41+35),0)</f>
        <v>1.14430829011581</v>
      </c>
      <c r="AI43" s="63" t="n">
        <f aca="false">2_Market_Gross_USD!E41*(1-0.065)</f>
        <v>3740</v>
      </c>
      <c r="AJ43" s="53" t="n">
        <f aca="false">AI43/0.72</f>
        <v>5194.44444444444</v>
      </c>
      <c r="AK43" s="58" t="n">
        <f aca="false">AJ43*0.15+500</f>
        <v>1279.16666666667</v>
      </c>
      <c r="AL43" s="55" t="n">
        <f aca="false">AJ43+AK43</f>
        <v>6473.61111111111</v>
      </c>
      <c r="AM43" s="58" t="n">
        <f aca="false">AL43-(2_Market_Gross_USD!E41+35)</f>
        <v>2438.61111111111</v>
      </c>
      <c r="AN43" s="66" t="n">
        <f aca="false">IFERROR(AL43/(2_Market_Gross_USD!E41+35),0)</f>
        <v>1.60436458763596</v>
      </c>
      <c r="AO43" s="63" t="n">
        <f aca="false">2_Market_Gross_USD!E41*(1-0.065)</f>
        <v>3740</v>
      </c>
      <c r="AP43" s="53" t="n">
        <f aca="false">AO43/0.7035</f>
        <v>5316.27576403696</v>
      </c>
      <c r="AQ43" s="58" t="n">
        <f aca="false">AP43*0.11+0</f>
        <v>584.790334044065</v>
      </c>
      <c r="AR43" s="55" t="n">
        <f aca="false">AP43+AQ43</f>
        <v>5901.06609808102</v>
      </c>
      <c r="AS43" s="58" t="n">
        <f aca="false">AR43-(2_Market_Gross_USD!E41+35)</f>
        <v>1866.06609808102</v>
      </c>
      <c r="AT43" s="66" t="n">
        <f aca="false">IFERROR(AR43/(2_Market_Gross_USD!E41+35),0)</f>
        <v>1.4624699127834</v>
      </c>
      <c r="AU43" s="63" t="n">
        <f aca="false">2_Market_Gross_USD!E41*(1-0.065)</f>
        <v>3740</v>
      </c>
      <c r="AV43" s="53" t="n">
        <f aca="false">AU43/0.627</f>
        <v>5964.91228070176</v>
      </c>
      <c r="AW43" s="58" t="n">
        <f aca="false">AV43*0+0</f>
        <v>0</v>
      </c>
      <c r="AX43" s="55" t="n">
        <f aca="false">AV43+AW43</f>
        <v>5964.91228070176</v>
      </c>
      <c r="AY43" s="58" t="n">
        <f aca="false">AX43-(2_Market_Gross_USD!E41+35)</f>
        <v>1929.91228070175</v>
      </c>
      <c r="AZ43" s="66" t="n">
        <f aca="false">IFERROR(AX43/(2_Market_Gross_USD!E41+35),0)</f>
        <v>1.4782930063697</v>
      </c>
      <c r="BA43" s="63" t="n">
        <f aca="false">2_Market_Gross_USD!E41*(1-0.065)</f>
        <v>3740</v>
      </c>
      <c r="BB43" s="53" t="n">
        <f aca="false">BA43/0.7035</f>
        <v>5316.27576403696</v>
      </c>
      <c r="BC43" s="58" t="n">
        <f aca="false">BB43*0.11+500</f>
        <v>1084.79033404407</v>
      </c>
      <c r="BD43" s="55" t="n">
        <f aca="false">BB43+BC43</f>
        <v>6401.06609808102</v>
      </c>
      <c r="BE43" s="58" t="n">
        <f aca="false">BD43-(2_Market_Gross_USD!E41+35)</f>
        <v>2366.06609808102</v>
      </c>
      <c r="BF43" s="66" t="n">
        <f aca="false">IFERROR(BD43/(2_Market_Gross_USD!E41+35),0)</f>
        <v>1.58638565008204</v>
      </c>
      <c r="BG43" s="63" t="n">
        <f aca="false">2_Market_Gross_USD!E41*(1-0.065)</f>
        <v>3740</v>
      </c>
      <c r="BH43" s="53" t="n">
        <f aca="false">BG43/0.5215</f>
        <v>7171.62032598274</v>
      </c>
      <c r="BI43" s="58" t="n">
        <f aca="false">BH43*0.21+0</f>
        <v>1506.04026845638</v>
      </c>
      <c r="BJ43" s="55" t="n">
        <f aca="false">BH43+BI43</f>
        <v>8677.66059443912</v>
      </c>
      <c r="BK43" s="58" t="n">
        <f aca="false">BJ43-(2_Market_Gross_USD!E41+35)</f>
        <v>4642.66059443912</v>
      </c>
      <c r="BL43" s="66" t="n">
        <f aca="false">IFERROR(BJ43/(2_Market_Gross_USD!E41+35),0)</f>
        <v>2.1505974211745</v>
      </c>
      <c r="BM43" s="63" t="n">
        <f aca="false">2_Market_Gross_USD!E41*(1-0.065)</f>
        <v>3740</v>
      </c>
      <c r="BN43" s="53" t="n">
        <f aca="false">BM43/0.75</f>
        <v>4986.66666666667</v>
      </c>
      <c r="BO43" s="58" t="n">
        <f aca="false">BN43*0+0</f>
        <v>0</v>
      </c>
      <c r="BP43" s="55" t="n">
        <f aca="false">BN43+BO43</f>
        <v>4986.66666666667</v>
      </c>
      <c r="BQ43" s="58" t="n">
        <f aca="false">BP43-(2_Market_Gross_USD!E41+35)</f>
        <v>951.666666666667</v>
      </c>
      <c r="BR43" s="66" t="n">
        <f aca="false">IFERROR(BP43/(2_Market_Gross_USD!E41+35),0)</f>
        <v>1.23585295332507</v>
      </c>
      <c r="BS43" s="63" t="n">
        <f aca="false">2_Market_Gross_USD!E41*(1-0.065)</f>
        <v>3740</v>
      </c>
      <c r="BT43" s="53" t="n">
        <f aca="false">BS43/0.5215</f>
        <v>7171.62032598274</v>
      </c>
      <c r="BU43" s="58" t="n">
        <f aca="false">BT43*0.21+500</f>
        <v>2006.04026845638</v>
      </c>
      <c r="BV43" s="55" t="n">
        <f aca="false">BT43+BU43</f>
        <v>9177.66059443912</v>
      </c>
      <c r="BW43" s="58" t="n">
        <f aca="false">BV43-(2_Market_Gross_USD!E41+35)</f>
        <v>5142.66059443912</v>
      </c>
      <c r="BX43" s="66" t="n">
        <f aca="false">IFERROR(BV43/(2_Market_Gross_USD!E41+35),0)</f>
        <v>2.27451315847314</v>
      </c>
      <c r="BY43" s="63" t="n">
        <f aca="false">2_Market_Gross_USD!E41*(1-0.065)</f>
        <v>3740</v>
      </c>
      <c r="BZ43" s="53" t="n">
        <f aca="false">BY43/0.6303</f>
        <v>5933.68237347295</v>
      </c>
      <c r="CA43" s="58" t="n">
        <f aca="false">BZ43*0.2+0</f>
        <v>1186.73647469459</v>
      </c>
      <c r="CB43" s="55" t="n">
        <f aca="false">BZ43+CA43</f>
        <v>7120.41884816754</v>
      </c>
      <c r="CC43" s="58" t="n">
        <f aca="false">CB43-(2_Market_Gross_USD!E41+35)</f>
        <v>3085.41884816754</v>
      </c>
      <c r="CD43" s="66" t="n">
        <f aca="false">IFERROR(CB43/(2_Market_Gross_USD!E41+35),0)</f>
        <v>1.76466390289158</v>
      </c>
      <c r="CE43" s="63" t="n">
        <f aca="false">2_Market_Gross_USD!E41*(1-0.065)</f>
        <v>3740</v>
      </c>
      <c r="CF43" s="53" t="n">
        <f aca="false">CE43/0.6303</f>
        <v>5933.68237347295</v>
      </c>
      <c r="CG43" s="58" t="n">
        <f aca="false">CF43*0+0</f>
        <v>0</v>
      </c>
      <c r="CH43" s="55" t="n">
        <f aca="false">CF43+CG43</f>
        <v>5933.68237347295</v>
      </c>
      <c r="CI43" s="58" t="n">
        <f aca="false">CH43-(2_Market_Gross_USD!E41+35)</f>
        <v>1898.68237347295</v>
      </c>
      <c r="CJ43" s="66" t="n">
        <f aca="false">IFERROR(CH43/(2_Market_Gross_USD!E41+35),0)</f>
        <v>1.47055325240965</v>
      </c>
      <c r="CK43" s="63" t="n">
        <f aca="false">2_Market_Gross_USD!E41*(1-0.065)</f>
        <v>3740</v>
      </c>
      <c r="CL43" s="53" t="n">
        <f aca="false">CK43/0.6303</f>
        <v>5933.68237347295</v>
      </c>
      <c r="CM43" s="58" t="n">
        <f aca="false">CL43*0.2+500</f>
        <v>1686.73647469459</v>
      </c>
      <c r="CN43" s="55" t="n">
        <f aca="false">CL43+CM43</f>
        <v>7620.41884816754</v>
      </c>
      <c r="CO43" s="58" t="n">
        <f aca="false">CN43-(2_Market_Gross_USD!E41+35)</f>
        <v>3585.41884816754</v>
      </c>
      <c r="CP43" s="66" t="n">
        <f aca="false">IFERROR(CN43/(2_Market_Gross_USD!E41+35),0)</f>
        <v>1.88857964019022</v>
      </c>
      <c r="CQ43" s="63" t="n">
        <f aca="false">2_Market_Gross_USD!E41*(1-0.065)</f>
        <v>3740</v>
      </c>
      <c r="CR43" s="53" t="n">
        <f aca="false">CQ43/0.74</f>
        <v>5054.05405405405</v>
      </c>
      <c r="CS43" s="58" t="n">
        <f aca="false">CR43*0.338+0</f>
        <v>1708.27027027027</v>
      </c>
      <c r="CT43" s="55" t="n">
        <f aca="false">CR43+CS43</f>
        <v>6762.32432432433</v>
      </c>
      <c r="CU43" s="58" t="n">
        <f aca="false">CT43-(2_Market_Gross_USD!E41+35)</f>
        <v>2727.32432432433</v>
      </c>
      <c r="CV43" s="66" t="n">
        <f aca="false">IFERROR(CT43/(2_Market_Gross_USD!E41+35),0)</f>
        <v>1.67591680900231</v>
      </c>
      <c r="CW43" s="63" t="n">
        <f aca="false">2_Market_Gross_USD!E41*(1-0.065)</f>
        <v>3740</v>
      </c>
      <c r="CX43" s="53" t="n">
        <f aca="false">CW43/0.85</f>
        <v>4400</v>
      </c>
      <c r="CY43" s="58" t="n">
        <f aca="false">CX43*0+0</f>
        <v>0</v>
      </c>
      <c r="CZ43" s="55" t="n">
        <f aca="false">CX43+CY43</f>
        <v>4400</v>
      </c>
      <c r="DA43" s="58" t="n">
        <f aca="false">CZ43-(2_Market_Gross_USD!E41+35)</f>
        <v>365</v>
      </c>
      <c r="DB43" s="66" t="n">
        <f aca="false">IFERROR(CZ43/(2_Market_Gross_USD!E41+35),0)</f>
        <v>1.09045848822801</v>
      </c>
      <c r="DC43" s="63" t="n">
        <f aca="false">2_Market_Gross_USD!E41*(1-0.065)</f>
        <v>3740</v>
      </c>
      <c r="DD43" s="53" t="n">
        <f aca="false">DC43/0.74</f>
        <v>5054.05405405405</v>
      </c>
      <c r="DE43" s="58" t="n">
        <f aca="false">DD43*0.338+500</f>
        <v>2208.27027027027</v>
      </c>
      <c r="DF43" s="55" t="n">
        <f aca="false">DD43+DE43</f>
        <v>7262.32432432433</v>
      </c>
      <c r="DG43" s="58" t="n">
        <f aca="false">DF43-(2_Market_Gross_USD!E41+35)</f>
        <v>3227.32432432433</v>
      </c>
      <c r="DH43" s="66" t="n">
        <f aca="false">IFERROR(DF43/(2_Market_Gross_USD!E41+35),0)</f>
        <v>1.79983254630095</v>
      </c>
      <c r="DI43" s="63" t="n">
        <f aca="false">2_Market_Gross_USD!E41*(1-0.065)</f>
        <v>3740</v>
      </c>
      <c r="DJ43" s="53" t="n">
        <f aca="false">DI43/0.66</f>
        <v>5666.66666666667</v>
      </c>
      <c r="DK43" s="58" t="n">
        <f aca="false">DJ43*0.2375+0</f>
        <v>1345.83333333333</v>
      </c>
      <c r="DL43" s="55" t="n">
        <f aca="false">DJ43+DK43</f>
        <v>7012.5</v>
      </c>
      <c r="DM43" s="58" t="n">
        <f aca="false">DL43-(2_Market_Gross_USD!E41+35)</f>
        <v>2977.5</v>
      </c>
      <c r="DN43" s="66" t="n">
        <f aca="false">IFERROR(DL43/(2_Market_Gross_USD!E41+35),0)</f>
        <v>1.73791821561338</v>
      </c>
      <c r="DO43" s="63" t="n">
        <f aca="false">2_Market_Gross_USD!E41*(1-0.065)</f>
        <v>3740</v>
      </c>
      <c r="DP43" s="53" t="n">
        <f aca="false">DO43/0.8</f>
        <v>4675</v>
      </c>
      <c r="DQ43" s="58" t="n">
        <f aca="false">DP43*0+0</f>
        <v>0</v>
      </c>
      <c r="DR43" s="55" t="n">
        <f aca="false">DP43+DQ43</f>
        <v>4675</v>
      </c>
      <c r="DS43" s="58" t="n">
        <f aca="false">DR43-(2_Market_Gross_USD!E41+35)</f>
        <v>640</v>
      </c>
      <c r="DT43" s="66" t="n">
        <f aca="false">IFERROR(DR43/(2_Market_Gross_USD!E41+35),0)</f>
        <v>1.15861214374226</v>
      </c>
      <c r="DU43" s="63" t="n">
        <f aca="false">2_Market_Gross_USD!E41*(1-0.065)</f>
        <v>3740</v>
      </c>
      <c r="DV43" s="53" t="n">
        <f aca="false">DU43/0.66</f>
        <v>5666.66666666667</v>
      </c>
      <c r="DW43" s="58" t="n">
        <f aca="false">DV43*0.2375+500</f>
        <v>1845.83333333333</v>
      </c>
      <c r="DX43" s="55" t="n">
        <f aca="false">DV43+DW43</f>
        <v>7512.5</v>
      </c>
      <c r="DY43" s="58" t="n">
        <f aca="false">DX43-(2_Market_Gross_USD!E41+35)</f>
        <v>3477.5</v>
      </c>
      <c r="DZ43" s="66" t="n">
        <f aca="false">IFERROR(DX43/(2_Market_Gross_USD!E41+35),0)</f>
        <v>1.86183395291202</v>
      </c>
      <c r="EA43" s="63" t="n">
        <f aca="false">2_Market_Gross_USD!E41*(1-0.065)</f>
        <v>3740</v>
      </c>
      <c r="EB43" s="53" t="n">
        <f aca="false">EA43/0.65</f>
        <v>5753.84615384615</v>
      </c>
      <c r="EC43" s="58" t="n">
        <f aca="false">EB43*0.0225+0</f>
        <v>129.461538461538</v>
      </c>
      <c r="ED43" s="55" t="n">
        <f aca="false">EB43+EC43</f>
        <v>5883.30769230769</v>
      </c>
      <c r="EE43" s="58" t="n">
        <f aca="false">ED43-(2_Market_Gross_USD!E41+35)</f>
        <v>1848.30769230769</v>
      </c>
      <c r="EF43" s="66" t="n">
        <f aca="false">IFERROR(ED43/(2_Market_Gross_USD!E41+35),0)</f>
        <v>1.4580688208941</v>
      </c>
      <c r="EG43" s="63" t="n">
        <f aca="false">2_Market_Gross_USD!E41*(1-0.065)</f>
        <v>3740</v>
      </c>
      <c r="EH43" s="53" t="n">
        <f aca="false">EG43/0.99</f>
        <v>3777.77777777778</v>
      </c>
      <c r="EI43" s="58" t="n">
        <f aca="false">EH43*0+0</f>
        <v>0</v>
      </c>
      <c r="EJ43" s="55" t="n">
        <f aca="false">EH43+EI43</f>
        <v>3777.77777777778</v>
      </c>
      <c r="EK43" s="58" t="n">
        <f aca="false">EJ43-(2_Market_Gross_USD!E41+35)</f>
        <v>-257.222222222222</v>
      </c>
      <c r="EL43" s="66" t="n">
        <f aca="false">IFERROR(EJ43/(2_Market_Gross_USD!E41+35),0)</f>
        <v>0.936252237367479</v>
      </c>
      <c r="EM43" s="63" t="n">
        <f aca="false">2_Market_Gross_USD!E41*(1-0.065)</f>
        <v>3740</v>
      </c>
      <c r="EN43" s="53" t="n">
        <f aca="false">EM43/0.65</f>
        <v>5753.84615384615</v>
      </c>
      <c r="EO43" s="58" t="n">
        <f aca="false">EN43*0.0225+500</f>
        <v>629.461538461539</v>
      </c>
      <c r="EP43" s="55" t="n">
        <f aca="false">EN43+EO43</f>
        <v>6383.30769230769</v>
      </c>
      <c r="EQ43" s="58" t="n">
        <f aca="false">EP43-(2_Market_Gross_USD!E41+35)</f>
        <v>2348.30769230769</v>
      </c>
      <c r="ER43" s="66" t="n">
        <f aca="false">IFERROR(EP43/(2_Market_Gross_USD!E41+35),0)</f>
        <v>1.58198455819274</v>
      </c>
    </row>
    <row r="44" customFormat="false" ht="15" hidden="false" customHeight="false" outlineLevel="0" collapsed="false">
      <c r="A44" s="37" t="n">
        <v>39</v>
      </c>
      <c r="B44" s="32" t="s">
        <v>272</v>
      </c>
      <c r="C44" s="32" t="s">
        <v>275</v>
      </c>
      <c r="D44" s="62" t="s">
        <v>248</v>
      </c>
      <c r="E44" s="63" t="n">
        <f aca="false">2_Market_Gross_USD!E42*(1-0.065)</f>
        <v>1168.75</v>
      </c>
      <c r="F44" s="53" t="n">
        <f aca="false">E44/0.7429</f>
        <v>1573.22654462243</v>
      </c>
      <c r="G44" s="54" t="n">
        <f aca="false">F44*0.2038+0</f>
        <v>320.62356979405</v>
      </c>
      <c r="H44" s="55" t="n">
        <f aca="false">F44+G44</f>
        <v>1893.85011441648</v>
      </c>
      <c r="I44" s="54" t="n">
        <f aca="false">H44-(2_Market_Gross_USD!E42+35)</f>
        <v>608.850114416476</v>
      </c>
      <c r="J44" s="64" t="n">
        <f aca="false">IFERROR(H44/(2_Market_Gross_USD!E42+35),0)</f>
        <v>1.47381331861204</v>
      </c>
      <c r="K44" s="63" t="n">
        <f aca="false">2_Market_Gross_USD!E42*(1-0.065)</f>
        <v>1168.75</v>
      </c>
      <c r="L44" s="53" t="n">
        <f aca="false">K44/0.88</f>
        <v>1328.125</v>
      </c>
      <c r="M44" s="54" t="n">
        <f aca="false">L44*0+0</f>
        <v>0</v>
      </c>
      <c r="N44" s="55" t="n">
        <f aca="false">L44+M44</f>
        <v>1328.125</v>
      </c>
      <c r="O44" s="54" t="n">
        <f aca="false">N44-(2_Market_Gross_USD!E42+35)</f>
        <v>43.125</v>
      </c>
      <c r="P44" s="64" t="n">
        <f aca="false">IFERROR(N44/(2_Market_Gross_USD!E42+35),0)</f>
        <v>1.03356031128405</v>
      </c>
      <c r="Q44" s="63" t="n">
        <f aca="false">2_Market_Gross_USD!E42*(1-0.065)</f>
        <v>1168.75</v>
      </c>
      <c r="R44" s="53" t="n">
        <f aca="false">Q44/0.7429</f>
        <v>1573.22654462243</v>
      </c>
      <c r="S44" s="54" t="n">
        <f aca="false">R44*0.2038+500</f>
        <v>820.62356979405</v>
      </c>
      <c r="T44" s="55" t="n">
        <f aca="false">R44+S44</f>
        <v>2393.85011441648</v>
      </c>
      <c r="U44" s="54" t="n">
        <f aca="false">T44-(2_Market_Gross_USD!E42+35)</f>
        <v>1108.85011441648</v>
      </c>
      <c r="V44" s="64" t="n">
        <f aca="false">IFERROR(T44/(2_Market_Gross_USD!E42+35),0)</f>
        <v>1.8629183769778</v>
      </c>
      <c r="W44" s="63" t="n">
        <f aca="false">2_Market_Gross_USD!E42*(1-0.065)</f>
        <v>1168.75</v>
      </c>
      <c r="X44" s="53" t="n">
        <f aca="false">W44/0.72</f>
        <v>1623.26388888889</v>
      </c>
      <c r="Y44" s="54" t="n">
        <f aca="false">X44*0.15+0</f>
        <v>243.489583333333</v>
      </c>
      <c r="Z44" s="55" t="n">
        <f aca="false">X44+Y44</f>
        <v>1866.75347222222</v>
      </c>
      <c r="AA44" s="54" t="n">
        <f aca="false">Z44-(2_Market_Gross_USD!E42+35)</f>
        <v>581.753472222222</v>
      </c>
      <c r="AB44" s="64" t="n">
        <f aca="false">IFERROR(Z44/(2_Market_Gross_USD!E42+35),0)</f>
        <v>1.45272643752702</v>
      </c>
      <c r="AC44" s="63" t="n">
        <f aca="false">2_Market_Gross_USD!E42*(1-0.065)</f>
        <v>1168.75</v>
      </c>
      <c r="AD44" s="53" t="n">
        <f aca="false">AC44/0.81</f>
        <v>1442.9012345679</v>
      </c>
      <c r="AE44" s="54" t="n">
        <f aca="false">AD44*0+0</f>
        <v>0</v>
      </c>
      <c r="AF44" s="55" t="n">
        <f aca="false">AD44+AE44</f>
        <v>1442.9012345679</v>
      </c>
      <c r="AG44" s="54" t="n">
        <f aca="false">AF44-(2_Market_Gross_USD!E42+35)</f>
        <v>157.901234567901</v>
      </c>
      <c r="AH44" s="64" t="n">
        <f aca="false">IFERROR(AF44/(2_Market_Gross_USD!E42+35),0)</f>
        <v>1.12288033818514</v>
      </c>
      <c r="AI44" s="63" t="n">
        <f aca="false">2_Market_Gross_USD!E42*(1-0.065)</f>
        <v>1168.75</v>
      </c>
      <c r="AJ44" s="53" t="n">
        <f aca="false">AI44/0.72</f>
        <v>1623.26388888889</v>
      </c>
      <c r="AK44" s="54" t="n">
        <f aca="false">AJ44*0.15+500</f>
        <v>743.489583333333</v>
      </c>
      <c r="AL44" s="55" t="n">
        <f aca="false">AJ44+AK44</f>
        <v>2366.75347222222</v>
      </c>
      <c r="AM44" s="54" t="n">
        <f aca="false">AL44-(2_Market_Gross_USD!E42+35)</f>
        <v>1081.75347222222</v>
      </c>
      <c r="AN44" s="64" t="n">
        <f aca="false">IFERROR(AL44/(2_Market_Gross_USD!E42+35),0)</f>
        <v>1.84183149589278</v>
      </c>
      <c r="AO44" s="63" t="n">
        <f aca="false">2_Market_Gross_USD!E42*(1-0.065)</f>
        <v>1168.75</v>
      </c>
      <c r="AP44" s="53" t="n">
        <f aca="false">AO44/0.7035</f>
        <v>1661.33617626155</v>
      </c>
      <c r="AQ44" s="54" t="n">
        <f aca="false">AP44*0.11+0</f>
        <v>182.74697938877</v>
      </c>
      <c r="AR44" s="55" t="n">
        <f aca="false">AP44+AQ44</f>
        <v>1844.08315565032</v>
      </c>
      <c r="AS44" s="54" t="n">
        <f aca="false">AR44-(2_Market_Gross_USD!E42+35)</f>
        <v>559.08315565032</v>
      </c>
      <c r="AT44" s="64" t="n">
        <f aca="false">IFERROR(AR44/(2_Market_Gross_USD!E42+35),0)</f>
        <v>1.43508416782126</v>
      </c>
      <c r="AU44" s="63" t="n">
        <f aca="false">2_Market_Gross_USD!E42*(1-0.065)</f>
        <v>1168.75</v>
      </c>
      <c r="AV44" s="53" t="n">
        <f aca="false">AU44/0.627</f>
        <v>1864.0350877193</v>
      </c>
      <c r="AW44" s="54" t="n">
        <f aca="false">AV44*0+0</f>
        <v>0</v>
      </c>
      <c r="AX44" s="55" t="n">
        <f aca="false">AV44+AW44</f>
        <v>1864.0350877193</v>
      </c>
      <c r="AY44" s="54" t="n">
        <f aca="false">AX44-(2_Market_Gross_USD!E42+35)</f>
        <v>579.035087719298</v>
      </c>
      <c r="AZ44" s="64" t="n">
        <f aca="false">IFERROR(AX44/(2_Market_Gross_USD!E42+35),0)</f>
        <v>1.45061096320568</v>
      </c>
      <c r="BA44" s="63" t="n">
        <f aca="false">2_Market_Gross_USD!E42*(1-0.065)</f>
        <v>1168.75</v>
      </c>
      <c r="BB44" s="53" t="n">
        <f aca="false">BA44/0.7035</f>
        <v>1661.33617626155</v>
      </c>
      <c r="BC44" s="54" t="n">
        <f aca="false">BB44*0.11+500</f>
        <v>682.746979388771</v>
      </c>
      <c r="BD44" s="55" t="n">
        <f aca="false">BB44+BC44</f>
        <v>2344.08315565032</v>
      </c>
      <c r="BE44" s="54" t="n">
        <f aca="false">BD44-(2_Market_Gross_USD!E42+35)</f>
        <v>1059.08315565032</v>
      </c>
      <c r="BF44" s="64" t="n">
        <f aca="false">IFERROR(BD44/(2_Market_Gross_USD!E42+35),0)</f>
        <v>1.82418922618702</v>
      </c>
      <c r="BG44" s="63" t="n">
        <f aca="false">2_Market_Gross_USD!E42*(1-0.065)</f>
        <v>1168.75</v>
      </c>
      <c r="BH44" s="53" t="n">
        <f aca="false">BG44/0.5215</f>
        <v>2241.13135186961</v>
      </c>
      <c r="BI44" s="54" t="n">
        <f aca="false">BH44*0.21+0</f>
        <v>470.637583892617</v>
      </c>
      <c r="BJ44" s="55" t="n">
        <f aca="false">BH44+BI44</f>
        <v>2711.76893576222</v>
      </c>
      <c r="BK44" s="54" t="n">
        <f aca="false">BJ44-(2_Market_Gross_USD!E42+35)</f>
        <v>1426.76893576222</v>
      </c>
      <c r="BL44" s="64" t="n">
        <f aca="false">IFERROR(BJ44/(2_Market_Gross_USD!E42+35),0)</f>
        <v>2.11032602004842</v>
      </c>
      <c r="BM44" s="63" t="n">
        <f aca="false">2_Market_Gross_USD!E42*(1-0.065)</f>
        <v>1168.75</v>
      </c>
      <c r="BN44" s="53" t="n">
        <f aca="false">BM44/0.75</f>
        <v>1558.33333333333</v>
      </c>
      <c r="BO44" s="54" t="n">
        <f aca="false">BN44*0+0</f>
        <v>0</v>
      </c>
      <c r="BP44" s="55" t="n">
        <f aca="false">BN44+BO44</f>
        <v>1558.33333333333</v>
      </c>
      <c r="BQ44" s="54" t="n">
        <f aca="false">BP44-(2_Market_Gross_USD!E42+35)</f>
        <v>273.333333333333</v>
      </c>
      <c r="BR44" s="64" t="n">
        <f aca="false">IFERROR(BP44/(2_Market_Gross_USD!E42+35),0)</f>
        <v>1.21271076523995</v>
      </c>
      <c r="BS44" s="63" t="n">
        <f aca="false">2_Market_Gross_USD!E42*(1-0.065)</f>
        <v>1168.75</v>
      </c>
      <c r="BT44" s="53" t="n">
        <f aca="false">BS44/0.5215</f>
        <v>2241.13135186961</v>
      </c>
      <c r="BU44" s="54" t="n">
        <f aca="false">BT44*0.21+500</f>
        <v>970.637583892617</v>
      </c>
      <c r="BV44" s="55" t="n">
        <f aca="false">BT44+BU44</f>
        <v>3211.76893576222</v>
      </c>
      <c r="BW44" s="54" t="n">
        <f aca="false">BV44-(2_Market_Gross_USD!E42+35)</f>
        <v>1926.76893576222</v>
      </c>
      <c r="BX44" s="64" t="n">
        <f aca="false">IFERROR(BV44/(2_Market_Gross_USD!E42+35),0)</f>
        <v>2.49943107841418</v>
      </c>
      <c r="BY44" s="63" t="n">
        <f aca="false">2_Market_Gross_USD!E42*(1-0.065)</f>
        <v>1168.75</v>
      </c>
      <c r="BZ44" s="53" t="n">
        <f aca="false">BY44/0.6303</f>
        <v>1854.2757417103</v>
      </c>
      <c r="CA44" s="54" t="n">
        <f aca="false">BZ44*0.2+0</f>
        <v>370.855148342059</v>
      </c>
      <c r="CB44" s="55" t="n">
        <f aca="false">BZ44+CA44</f>
        <v>2225.13089005236</v>
      </c>
      <c r="CC44" s="54" t="n">
        <f aca="false">CB44-(2_Market_Gross_USD!E42+35)</f>
        <v>940.130890052356</v>
      </c>
      <c r="CD44" s="64" t="n">
        <f aca="false">IFERROR(CB44/(2_Market_Gross_USD!E42+35),0)</f>
        <v>1.73161936969055</v>
      </c>
      <c r="CE44" s="63" t="n">
        <f aca="false">2_Market_Gross_USD!E42*(1-0.065)</f>
        <v>1168.75</v>
      </c>
      <c r="CF44" s="53" t="n">
        <f aca="false">CE44/0.6303</f>
        <v>1854.2757417103</v>
      </c>
      <c r="CG44" s="54" t="n">
        <f aca="false">CF44*0+0</f>
        <v>0</v>
      </c>
      <c r="CH44" s="55" t="n">
        <f aca="false">CF44+CG44</f>
        <v>1854.2757417103</v>
      </c>
      <c r="CI44" s="54" t="n">
        <f aca="false">CH44-(2_Market_Gross_USD!E42+35)</f>
        <v>569.275741710297</v>
      </c>
      <c r="CJ44" s="64" t="n">
        <f aca="false">IFERROR(CH44/(2_Market_Gross_USD!E42+35),0)</f>
        <v>1.44301614140879</v>
      </c>
      <c r="CK44" s="63" t="n">
        <f aca="false">2_Market_Gross_USD!E42*(1-0.065)</f>
        <v>1168.75</v>
      </c>
      <c r="CL44" s="53" t="n">
        <f aca="false">CK44/0.6303</f>
        <v>1854.2757417103</v>
      </c>
      <c r="CM44" s="54" t="n">
        <f aca="false">CL44*0.2+500</f>
        <v>870.85514834206</v>
      </c>
      <c r="CN44" s="55" t="n">
        <f aca="false">CL44+CM44</f>
        <v>2725.13089005236</v>
      </c>
      <c r="CO44" s="54" t="n">
        <f aca="false">CN44-(2_Market_Gross_USD!E42+35)</f>
        <v>1440.13089005236</v>
      </c>
      <c r="CP44" s="64" t="n">
        <f aca="false">IFERROR(CN44/(2_Market_Gross_USD!E42+35),0)</f>
        <v>2.12072442805631</v>
      </c>
      <c r="CQ44" s="63" t="n">
        <f aca="false">2_Market_Gross_USD!E42*(1-0.065)</f>
        <v>1168.75</v>
      </c>
      <c r="CR44" s="53" t="n">
        <f aca="false">CQ44/0.74</f>
        <v>1579.39189189189</v>
      </c>
      <c r="CS44" s="54" t="n">
        <f aca="false">CR44*0.338+0</f>
        <v>533.83445945946</v>
      </c>
      <c r="CT44" s="55" t="n">
        <f aca="false">CR44+CS44</f>
        <v>2113.22635135135</v>
      </c>
      <c r="CU44" s="54" t="n">
        <f aca="false">CT44-(2_Market_Gross_USD!E42+35)</f>
        <v>828.226351351351</v>
      </c>
      <c r="CV44" s="64" t="n">
        <f aca="false">IFERROR(CT44/(2_Market_Gross_USD!E42+35),0)</f>
        <v>1.64453412556525</v>
      </c>
      <c r="CW44" s="63" t="n">
        <f aca="false">2_Market_Gross_USD!E42*(1-0.065)</f>
        <v>1168.75</v>
      </c>
      <c r="CX44" s="53" t="n">
        <f aca="false">CW44/0.85</f>
        <v>1375</v>
      </c>
      <c r="CY44" s="54" t="n">
        <f aca="false">CX44*0+0</f>
        <v>0</v>
      </c>
      <c r="CZ44" s="55" t="n">
        <f aca="false">CX44+CY44</f>
        <v>1375</v>
      </c>
      <c r="DA44" s="54" t="n">
        <f aca="false">CZ44-(2_Market_Gross_USD!E42+35)</f>
        <v>90</v>
      </c>
      <c r="DB44" s="64" t="n">
        <f aca="false">IFERROR(CZ44/(2_Market_Gross_USD!E42+35),0)</f>
        <v>1.07003891050584</v>
      </c>
      <c r="DC44" s="63" t="n">
        <f aca="false">2_Market_Gross_USD!E42*(1-0.065)</f>
        <v>1168.75</v>
      </c>
      <c r="DD44" s="53" t="n">
        <f aca="false">DC44/0.74</f>
        <v>1579.39189189189</v>
      </c>
      <c r="DE44" s="54" t="n">
        <f aca="false">DD44*0.338+500</f>
        <v>1033.83445945946</v>
      </c>
      <c r="DF44" s="55" t="n">
        <f aca="false">DD44+DE44</f>
        <v>2613.22635135135</v>
      </c>
      <c r="DG44" s="54" t="n">
        <f aca="false">DF44-(2_Market_Gross_USD!E42+35)</f>
        <v>1328.22635135135</v>
      </c>
      <c r="DH44" s="64" t="n">
        <f aca="false">IFERROR(DF44/(2_Market_Gross_USD!E42+35),0)</f>
        <v>2.03363918393101</v>
      </c>
      <c r="DI44" s="63" t="n">
        <f aca="false">2_Market_Gross_USD!E42*(1-0.065)</f>
        <v>1168.75</v>
      </c>
      <c r="DJ44" s="53" t="n">
        <f aca="false">DI44/0.66</f>
        <v>1770.83333333333</v>
      </c>
      <c r="DK44" s="54" t="n">
        <f aca="false">DJ44*0.2375+0</f>
        <v>420.572916666667</v>
      </c>
      <c r="DL44" s="55" t="n">
        <f aca="false">DJ44+DK44</f>
        <v>2191.40625</v>
      </c>
      <c r="DM44" s="54" t="n">
        <f aca="false">DL44-(2_Market_Gross_USD!E42+35)</f>
        <v>906.40625</v>
      </c>
      <c r="DN44" s="64" t="n">
        <f aca="false">IFERROR(DL44/(2_Market_Gross_USD!E42+35),0)</f>
        <v>1.70537451361868</v>
      </c>
      <c r="DO44" s="63" t="n">
        <f aca="false">2_Market_Gross_USD!E42*(1-0.065)</f>
        <v>1168.75</v>
      </c>
      <c r="DP44" s="53" t="n">
        <f aca="false">DO44/0.8</f>
        <v>1460.9375</v>
      </c>
      <c r="DQ44" s="54" t="n">
        <f aca="false">DP44*0+0</f>
        <v>0</v>
      </c>
      <c r="DR44" s="55" t="n">
        <f aca="false">DP44+DQ44</f>
        <v>1460.9375</v>
      </c>
      <c r="DS44" s="54" t="n">
        <f aca="false">DR44-(2_Market_Gross_USD!E42+35)</f>
        <v>175.9375</v>
      </c>
      <c r="DT44" s="64" t="n">
        <f aca="false">IFERROR(DR44/(2_Market_Gross_USD!E42+35),0)</f>
        <v>1.13691634241245</v>
      </c>
      <c r="DU44" s="63" t="n">
        <f aca="false">2_Market_Gross_USD!E42*(1-0.065)</f>
        <v>1168.75</v>
      </c>
      <c r="DV44" s="53" t="n">
        <f aca="false">DU44/0.66</f>
        <v>1770.83333333333</v>
      </c>
      <c r="DW44" s="54" t="n">
        <f aca="false">DV44*0.2375+500</f>
        <v>920.572916666667</v>
      </c>
      <c r="DX44" s="55" t="n">
        <f aca="false">DV44+DW44</f>
        <v>2691.40625</v>
      </c>
      <c r="DY44" s="54" t="n">
        <f aca="false">DX44-(2_Market_Gross_USD!E42+35)</f>
        <v>1406.40625</v>
      </c>
      <c r="DZ44" s="64" t="n">
        <f aca="false">IFERROR(DX44/(2_Market_Gross_USD!E42+35),0)</f>
        <v>2.09447957198444</v>
      </c>
      <c r="EA44" s="63" t="n">
        <f aca="false">2_Market_Gross_USD!E42*(1-0.065)</f>
        <v>1168.75</v>
      </c>
      <c r="EB44" s="53" t="n">
        <f aca="false">EA44/0.65</f>
        <v>1798.07692307692</v>
      </c>
      <c r="EC44" s="54" t="n">
        <f aca="false">EB44*0.0225+0</f>
        <v>40.4567307692308</v>
      </c>
      <c r="ED44" s="55" t="n">
        <f aca="false">EB44+EC44</f>
        <v>1838.53365384615</v>
      </c>
      <c r="EE44" s="54" t="n">
        <f aca="false">ED44-(2_Market_Gross_USD!E42+35)</f>
        <v>553.533653846154</v>
      </c>
      <c r="EF44" s="64" t="n">
        <f aca="false">IFERROR(ED44/(2_Market_Gross_USD!E42+35),0)</f>
        <v>1.43076548937444</v>
      </c>
      <c r="EG44" s="63" t="n">
        <f aca="false">2_Market_Gross_USD!E42*(1-0.065)</f>
        <v>1168.75</v>
      </c>
      <c r="EH44" s="53" t="n">
        <f aca="false">EG44/0.99</f>
        <v>1180.55555555556</v>
      </c>
      <c r="EI44" s="54" t="n">
        <f aca="false">EH44*0+0</f>
        <v>0</v>
      </c>
      <c r="EJ44" s="55" t="n">
        <f aca="false">EH44+EI44</f>
        <v>1180.55555555556</v>
      </c>
      <c r="EK44" s="54" t="n">
        <f aca="false">EJ44-(2_Market_Gross_USD!E42+35)</f>
        <v>-104.444444444444</v>
      </c>
      <c r="EL44" s="64" t="n">
        <f aca="false">IFERROR(EJ44/(2_Market_Gross_USD!E42+35),0)</f>
        <v>0.918720276696931</v>
      </c>
      <c r="EM44" s="63" t="n">
        <f aca="false">2_Market_Gross_USD!E42*(1-0.065)</f>
        <v>1168.75</v>
      </c>
      <c r="EN44" s="53" t="n">
        <f aca="false">EM44/0.65</f>
        <v>1798.07692307692</v>
      </c>
      <c r="EO44" s="54" t="n">
        <f aca="false">EN44*0.0225+500</f>
        <v>540.456730769231</v>
      </c>
      <c r="EP44" s="55" t="n">
        <f aca="false">EN44+EO44</f>
        <v>2338.53365384615</v>
      </c>
      <c r="EQ44" s="54" t="n">
        <f aca="false">EP44-(2_Market_Gross_USD!E42+35)</f>
        <v>1053.53365384615</v>
      </c>
      <c r="ER44" s="64" t="n">
        <f aca="false">IFERROR(EP44/(2_Market_Gross_USD!E42+35),0)</f>
        <v>1.8198705477402</v>
      </c>
    </row>
    <row r="45" customFormat="false" ht="15" hidden="false" customHeight="false" outlineLevel="0" collapsed="false">
      <c r="A45" s="41" t="n">
        <v>40</v>
      </c>
      <c r="B45" s="28" t="s">
        <v>272</v>
      </c>
      <c r="C45" s="8" t="s">
        <v>275</v>
      </c>
      <c r="D45" s="65" t="s">
        <v>249</v>
      </c>
      <c r="E45" s="63" t="n">
        <f aca="false">2_Market_Gross_USD!E43*(1-0.065)</f>
        <v>3973.75</v>
      </c>
      <c r="F45" s="53" t="n">
        <f aca="false">E45/0.7429</f>
        <v>5348.97025171625</v>
      </c>
      <c r="G45" s="58" t="n">
        <f aca="false">F45*0.2038+0</f>
        <v>1090.12013729977</v>
      </c>
      <c r="H45" s="55" t="n">
        <f aca="false">F45+G45</f>
        <v>6439.09038901602</v>
      </c>
      <c r="I45" s="58" t="n">
        <f aca="false">H45-(2_Market_Gross_USD!E43+35)</f>
        <v>2154.09038901602</v>
      </c>
      <c r="J45" s="66" t="n">
        <f aca="false">IFERROR(H45/(2_Market_Gross_USD!E43+35),0)</f>
        <v>1.50270487491622</v>
      </c>
      <c r="K45" s="63" t="n">
        <f aca="false">2_Market_Gross_USD!E43*(1-0.065)</f>
        <v>3973.75</v>
      </c>
      <c r="L45" s="53" t="n">
        <f aca="false">K45/0.88</f>
        <v>4515.625</v>
      </c>
      <c r="M45" s="58" t="n">
        <f aca="false">L45*0+0</f>
        <v>0</v>
      </c>
      <c r="N45" s="55" t="n">
        <f aca="false">L45+M45</f>
        <v>4515.625</v>
      </c>
      <c r="O45" s="58" t="n">
        <f aca="false">N45-(2_Market_Gross_USD!E43+35)</f>
        <v>230.625</v>
      </c>
      <c r="P45" s="66" t="n">
        <f aca="false">IFERROR(N45/(2_Market_Gross_USD!E43+35),0)</f>
        <v>1.05382147024504</v>
      </c>
      <c r="Q45" s="63" t="n">
        <f aca="false">2_Market_Gross_USD!E43*(1-0.065)</f>
        <v>3973.75</v>
      </c>
      <c r="R45" s="53" t="n">
        <f aca="false">Q45/0.7429</f>
        <v>5348.97025171625</v>
      </c>
      <c r="S45" s="58" t="n">
        <f aca="false">R45*0.2038+500</f>
        <v>1590.12013729977</v>
      </c>
      <c r="T45" s="55" t="n">
        <f aca="false">R45+S45</f>
        <v>6939.09038901602</v>
      </c>
      <c r="U45" s="58" t="n">
        <f aca="false">T45-(2_Market_Gross_USD!E43+35)</f>
        <v>2654.09038901602</v>
      </c>
      <c r="V45" s="66" t="n">
        <f aca="false">IFERROR(T45/(2_Market_Gross_USD!E43+35),0)</f>
        <v>1.61939098926862</v>
      </c>
      <c r="W45" s="63" t="n">
        <f aca="false">2_Market_Gross_USD!E43*(1-0.065)</f>
        <v>3973.75</v>
      </c>
      <c r="X45" s="53" t="n">
        <f aca="false">W45/0.72</f>
        <v>5519.09722222222</v>
      </c>
      <c r="Y45" s="58" t="n">
        <f aca="false">X45*0.15+0</f>
        <v>827.864583333333</v>
      </c>
      <c r="Z45" s="55" t="n">
        <f aca="false">X45+Y45</f>
        <v>6346.96180555556</v>
      </c>
      <c r="AA45" s="58" t="n">
        <f aca="false">Z45-(2_Market_Gross_USD!E43+35)</f>
        <v>2061.96180555556</v>
      </c>
      <c r="AB45" s="66" t="n">
        <f aca="false">IFERROR(Z45/(2_Market_Gross_USD!E43+35),0)</f>
        <v>1.48120462206664</v>
      </c>
      <c r="AC45" s="63" t="n">
        <f aca="false">2_Market_Gross_USD!E43*(1-0.065)</f>
        <v>3973.75</v>
      </c>
      <c r="AD45" s="53" t="n">
        <f aca="false">AC45/0.81</f>
        <v>4905.86419753086</v>
      </c>
      <c r="AE45" s="58" t="n">
        <f aca="false">AD45*0+0</f>
        <v>0</v>
      </c>
      <c r="AF45" s="55" t="n">
        <f aca="false">AD45+AE45</f>
        <v>4905.86419753086</v>
      </c>
      <c r="AG45" s="58" t="n">
        <f aca="false">AF45-(2_Market_Gross_USD!E43+35)</f>
        <v>620.864197530864</v>
      </c>
      <c r="AH45" s="66" t="n">
        <f aca="false">IFERROR(AF45/(2_Market_Gross_USD!E43+35),0)</f>
        <v>1.14489246150079</v>
      </c>
      <c r="AI45" s="63" t="n">
        <f aca="false">2_Market_Gross_USD!E43*(1-0.065)</f>
        <v>3973.75</v>
      </c>
      <c r="AJ45" s="53" t="n">
        <f aca="false">AI45/0.72</f>
        <v>5519.09722222222</v>
      </c>
      <c r="AK45" s="58" t="n">
        <f aca="false">AJ45*0.15+500</f>
        <v>1327.86458333333</v>
      </c>
      <c r="AL45" s="55" t="n">
        <f aca="false">AJ45+AK45</f>
        <v>6846.96180555556</v>
      </c>
      <c r="AM45" s="58" t="n">
        <f aca="false">AL45-(2_Market_Gross_USD!E43+35)</f>
        <v>2561.96180555556</v>
      </c>
      <c r="AN45" s="66" t="n">
        <f aca="false">IFERROR(AL45/(2_Market_Gross_USD!E43+35),0)</f>
        <v>1.59789073641903</v>
      </c>
      <c r="AO45" s="63" t="n">
        <f aca="false">2_Market_Gross_USD!E43*(1-0.065)</f>
        <v>3973.75</v>
      </c>
      <c r="AP45" s="53" t="n">
        <f aca="false">AO45/0.7035</f>
        <v>5648.54299928927</v>
      </c>
      <c r="AQ45" s="58" t="n">
        <f aca="false">AP45*0.11+0</f>
        <v>621.339729921819</v>
      </c>
      <c r="AR45" s="55" t="n">
        <f aca="false">AP45+AQ45</f>
        <v>6269.88272921109</v>
      </c>
      <c r="AS45" s="58" t="n">
        <f aca="false">AR45-(2_Market_Gross_USD!E43+35)</f>
        <v>1984.88272921109</v>
      </c>
      <c r="AT45" s="66" t="n">
        <f aca="false">IFERROR(AR45/(2_Market_Gross_USD!E43+35),0)</f>
        <v>1.46321650623363</v>
      </c>
      <c r="AU45" s="63" t="n">
        <f aca="false">2_Market_Gross_USD!E43*(1-0.065)</f>
        <v>3973.75</v>
      </c>
      <c r="AV45" s="53" t="n">
        <f aca="false">AU45/0.627</f>
        <v>6337.71929824561</v>
      </c>
      <c r="AW45" s="58" t="n">
        <f aca="false">AV45*0+0</f>
        <v>0</v>
      </c>
      <c r="AX45" s="55" t="n">
        <f aca="false">AV45+AW45</f>
        <v>6337.71929824561</v>
      </c>
      <c r="AY45" s="58" t="n">
        <f aca="false">AX45-(2_Market_Gross_USD!E43+35)</f>
        <v>2052.71929824561</v>
      </c>
      <c r="AZ45" s="66" t="n">
        <f aca="false">IFERROR(AX45/(2_Market_Gross_USD!E43+35),0)</f>
        <v>1.4790476775369</v>
      </c>
      <c r="BA45" s="63" t="n">
        <f aca="false">2_Market_Gross_USD!E43*(1-0.065)</f>
        <v>3973.75</v>
      </c>
      <c r="BB45" s="53" t="n">
        <f aca="false">BA45/0.7035</f>
        <v>5648.54299928927</v>
      </c>
      <c r="BC45" s="58" t="n">
        <f aca="false">BB45*0.11+500</f>
        <v>1121.33972992182</v>
      </c>
      <c r="BD45" s="55" t="n">
        <f aca="false">BB45+BC45</f>
        <v>6769.88272921109</v>
      </c>
      <c r="BE45" s="58" t="n">
        <f aca="false">BD45-(2_Market_Gross_USD!E43+35)</f>
        <v>2484.88272921109</v>
      </c>
      <c r="BF45" s="66" t="n">
        <f aca="false">IFERROR(BD45/(2_Market_Gross_USD!E43+35),0)</f>
        <v>1.57990262058602</v>
      </c>
      <c r="BG45" s="63" t="n">
        <f aca="false">2_Market_Gross_USD!E43*(1-0.065)</f>
        <v>3973.75</v>
      </c>
      <c r="BH45" s="53" t="n">
        <f aca="false">BG45/0.5215</f>
        <v>7619.84659635666</v>
      </c>
      <c r="BI45" s="58" t="n">
        <f aca="false">BH45*0.21+0</f>
        <v>1600.1677852349</v>
      </c>
      <c r="BJ45" s="55" t="n">
        <f aca="false">BH45+BI45</f>
        <v>9220.01438159156</v>
      </c>
      <c r="BK45" s="58" t="n">
        <f aca="false">BJ45-(2_Market_Gross_USD!E43+35)</f>
        <v>4935.01438159156</v>
      </c>
      <c r="BL45" s="66" t="n">
        <f aca="false">IFERROR(BJ45/(2_Market_Gross_USD!E43+35),0)</f>
        <v>2.15169530492219</v>
      </c>
      <c r="BM45" s="63" t="n">
        <f aca="false">2_Market_Gross_USD!E43*(1-0.065)</f>
        <v>3973.75</v>
      </c>
      <c r="BN45" s="53" t="n">
        <f aca="false">BM45/0.75</f>
        <v>5298.33333333333</v>
      </c>
      <c r="BO45" s="58" t="n">
        <f aca="false">BN45*0+0</f>
        <v>0</v>
      </c>
      <c r="BP45" s="55" t="n">
        <f aca="false">BN45+BO45</f>
        <v>5298.33333333333</v>
      </c>
      <c r="BQ45" s="58" t="n">
        <f aca="false">BP45-(2_Market_Gross_USD!E43+35)</f>
        <v>1013.33333333333</v>
      </c>
      <c r="BR45" s="66" t="n">
        <f aca="false">IFERROR(BP45/(2_Market_Gross_USD!E43+35),0)</f>
        <v>1.23648385842085</v>
      </c>
      <c r="BS45" s="63" t="n">
        <f aca="false">2_Market_Gross_USD!E43*(1-0.065)</f>
        <v>3973.75</v>
      </c>
      <c r="BT45" s="53" t="n">
        <f aca="false">BS45/0.5215</f>
        <v>7619.84659635666</v>
      </c>
      <c r="BU45" s="58" t="n">
        <f aca="false">BT45*0.21+500</f>
        <v>2100.1677852349</v>
      </c>
      <c r="BV45" s="55" t="n">
        <f aca="false">BT45+BU45</f>
        <v>9720.01438159156</v>
      </c>
      <c r="BW45" s="58" t="n">
        <f aca="false">BV45-(2_Market_Gross_USD!E43+35)</f>
        <v>5435.01438159156</v>
      </c>
      <c r="BX45" s="66" t="n">
        <f aca="false">IFERROR(BV45/(2_Market_Gross_USD!E43+35),0)</f>
        <v>2.26838141927458</v>
      </c>
      <c r="BY45" s="63" t="n">
        <f aca="false">2_Market_Gross_USD!E43*(1-0.065)</f>
        <v>3973.75</v>
      </c>
      <c r="BZ45" s="53" t="n">
        <f aca="false">BY45/0.6303</f>
        <v>6304.53752181501</v>
      </c>
      <c r="CA45" s="58" t="n">
        <f aca="false">BZ45*0.2+0</f>
        <v>1260.907504363</v>
      </c>
      <c r="CB45" s="55" t="n">
        <f aca="false">BZ45+CA45</f>
        <v>7565.44502617801</v>
      </c>
      <c r="CC45" s="58" t="n">
        <f aca="false">CB45-(2_Market_Gross_USD!E43+35)</f>
        <v>3280.44502617801</v>
      </c>
      <c r="CD45" s="66" t="n">
        <f aca="false">IFERROR(CB45/(2_Market_Gross_USD!E43+35),0)</f>
        <v>1.76556476690269</v>
      </c>
      <c r="CE45" s="63" t="n">
        <f aca="false">2_Market_Gross_USD!E43*(1-0.065)</f>
        <v>3973.75</v>
      </c>
      <c r="CF45" s="53" t="n">
        <f aca="false">CE45/0.6303</f>
        <v>6304.53752181501</v>
      </c>
      <c r="CG45" s="58" t="n">
        <f aca="false">CF45*0+0</f>
        <v>0</v>
      </c>
      <c r="CH45" s="55" t="n">
        <f aca="false">CF45+CG45</f>
        <v>6304.53752181501</v>
      </c>
      <c r="CI45" s="58" t="n">
        <f aca="false">CH45-(2_Market_Gross_USD!E43+35)</f>
        <v>2019.53752181501</v>
      </c>
      <c r="CJ45" s="66" t="n">
        <f aca="false">IFERROR(CH45/(2_Market_Gross_USD!E43+35),0)</f>
        <v>1.47130397241891</v>
      </c>
      <c r="CK45" s="63" t="n">
        <f aca="false">2_Market_Gross_USD!E43*(1-0.065)</f>
        <v>3973.75</v>
      </c>
      <c r="CL45" s="53" t="n">
        <f aca="false">CK45/0.6303</f>
        <v>6304.53752181501</v>
      </c>
      <c r="CM45" s="58" t="n">
        <f aca="false">CL45*0.2+500</f>
        <v>1760.907504363</v>
      </c>
      <c r="CN45" s="55" t="n">
        <f aca="false">CL45+CM45</f>
        <v>8065.44502617801</v>
      </c>
      <c r="CO45" s="58" t="n">
        <f aca="false">CN45-(2_Market_Gross_USD!E43+35)</f>
        <v>3780.44502617801</v>
      </c>
      <c r="CP45" s="66" t="n">
        <f aca="false">IFERROR(CN45/(2_Market_Gross_USD!E43+35),0)</f>
        <v>1.88225088125508</v>
      </c>
      <c r="CQ45" s="63" t="n">
        <f aca="false">2_Market_Gross_USD!E43*(1-0.065)</f>
        <v>3973.75</v>
      </c>
      <c r="CR45" s="53" t="n">
        <f aca="false">CQ45/0.74</f>
        <v>5369.93243243243</v>
      </c>
      <c r="CS45" s="58" t="n">
        <f aca="false">CR45*0.338+0</f>
        <v>1815.03716216216</v>
      </c>
      <c r="CT45" s="55" t="n">
        <f aca="false">CR45+CS45</f>
        <v>7184.9695945946</v>
      </c>
      <c r="CU45" s="58" t="n">
        <f aca="false">CT45-(2_Market_Gross_USD!E43+35)</f>
        <v>2899.9695945946</v>
      </c>
      <c r="CV45" s="66" t="n">
        <f aca="false">IFERROR(CT45/(2_Market_Gross_USD!E43+35),0)</f>
        <v>1.67677236746665</v>
      </c>
      <c r="CW45" s="63" t="n">
        <f aca="false">2_Market_Gross_USD!E43*(1-0.065)</f>
        <v>3973.75</v>
      </c>
      <c r="CX45" s="53" t="n">
        <f aca="false">CW45/0.85</f>
        <v>4675</v>
      </c>
      <c r="CY45" s="58" t="n">
        <f aca="false">CX45*0+0</f>
        <v>0</v>
      </c>
      <c r="CZ45" s="55" t="n">
        <f aca="false">CX45+CY45</f>
        <v>4675</v>
      </c>
      <c r="DA45" s="58" t="n">
        <f aca="false">CZ45-(2_Market_Gross_USD!E43+35)</f>
        <v>390</v>
      </c>
      <c r="DB45" s="66" t="n">
        <f aca="false">IFERROR(CZ45/(2_Market_Gross_USD!E43+35),0)</f>
        <v>1.09101516919487</v>
      </c>
      <c r="DC45" s="63" t="n">
        <f aca="false">2_Market_Gross_USD!E43*(1-0.065)</f>
        <v>3973.75</v>
      </c>
      <c r="DD45" s="53" t="n">
        <f aca="false">DC45/0.74</f>
        <v>5369.93243243243</v>
      </c>
      <c r="DE45" s="58" t="n">
        <f aca="false">DD45*0.338+500</f>
        <v>2315.03716216216</v>
      </c>
      <c r="DF45" s="55" t="n">
        <f aca="false">DD45+DE45</f>
        <v>7684.9695945946</v>
      </c>
      <c r="DG45" s="58" t="n">
        <f aca="false">DF45-(2_Market_Gross_USD!E43+35)</f>
        <v>3399.9695945946</v>
      </c>
      <c r="DH45" s="66" t="n">
        <f aca="false">IFERROR(DF45/(2_Market_Gross_USD!E43+35),0)</f>
        <v>1.79345848181904</v>
      </c>
      <c r="DI45" s="63" t="n">
        <f aca="false">2_Market_Gross_USD!E43*(1-0.065)</f>
        <v>3973.75</v>
      </c>
      <c r="DJ45" s="53" t="n">
        <f aca="false">DI45/0.66</f>
        <v>6020.83333333333</v>
      </c>
      <c r="DK45" s="58" t="n">
        <f aca="false">DJ45*0.2375+0</f>
        <v>1429.94791666667</v>
      </c>
      <c r="DL45" s="55" t="n">
        <f aca="false">DJ45+DK45</f>
        <v>7450.78125</v>
      </c>
      <c r="DM45" s="58" t="n">
        <f aca="false">DL45-(2_Market_Gross_USD!E43+35)</f>
        <v>3165.78125</v>
      </c>
      <c r="DN45" s="66" t="n">
        <f aca="false">IFERROR(DL45/(2_Market_Gross_USD!E43+35),0)</f>
        <v>1.73880542590432</v>
      </c>
      <c r="DO45" s="63" t="n">
        <f aca="false">2_Market_Gross_USD!E43*(1-0.065)</f>
        <v>3973.75</v>
      </c>
      <c r="DP45" s="53" t="n">
        <f aca="false">DO45/0.8</f>
        <v>4967.1875</v>
      </c>
      <c r="DQ45" s="58" t="n">
        <f aca="false">DP45*0+0</f>
        <v>0</v>
      </c>
      <c r="DR45" s="55" t="n">
        <f aca="false">DP45+DQ45</f>
        <v>4967.1875</v>
      </c>
      <c r="DS45" s="58" t="n">
        <f aca="false">DR45-(2_Market_Gross_USD!E43+35)</f>
        <v>682.1875</v>
      </c>
      <c r="DT45" s="66" t="n">
        <f aca="false">IFERROR(DR45/(2_Market_Gross_USD!E43+35),0)</f>
        <v>1.15920361726955</v>
      </c>
      <c r="DU45" s="63" t="n">
        <f aca="false">2_Market_Gross_USD!E43*(1-0.065)</f>
        <v>3973.75</v>
      </c>
      <c r="DV45" s="53" t="n">
        <f aca="false">DU45/0.66</f>
        <v>6020.83333333333</v>
      </c>
      <c r="DW45" s="58" t="n">
        <f aca="false">DV45*0.2375+500</f>
        <v>1929.94791666667</v>
      </c>
      <c r="DX45" s="55" t="n">
        <f aca="false">DV45+DW45</f>
        <v>7950.78125</v>
      </c>
      <c r="DY45" s="58" t="n">
        <f aca="false">DX45-(2_Market_Gross_USD!E43+35)</f>
        <v>3665.78125</v>
      </c>
      <c r="DZ45" s="66" t="n">
        <f aca="false">IFERROR(DX45/(2_Market_Gross_USD!E43+35),0)</f>
        <v>1.85549154025671</v>
      </c>
      <c r="EA45" s="63" t="n">
        <f aca="false">2_Market_Gross_USD!E43*(1-0.065)</f>
        <v>3973.75</v>
      </c>
      <c r="EB45" s="53" t="n">
        <f aca="false">EA45/0.65</f>
        <v>6113.46153846154</v>
      </c>
      <c r="EC45" s="58" t="n">
        <f aca="false">EB45*0.0225+0</f>
        <v>137.552884615385</v>
      </c>
      <c r="ED45" s="55" t="n">
        <f aca="false">EB45+EC45</f>
        <v>6251.01442307692</v>
      </c>
      <c r="EE45" s="58" t="n">
        <f aca="false">ED45-(2_Market_Gross_USD!E43+35)</f>
        <v>1966.01442307692</v>
      </c>
      <c r="EF45" s="66" t="n">
        <f aca="false">IFERROR(ED45/(2_Market_Gross_USD!E43+35),0)</f>
        <v>1.45881316757921</v>
      </c>
      <c r="EG45" s="63" t="n">
        <f aca="false">2_Market_Gross_USD!E43*(1-0.065)</f>
        <v>3973.75</v>
      </c>
      <c r="EH45" s="53" t="n">
        <f aca="false">EG45/0.99</f>
        <v>4013.88888888889</v>
      </c>
      <c r="EI45" s="58" t="n">
        <f aca="false">EH45*0+0</f>
        <v>0</v>
      </c>
      <c r="EJ45" s="55" t="n">
        <f aca="false">EH45+EI45</f>
        <v>4013.88888888889</v>
      </c>
      <c r="EK45" s="58" t="n">
        <f aca="false">EJ45-(2_Market_Gross_USD!E43+35)</f>
        <v>-271.111111111111</v>
      </c>
      <c r="EL45" s="66" t="n">
        <f aca="false">IFERROR(EJ45/(2_Market_Gross_USD!E43+35),0)</f>
        <v>0.93673019577337</v>
      </c>
      <c r="EM45" s="63" t="n">
        <f aca="false">2_Market_Gross_USD!E43*(1-0.065)</f>
        <v>3973.75</v>
      </c>
      <c r="EN45" s="53" t="n">
        <f aca="false">EM45/0.65</f>
        <v>6113.46153846154</v>
      </c>
      <c r="EO45" s="58" t="n">
        <f aca="false">EN45*0.0225+500</f>
        <v>637.552884615385</v>
      </c>
      <c r="EP45" s="55" t="n">
        <f aca="false">EN45+EO45</f>
        <v>6751.01442307692</v>
      </c>
      <c r="EQ45" s="58" t="n">
        <f aca="false">EP45-(2_Market_Gross_USD!E43+35)</f>
        <v>2466.01442307692</v>
      </c>
      <c r="ER45" s="66" t="n">
        <f aca="false">IFERROR(EP45/(2_Market_Gross_USD!E43+35),0)</f>
        <v>1.5754992819316</v>
      </c>
    </row>
    <row r="46" customFormat="false" ht="15" hidden="false" customHeight="false" outlineLevel="0" collapsed="false">
      <c r="A46" s="37" t="n">
        <v>41</v>
      </c>
      <c r="B46" s="32" t="s">
        <v>276</v>
      </c>
      <c r="C46" s="32" t="s">
        <v>277</v>
      </c>
      <c r="D46" s="62" t="s">
        <v>248</v>
      </c>
      <c r="E46" s="63" t="n">
        <f aca="false">2_Market_Gross_USD!E44*(1-0.065)</f>
        <v>1870</v>
      </c>
      <c r="F46" s="53" t="n">
        <f aca="false">E46/0.7429</f>
        <v>2517.16247139588</v>
      </c>
      <c r="G46" s="54" t="n">
        <f aca="false">F46*0.2038+0</f>
        <v>512.997711670481</v>
      </c>
      <c r="H46" s="55" t="n">
        <f aca="false">F46+G46</f>
        <v>3030.16018306636</v>
      </c>
      <c r="I46" s="54" t="n">
        <f aca="false">H46-(2_Market_Gross_USD!E44+35)</f>
        <v>995.160183066361</v>
      </c>
      <c r="J46" s="64" t="n">
        <f aca="false">IFERROR(H46/(2_Market_Gross_USD!E44+35),0)</f>
        <v>1.48902220298101</v>
      </c>
      <c r="K46" s="63" t="n">
        <f aca="false">2_Market_Gross_USD!E44*(1-0.065)</f>
        <v>1870</v>
      </c>
      <c r="L46" s="53" t="n">
        <f aca="false">K46/0.88</f>
        <v>2125</v>
      </c>
      <c r="M46" s="54" t="n">
        <f aca="false">L46*0+0</f>
        <v>0</v>
      </c>
      <c r="N46" s="55" t="n">
        <f aca="false">L46+M46</f>
        <v>2125</v>
      </c>
      <c r="O46" s="54" t="n">
        <f aca="false">N46-(2_Market_Gross_USD!E44+35)</f>
        <v>90</v>
      </c>
      <c r="P46" s="64" t="n">
        <f aca="false">IFERROR(N46/(2_Market_Gross_USD!E44+35),0)</f>
        <v>1.04422604422604</v>
      </c>
      <c r="Q46" s="63" t="n">
        <f aca="false">2_Market_Gross_USD!E44*(1-0.065)</f>
        <v>1870</v>
      </c>
      <c r="R46" s="53" t="n">
        <f aca="false">Q46/0.7429</f>
        <v>2517.16247139588</v>
      </c>
      <c r="S46" s="54" t="n">
        <f aca="false">R46*0.2038+500</f>
        <v>1012.99771167048</v>
      </c>
      <c r="T46" s="55" t="n">
        <f aca="false">R46+S46</f>
        <v>3530.16018306636</v>
      </c>
      <c r="U46" s="54" t="n">
        <f aca="false">T46-(2_Market_Gross_USD!E44+35)</f>
        <v>1495.16018306636</v>
      </c>
      <c r="V46" s="64" t="n">
        <f aca="false">IFERROR(T46/(2_Market_Gross_USD!E44+35),0)</f>
        <v>1.73472244868126</v>
      </c>
      <c r="W46" s="63" t="n">
        <f aca="false">2_Market_Gross_USD!E44*(1-0.065)</f>
        <v>1870</v>
      </c>
      <c r="X46" s="53" t="n">
        <f aca="false">W46/0.72</f>
        <v>2597.22222222222</v>
      </c>
      <c r="Y46" s="54" t="n">
        <f aca="false">X46*0.15+0</f>
        <v>389.583333333333</v>
      </c>
      <c r="Z46" s="55" t="n">
        <f aca="false">X46+Y46</f>
        <v>2986.80555555556</v>
      </c>
      <c r="AA46" s="54" t="n">
        <f aca="false">Z46-(2_Market_Gross_USD!E44+35)</f>
        <v>951.805555555556</v>
      </c>
      <c r="AB46" s="64" t="n">
        <f aca="false">IFERROR(Z46/(2_Market_Gross_USD!E44+35),0)</f>
        <v>1.46771771771772</v>
      </c>
      <c r="AC46" s="63" t="n">
        <f aca="false">2_Market_Gross_USD!E44*(1-0.065)</f>
        <v>1870</v>
      </c>
      <c r="AD46" s="53" t="n">
        <f aca="false">AC46/0.81</f>
        <v>2308.64197530864</v>
      </c>
      <c r="AE46" s="54" t="n">
        <f aca="false">AD46*0+0</f>
        <v>0</v>
      </c>
      <c r="AF46" s="55" t="n">
        <f aca="false">AD46+AE46</f>
        <v>2308.64197530864</v>
      </c>
      <c r="AG46" s="54" t="n">
        <f aca="false">AF46-(2_Market_Gross_USD!E44+35)</f>
        <v>273.641975308642</v>
      </c>
      <c r="AH46" s="64" t="n">
        <f aca="false">IFERROR(AF46/(2_Market_Gross_USD!E44+35),0)</f>
        <v>1.13446780113447</v>
      </c>
      <c r="AI46" s="63" t="n">
        <f aca="false">2_Market_Gross_USD!E44*(1-0.065)</f>
        <v>1870</v>
      </c>
      <c r="AJ46" s="53" t="n">
        <f aca="false">AI46/0.72</f>
        <v>2597.22222222222</v>
      </c>
      <c r="AK46" s="54" t="n">
        <f aca="false">AJ46*0.15+500</f>
        <v>889.583333333333</v>
      </c>
      <c r="AL46" s="55" t="n">
        <f aca="false">AJ46+AK46</f>
        <v>3486.80555555556</v>
      </c>
      <c r="AM46" s="54" t="n">
        <f aca="false">AL46-(2_Market_Gross_USD!E44+35)</f>
        <v>1451.80555555556</v>
      </c>
      <c r="AN46" s="64" t="n">
        <f aca="false">IFERROR(AL46/(2_Market_Gross_USD!E44+35),0)</f>
        <v>1.71341796341796</v>
      </c>
      <c r="AO46" s="63" t="n">
        <f aca="false">2_Market_Gross_USD!E44*(1-0.065)</f>
        <v>1870</v>
      </c>
      <c r="AP46" s="53" t="n">
        <f aca="false">AO46/0.7035</f>
        <v>2658.13788201848</v>
      </c>
      <c r="AQ46" s="54" t="n">
        <f aca="false">AP46*0.11+0</f>
        <v>292.395167022033</v>
      </c>
      <c r="AR46" s="55" t="n">
        <f aca="false">AP46+AQ46</f>
        <v>2950.53304904051</v>
      </c>
      <c r="AS46" s="54" t="n">
        <f aca="false">AR46-(2_Market_Gross_USD!E44+35)</f>
        <v>915.533049040512</v>
      </c>
      <c r="AT46" s="64" t="n">
        <f aca="false">IFERROR(AR46/(2_Market_Gross_USD!E44+35),0)</f>
        <v>1.4498933901919</v>
      </c>
      <c r="AU46" s="63" t="n">
        <f aca="false">2_Market_Gross_USD!E44*(1-0.065)</f>
        <v>1870</v>
      </c>
      <c r="AV46" s="53" t="n">
        <f aca="false">AU46/0.627</f>
        <v>2982.45614035088</v>
      </c>
      <c r="AW46" s="54" t="n">
        <f aca="false">AV46*0+0</f>
        <v>0</v>
      </c>
      <c r="AX46" s="55" t="n">
        <f aca="false">AV46+AW46</f>
        <v>2982.45614035088</v>
      </c>
      <c r="AY46" s="54" t="n">
        <f aca="false">AX46-(2_Market_Gross_USD!E44+35)</f>
        <v>947.456140350877</v>
      </c>
      <c r="AZ46" s="64" t="n">
        <f aca="false">IFERROR(AX46/(2_Market_Gross_USD!E44+35),0)</f>
        <v>1.46558041294883</v>
      </c>
      <c r="BA46" s="63" t="n">
        <f aca="false">2_Market_Gross_USD!E44*(1-0.065)</f>
        <v>1870</v>
      </c>
      <c r="BB46" s="53" t="n">
        <f aca="false">BA46/0.7035</f>
        <v>2658.13788201848</v>
      </c>
      <c r="BC46" s="54" t="n">
        <f aca="false">BB46*0.11+500</f>
        <v>792.395167022033</v>
      </c>
      <c r="BD46" s="55" t="n">
        <f aca="false">BB46+BC46</f>
        <v>3450.53304904051</v>
      </c>
      <c r="BE46" s="54" t="n">
        <f aca="false">BD46-(2_Market_Gross_USD!E44+35)</f>
        <v>1415.53304904051</v>
      </c>
      <c r="BF46" s="64" t="n">
        <f aca="false">IFERROR(BD46/(2_Market_Gross_USD!E44+35),0)</f>
        <v>1.69559363589214</v>
      </c>
      <c r="BG46" s="63" t="n">
        <f aca="false">2_Market_Gross_USD!E44*(1-0.065)</f>
        <v>1870</v>
      </c>
      <c r="BH46" s="53" t="n">
        <f aca="false">BG46/0.5215</f>
        <v>3585.81016299137</v>
      </c>
      <c r="BI46" s="54" t="n">
        <f aca="false">BH46*0.21+0</f>
        <v>753.020134228188</v>
      </c>
      <c r="BJ46" s="55" t="n">
        <f aca="false">BH46+BI46</f>
        <v>4338.83029721956</v>
      </c>
      <c r="BK46" s="54" t="n">
        <f aca="false">BJ46-(2_Market_Gross_USD!E44+35)</f>
        <v>2303.83029721956</v>
      </c>
      <c r="BL46" s="64" t="n">
        <f aca="false">IFERROR(BJ46/(2_Market_Gross_USD!E44+35),0)</f>
        <v>2.13210334015703</v>
      </c>
      <c r="BM46" s="63" t="n">
        <f aca="false">2_Market_Gross_USD!E44*(1-0.065)</f>
        <v>1870</v>
      </c>
      <c r="BN46" s="53" t="n">
        <f aca="false">BM46/0.75</f>
        <v>2493.33333333333</v>
      </c>
      <c r="BO46" s="54" t="n">
        <f aca="false">BN46*0+0</f>
        <v>0</v>
      </c>
      <c r="BP46" s="55" t="n">
        <f aca="false">BN46+BO46</f>
        <v>2493.33333333333</v>
      </c>
      <c r="BQ46" s="54" t="n">
        <f aca="false">BP46-(2_Market_Gross_USD!E44+35)</f>
        <v>458.333333333334</v>
      </c>
      <c r="BR46" s="64" t="n">
        <f aca="false">IFERROR(BP46/(2_Market_Gross_USD!E44+35),0)</f>
        <v>1.22522522522523</v>
      </c>
      <c r="BS46" s="63" t="n">
        <f aca="false">2_Market_Gross_USD!E44*(1-0.065)</f>
        <v>1870</v>
      </c>
      <c r="BT46" s="53" t="n">
        <f aca="false">BS46/0.5215</f>
        <v>3585.81016299137</v>
      </c>
      <c r="BU46" s="54" t="n">
        <f aca="false">BT46*0.21+500</f>
        <v>1253.02013422819</v>
      </c>
      <c r="BV46" s="55" t="n">
        <f aca="false">BT46+BU46</f>
        <v>4838.83029721956</v>
      </c>
      <c r="BW46" s="54" t="n">
        <f aca="false">BV46-(2_Market_Gross_USD!E44+35)</f>
        <v>2803.83029721956</v>
      </c>
      <c r="BX46" s="64" t="n">
        <f aca="false">IFERROR(BV46/(2_Market_Gross_USD!E44+35),0)</f>
        <v>2.37780358585728</v>
      </c>
      <c r="BY46" s="63" t="n">
        <f aca="false">2_Market_Gross_USD!E44*(1-0.065)</f>
        <v>1870</v>
      </c>
      <c r="BZ46" s="53" t="n">
        <f aca="false">BY46/0.6303</f>
        <v>2966.84118673648</v>
      </c>
      <c r="CA46" s="54" t="n">
        <f aca="false">BZ46*0.2+0</f>
        <v>593.368237347295</v>
      </c>
      <c r="CB46" s="55" t="n">
        <f aca="false">BZ46+CA46</f>
        <v>3560.20942408377</v>
      </c>
      <c r="CC46" s="54" t="n">
        <f aca="false">CB46-(2_Market_Gross_USD!E44+35)</f>
        <v>1525.20942408377</v>
      </c>
      <c r="CD46" s="64" t="n">
        <f aca="false">IFERROR(CB46/(2_Market_Gross_USD!E44+35),0)</f>
        <v>1.74948866048342</v>
      </c>
      <c r="CE46" s="63" t="n">
        <f aca="false">2_Market_Gross_USD!E44*(1-0.065)</f>
        <v>1870</v>
      </c>
      <c r="CF46" s="53" t="n">
        <f aca="false">CE46/0.6303</f>
        <v>2966.84118673648</v>
      </c>
      <c r="CG46" s="54" t="n">
        <f aca="false">CF46*0+0</f>
        <v>0</v>
      </c>
      <c r="CH46" s="55" t="n">
        <f aca="false">CF46+CG46</f>
        <v>2966.84118673648</v>
      </c>
      <c r="CI46" s="54" t="n">
        <f aca="false">CH46-(2_Market_Gross_USD!E44+35)</f>
        <v>931.841186736475</v>
      </c>
      <c r="CJ46" s="64" t="n">
        <f aca="false">IFERROR(CH46/(2_Market_Gross_USD!E44+35),0)</f>
        <v>1.45790721706952</v>
      </c>
      <c r="CK46" s="63" t="n">
        <f aca="false">2_Market_Gross_USD!E44*(1-0.065)</f>
        <v>1870</v>
      </c>
      <c r="CL46" s="53" t="n">
        <f aca="false">CK46/0.6303</f>
        <v>2966.84118673648</v>
      </c>
      <c r="CM46" s="54" t="n">
        <f aca="false">CL46*0.2+500</f>
        <v>1093.3682373473</v>
      </c>
      <c r="CN46" s="55" t="n">
        <f aca="false">CL46+CM46</f>
        <v>4060.20942408377</v>
      </c>
      <c r="CO46" s="54" t="n">
        <f aca="false">CN46-(2_Market_Gross_USD!E44+35)</f>
        <v>2025.20942408377</v>
      </c>
      <c r="CP46" s="64" t="n">
        <f aca="false">IFERROR(CN46/(2_Market_Gross_USD!E44+35),0)</f>
        <v>1.99518890618367</v>
      </c>
      <c r="CQ46" s="63" t="n">
        <f aca="false">2_Market_Gross_USD!E44*(1-0.065)</f>
        <v>1870</v>
      </c>
      <c r="CR46" s="53" t="n">
        <f aca="false">CQ46/0.74</f>
        <v>2527.02702702703</v>
      </c>
      <c r="CS46" s="54" t="n">
        <f aca="false">CR46*0.338+0</f>
        <v>854.135135135135</v>
      </c>
      <c r="CT46" s="55" t="n">
        <f aca="false">CR46+CS46</f>
        <v>3381.16216216216</v>
      </c>
      <c r="CU46" s="54" t="n">
        <f aca="false">CT46-(2_Market_Gross_USD!E44+35)</f>
        <v>1346.16216216216</v>
      </c>
      <c r="CV46" s="64" t="n">
        <f aca="false">IFERROR(CT46/(2_Market_Gross_USD!E44+35),0)</f>
        <v>1.66150474799123</v>
      </c>
      <c r="CW46" s="63" t="n">
        <f aca="false">2_Market_Gross_USD!E44*(1-0.065)</f>
        <v>1870</v>
      </c>
      <c r="CX46" s="53" t="n">
        <f aca="false">CW46/0.85</f>
        <v>2200</v>
      </c>
      <c r="CY46" s="54" t="n">
        <f aca="false">CX46*0+0</f>
        <v>0</v>
      </c>
      <c r="CZ46" s="55" t="n">
        <f aca="false">CX46+CY46</f>
        <v>2200</v>
      </c>
      <c r="DA46" s="54" t="n">
        <f aca="false">CZ46-(2_Market_Gross_USD!E44+35)</f>
        <v>165</v>
      </c>
      <c r="DB46" s="64" t="n">
        <f aca="false">IFERROR(CZ46/(2_Market_Gross_USD!E44+35),0)</f>
        <v>1.08108108108108</v>
      </c>
      <c r="DC46" s="63" t="n">
        <f aca="false">2_Market_Gross_USD!E44*(1-0.065)</f>
        <v>1870</v>
      </c>
      <c r="DD46" s="53" t="n">
        <f aca="false">DC46/0.74</f>
        <v>2527.02702702703</v>
      </c>
      <c r="DE46" s="54" t="n">
        <f aca="false">DD46*0.338+500</f>
        <v>1354.13513513514</v>
      </c>
      <c r="DF46" s="55" t="n">
        <f aca="false">DD46+DE46</f>
        <v>3881.16216216216</v>
      </c>
      <c r="DG46" s="54" t="n">
        <f aca="false">DF46-(2_Market_Gross_USD!E44+35)</f>
        <v>1846.16216216216</v>
      </c>
      <c r="DH46" s="64" t="n">
        <f aca="false">IFERROR(DF46/(2_Market_Gross_USD!E44+35),0)</f>
        <v>1.90720499369148</v>
      </c>
      <c r="DI46" s="63" t="n">
        <f aca="false">2_Market_Gross_USD!E44*(1-0.065)</f>
        <v>1870</v>
      </c>
      <c r="DJ46" s="53" t="n">
        <f aca="false">DI46/0.66</f>
        <v>2833.33333333333</v>
      </c>
      <c r="DK46" s="54" t="n">
        <f aca="false">DJ46*0.2375+0</f>
        <v>672.916666666667</v>
      </c>
      <c r="DL46" s="55" t="n">
        <f aca="false">DJ46+DK46</f>
        <v>3506.25</v>
      </c>
      <c r="DM46" s="54" t="n">
        <f aca="false">DL46-(2_Market_Gross_USD!E44+35)</f>
        <v>1471.25</v>
      </c>
      <c r="DN46" s="64" t="n">
        <f aca="false">IFERROR(DL46/(2_Market_Gross_USD!E44+35),0)</f>
        <v>1.72297297297297</v>
      </c>
      <c r="DO46" s="63" t="n">
        <f aca="false">2_Market_Gross_USD!E44*(1-0.065)</f>
        <v>1870</v>
      </c>
      <c r="DP46" s="53" t="n">
        <f aca="false">DO46/0.8</f>
        <v>2337.5</v>
      </c>
      <c r="DQ46" s="54" t="n">
        <f aca="false">DP46*0+0</f>
        <v>0</v>
      </c>
      <c r="DR46" s="55" t="n">
        <f aca="false">DP46+DQ46</f>
        <v>2337.5</v>
      </c>
      <c r="DS46" s="54" t="n">
        <f aca="false">DR46-(2_Market_Gross_USD!E44+35)</f>
        <v>302.5</v>
      </c>
      <c r="DT46" s="64" t="n">
        <f aca="false">IFERROR(DR46/(2_Market_Gross_USD!E44+35),0)</f>
        <v>1.14864864864865</v>
      </c>
      <c r="DU46" s="63" t="n">
        <f aca="false">2_Market_Gross_USD!E44*(1-0.065)</f>
        <v>1870</v>
      </c>
      <c r="DV46" s="53" t="n">
        <f aca="false">DU46/0.66</f>
        <v>2833.33333333333</v>
      </c>
      <c r="DW46" s="54" t="n">
        <f aca="false">DV46*0.2375+500</f>
        <v>1172.91666666667</v>
      </c>
      <c r="DX46" s="55" t="n">
        <f aca="false">DV46+DW46</f>
        <v>4006.25</v>
      </c>
      <c r="DY46" s="54" t="n">
        <f aca="false">DX46-(2_Market_Gross_USD!E44+35)</f>
        <v>1971.25</v>
      </c>
      <c r="DZ46" s="64" t="n">
        <f aca="false">IFERROR(DX46/(2_Market_Gross_USD!E44+35),0)</f>
        <v>1.96867321867322</v>
      </c>
      <c r="EA46" s="63" t="n">
        <f aca="false">2_Market_Gross_USD!E44*(1-0.065)</f>
        <v>1870</v>
      </c>
      <c r="EB46" s="53" t="n">
        <f aca="false">EA46/0.65</f>
        <v>2876.92307692308</v>
      </c>
      <c r="EC46" s="54" t="n">
        <f aca="false">EB46*0.0225+0</f>
        <v>64.7307692307692</v>
      </c>
      <c r="ED46" s="55" t="n">
        <f aca="false">EB46+EC46</f>
        <v>2941.65384615385</v>
      </c>
      <c r="EE46" s="54" t="n">
        <f aca="false">ED46-(2_Market_Gross_USD!E44+35)</f>
        <v>906.653846153846</v>
      </c>
      <c r="EF46" s="64" t="n">
        <f aca="false">IFERROR(ED46/(2_Market_Gross_USD!E44+35),0)</f>
        <v>1.44553014553015</v>
      </c>
      <c r="EG46" s="63" t="n">
        <f aca="false">2_Market_Gross_USD!E44*(1-0.065)</f>
        <v>1870</v>
      </c>
      <c r="EH46" s="53" t="n">
        <f aca="false">EG46/0.99</f>
        <v>1888.88888888889</v>
      </c>
      <c r="EI46" s="54" t="n">
        <f aca="false">EH46*0+0</f>
        <v>0</v>
      </c>
      <c r="EJ46" s="55" t="n">
        <f aca="false">EH46+EI46</f>
        <v>1888.88888888889</v>
      </c>
      <c r="EK46" s="54" t="n">
        <f aca="false">EJ46-(2_Market_Gross_USD!E44+35)</f>
        <v>-146.111111111111</v>
      </c>
      <c r="EL46" s="64" t="n">
        <f aca="false">IFERROR(EJ46/(2_Market_Gross_USD!E44+35),0)</f>
        <v>0.928200928200928</v>
      </c>
      <c r="EM46" s="63" t="n">
        <f aca="false">2_Market_Gross_USD!E44*(1-0.065)</f>
        <v>1870</v>
      </c>
      <c r="EN46" s="53" t="n">
        <f aca="false">EM46/0.65</f>
        <v>2876.92307692308</v>
      </c>
      <c r="EO46" s="54" t="n">
        <f aca="false">EN46*0.0225+500</f>
        <v>564.730769230769</v>
      </c>
      <c r="EP46" s="55" t="n">
        <f aca="false">EN46+EO46</f>
        <v>3441.65384615385</v>
      </c>
      <c r="EQ46" s="54" t="n">
        <f aca="false">EP46-(2_Market_Gross_USD!E44+35)</f>
        <v>1406.65384615385</v>
      </c>
      <c r="ER46" s="64" t="n">
        <f aca="false">IFERROR(EP46/(2_Market_Gross_USD!E44+35),0)</f>
        <v>1.69123039123039</v>
      </c>
    </row>
    <row r="47" customFormat="false" ht="15" hidden="false" customHeight="false" outlineLevel="0" collapsed="false">
      <c r="A47" s="41" t="n">
        <v>42</v>
      </c>
      <c r="B47" s="28" t="s">
        <v>276</v>
      </c>
      <c r="C47" s="8" t="s">
        <v>277</v>
      </c>
      <c r="D47" s="65" t="s">
        <v>249</v>
      </c>
      <c r="E47" s="63" t="n">
        <f aca="false">2_Market_Gross_USD!E45*(1-0.065)</f>
        <v>5142.5</v>
      </c>
      <c r="F47" s="53" t="n">
        <f aca="false">E47/0.7429</f>
        <v>6922.19679633867</v>
      </c>
      <c r="G47" s="58" t="n">
        <f aca="false">F47*0.2038+0</f>
        <v>1410.74370709382</v>
      </c>
      <c r="H47" s="55" t="n">
        <f aca="false">F47+G47</f>
        <v>8332.94050343249</v>
      </c>
      <c r="I47" s="58" t="n">
        <f aca="false">H47-(2_Market_Gross_USD!E45+35)</f>
        <v>2797.94050343249</v>
      </c>
      <c r="J47" s="66" t="n">
        <f aca="false">IFERROR(H47/(2_Market_Gross_USD!E45+35),0)</f>
        <v>1.5054996392832</v>
      </c>
      <c r="K47" s="63" t="n">
        <f aca="false">2_Market_Gross_USD!E45*(1-0.065)</f>
        <v>5142.5</v>
      </c>
      <c r="L47" s="53" t="n">
        <f aca="false">K47/0.88</f>
        <v>5843.75</v>
      </c>
      <c r="M47" s="58" t="n">
        <f aca="false">L47*0+0</f>
        <v>0</v>
      </c>
      <c r="N47" s="55" t="n">
        <f aca="false">L47+M47</f>
        <v>5843.75</v>
      </c>
      <c r="O47" s="58" t="n">
        <f aca="false">N47-(2_Market_Gross_USD!E45+35)</f>
        <v>308.75</v>
      </c>
      <c r="P47" s="66" t="n">
        <f aca="false">IFERROR(N47/(2_Market_Gross_USD!E45+35),0)</f>
        <v>1.05578139114725</v>
      </c>
      <c r="Q47" s="63" t="n">
        <f aca="false">2_Market_Gross_USD!E45*(1-0.065)</f>
        <v>5142.5</v>
      </c>
      <c r="R47" s="53" t="n">
        <f aca="false">Q47/0.7429</f>
        <v>6922.19679633867</v>
      </c>
      <c r="S47" s="58" t="n">
        <f aca="false">R47*0.2038+500</f>
        <v>1910.74370709382</v>
      </c>
      <c r="T47" s="55" t="n">
        <f aca="false">R47+S47</f>
        <v>8832.94050343249</v>
      </c>
      <c r="U47" s="58" t="n">
        <f aca="false">T47-(2_Market_Gross_USD!E45+35)</f>
        <v>3297.94050343249</v>
      </c>
      <c r="V47" s="66" t="n">
        <f aca="false">IFERROR(T47/(2_Market_Gross_USD!E45+35),0)</f>
        <v>1.5958338759589</v>
      </c>
      <c r="W47" s="63" t="n">
        <f aca="false">2_Market_Gross_USD!E45*(1-0.065)</f>
        <v>5142.5</v>
      </c>
      <c r="X47" s="53" t="n">
        <f aca="false">W47/0.72</f>
        <v>7142.36111111111</v>
      </c>
      <c r="Y47" s="58" t="n">
        <f aca="false">X47*0.15+0</f>
        <v>1071.35416666667</v>
      </c>
      <c r="Z47" s="55" t="n">
        <f aca="false">X47+Y47</f>
        <v>8213.71527777778</v>
      </c>
      <c r="AA47" s="58" t="n">
        <f aca="false">Z47-(2_Market_Gross_USD!E45+35)</f>
        <v>2678.71527777778</v>
      </c>
      <c r="AB47" s="66" t="n">
        <f aca="false">IFERROR(Z47/(2_Market_Gross_USD!E45+35),0)</f>
        <v>1.48395939977918</v>
      </c>
      <c r="AC47" s="63" t="n">
        <f aca="false">2_Market_Gross_USD!E45*(1-0.065)</f>
        <v>5142.5</v>
      </c>
      <c r="AD47" s="53" t="n">
        <f aca="false">AC47/0.81</f>
        <v>6348.76543209877</v>
      </c>
      <c r="AE47" s="58" t="n">
        <f aca="false">AD47*0+0</f>
        <v>0</v>
      </c>
      <c r="AF47" s="55" t="n">
        <f aca="false">AD47+AE47</f>
        <v>6348.76543209877</v>
      </c>
      <c r="AG47" s="58" t="n">
        <f aca="false">AF47-(2_Market_Gross_USD!E45+35)</f>
        <v>813.765432098765</v>
      </c>
      <c r="AH47" s="66" t="n">
        <f aca="false">IFERROR(AF47/(2_Market_Gross_USD!E45+35),0)</f>
        <v>1.14702175828343</v>
      </c>
      <c r="AI47" s="63" t="n">
        <f aca="false">2_Market_Gross_USD!E45*(1-0.065)</f>
        <v>5142.5</v>
      </c>
      <c r="AJ47" s="53" t="n">
        <f aca="false">AI47/0.72</f>
        <v>7142.36111111111</v>
      </c>
      <c r="AK47" s="58" t="n">
        <f aca="false">AJ47*0.15+500</f>
        <v>1571.35416666667</v>
      </c>
      <c r="AL47" s="55" t="n">
        <f aca="false">AJ47+AK47</f>
        <v>8713.71527777778</v>
      </c>
      <c r="AM47" s="58" t="n">
        <f aca="false">AL47-(2_Market_Gross_USD!E45+35)</f>
        <v>3178.71527777778</v>
      </c>
      <c r="AN47" s="66" t="n">
        <f aca="false">IFERROR(AL47/(2_Market_Gross_USD!E45+35),0)</f>
        <v>1.57429363645488</v>
      </c>
      <c r="AO47" s="63" t="n">
        <f aca="false">2_Market_Gross_USD!E45*(1-0.065)</f>
        <v>5142.5</v>
      </c>
      <c r="AP47" s="53" t="n">
        <f aca="false">AO47/0.7035</f>
        <v>7309.87917555082</v>
      </c>
      <c r="AQ47" s="58" t="n">
        <f aca="false">AP47*0.11+0</f>
        <v>804.08670931059</v>
      </c>
      <c r="AR47" s="55" t="n">
        <f aca="false">AP47+AQ47</f>
        <v>8113.96588486141</v>
      </c>
      <c r="AS47" s="58" t="n">
        <f aca="false">AR47-(2_Market_Gross_USD!E45+35)</f>
        <v>2578.96588486141</v>
      </c>
      <c r="AT47" s="66" t="n">
        <f aca="false">IFERROR(AR47/(2_Market_Gross_USD!E45+35),0)</f>
        <v>1.46593782924325</v>
      </c>
      <c r="AU47" s="63" t="n">
        <f aca="false">2_Market_Gross_USD!E45*(1-0.065)</f>
        <v>5142.5</v>
      </c>
      <c r="AV47" s="53" t="n">
        <f aca="false">AU47/0.627</f>
        <v>8201.75438596491</v>
      </c>
      <c r="AW47" s="58" t="n">
        <f aca="false">AV47*0+0</f>
        <v>0</v>
      </c>
      <c r="AX47" s="55" t="n">
        <f aca="false">AV47+AW47</f>
        <v>8201.75438596491</v>
      </c>
      <c r="AY47" s="58" t="n">
        <f aca="false">AX47-(2_Market_Gross_USD!E45+35)</f>
        <v>2666.75438596491</v>
      </c>
      <c r="AZ47" s="66" t="n">
        <f aca="false">IFERROR(AX47/(2_Market_Gross_USD!E45+35),0)</f>
        <v>1.48179844371543</v>
      </c>
      <c r="BA47" s="63" t="n">
        <f aca="false">2_Market_Gross_USD!E45*(1-0.065)</f>
        <v>5142.5</v>
      </c>
      <c r="BB47" s="53" t="n">
        <f aca="false">BA47/0.7035</f>
        <v>7309.87917555082</v>
      </c>
      <c r="BC47" s="58" t="n">
        <f aca="false">BB47*0.11+500</f>
        <v>1304.08670931059</v>
      </c>
      <c r="BD47" s="55" t="n">
        <f aca="false">BB47+BC47</f>
        <v>8613.96588486141</v>
      </c>
      <c r="BE47" s="58" t="n">
        <f aca="false">BD47-(2_Market_Gross_USD!E45+35)</f>
        <v>3078.96588486141</v>
      </c>
      <c r="BF47" s="66" t="n">
        <f aca="false">IFERROR(BD47/(2_Market_Gross_USD!E45+35),0)</f>
        <v>1.55627206591895</v>
      </c>
      <c r="BG47" s="63" t="n">
        <f aca="false">2_Market_Gross_USD!E45*(1-0.065)</f>
        <v>5142.5</v>
      </c>
      <c r="BH47" s="53" t="n">
        <f aca="false">BG47/0.5215</f>
        <v>9860.97794822627</v>
      </c>
      <c r="BI47" s="58" t="n">
        <f aca="false">BH47*0.21+0</f>
        <v>2070.80536912752</v>
      </c>
      <c r="BJ47" s="55" t="n">
        <f aca="false">BH47+BI47</f>
        <v>11931.7833173538</v>
      </c>
      <c r="BK47" s="58" t="n">
        <f aca="false">BJ47-(2_Market_Gross_USD!E45+35)</f>
        <v>6396.78331735379</v>
      </c>
      <c r="BL47" s="66" t="n">
        <f aca="false">IFERROR(BJ47/(2_Market_Gross_USD!E45+35),0)</f>
        <v>2.15569707630601</v>
      </c>
      <c r="BM47" s="63" t="n">
        <f aca="false">2_Market_Gross_USD!E45*(1-0.065)</f>
        <v>5142.5</v>
      </c>
      <c r="BN47" s="53" t="n">
        <f aca="false">BM47/0.75</f>
        <v>6856.66666666667</v>
      </c>
      <c r="BO47" s="58" t="n">
        <f aca="false">BN47*0+0</f>
        <v>0</v>
      </c>
      <c r="BP47" s="55" t="n">
        <f aca="false">BN47+BO47</f>
        <v>6856.66666666667</v>
      </c>
      <c r="BQ47" s="58" t="n">
        <f aca="false">BP47-(2_Market_Gross_USD!E45+35)</f>
        <v>1321.66666666667</v>
      </c>
      <c r="BR47" s="66" t="n">
        <f aca="false">IFERROR(BP47/(2_Market_Gross_USD!E45+35),0)</f>
        <v>1.2387834989461</v>
      </c>
      <c r="BS47" s="63" t="n">
        <f aca="false">2_Market_Gross_USD!E45*(1-0.065)</f>
        <v>5142.5</v>
      </c>
      <c r="BT47" s="53" t="n">
        <f aca="false">BS47/0.5215</f>
        <v>9860.97794822627</v>
      </c>
      <c r="BU47" s="58" t="n">
        <f aca="false">BT47*0.21+500</f>
        <v>2570.80536912752</v>
      </c>
      <c r="BV47" s="55" t="n">
        <f aca="false">BT47+BU47</f>
        <v>12431.7833173538</v>
      </c>
      <c r="BW47" s="58" t="n">
        <f aca="false">BV47-(2_Market_Gross_USD!E45+35)</f>
        <v>6896.78331735379</v>
      </c>
      <c r="BX47" s="66" t="n">
        <f aca="false">IFERROR(BV47/(2_Market_Gross_USD!E45+35),0)</f>
        <v>2.24603131298171</v>
      </c>
      <c r="BY47" s="63" t="n">
        <f aca="false">2_Market_Gross_USD!E45*(1-0.065)</f>
        <v>5142.5</v>
      </c>
      <c r="BZ47" s="53" t="n">
        <f aca="false">BY47/0.6303</f>
        <v>8158.81326352531</v>
      </c>
      <c r="CA47" s="58" t="n">
        <f aca="false">BZ47*0.2+0</f>
        <v>1631.76265270506</v>
      </c>
      <c r="CB47" s="55" t="n">
        <f aca="false">BZ47+CA47</f>
        <v>9790.57591623037</v>
      </c>
      <c r="CC47" s="58" t="n">
        <f aca="false">CB47-(2_Market_Gross_USD!E45+35)</f>
        <v>4255.57591623037</v>
      </c>
      <c r="CD47" s="66" t="n">
        <f aca="false">IFERROR(CB47/(2_Market_Gross_USD!E45+35),0)</f>
        <v>1.76884840401633</v>
      </c>
      <c r="CE47" s="63" t="n">
        <f aca="false">2_Market_Gross_USD!E45*(1-0.065)</f>
        <v>5142.5</v>
      </c>
      <c r="CF47" s="53" t="n">
        <f aca="false">CE47/0.6303</f>
        <v>8158.81326352531</v>
      </c>
      <c r="CG47" s="58" t="n">
        <f aca="false">CF47*0+0</f>
        <v>0</v>
      </c>
      <c r="CH47" s="55" t="n">
        <f aca="false">CF47+CG47</f>
        <v>8158.81326352531</v>
      </c>
      <c r="CI47" s="58" t="n">
        <f aca="false">CH47-(2_Market_Gross_USD!E45+35)</f>
        <v>2623.81326352531</v>
      </c>
      <c r="CJ47" s="66" t="n">
        <f aca="false">IFERROR(CH47/(2_Market_Gross_USD!E45+35),0)</f>
        <v>1.47404033668027</v>
      </c>
      <c r="CK47" s="63" t="n">
        <f aca="false">2_Market_Gross_USD!E45*(1-0.065)</f>
        <v>5142.5</v>
      </c>
      <c r="CL47" s="53" t="n">
        <f aca="false">CK47/0.6303</f>
        <v>8158.81326352531</v>
      </c>
      <c r="CM47" s="58" t="n">
        <f aca="false">CL47*0.2+500</f>
        <v>2131.76265270506</v>
      </c>
      <c r="CN47" s="55" t="n">
        <f aca="false">CL47+CM47</f>
        <v>10290.5759162304</v>
      </c>
      <c r="CO47" s="58" t="n">
        <f aca="false">CN47-(2_Market_Gross_USD!E45+35)</f>
        <v>4755.57591623037</v>
      </c>
      <c r="CP47" s="66" t="n">
        <f aca="false">IFERROR(CN47/(2_Market_Gross_USD!E45+35),0)</f>
        <v>1.85918264069203</v>
      </c>
      <c r="CQ47" s="63" t="n">
        <f aca="false">2_Market_Gross_USD!E45*(1-0.065)</f>
        <v>5142.5</v>
      </c>
      <c r="CR47" s="53" t="n">
        <f aca="false">CQ47/0.74</f>
        <v>6949.32432432432</v>
      </c>
      <c r="CS47" s="58" t="n">
        <f aca="false">CR47*0.338+0</f>
        <v>2348.87162162162</v>
      </c>
      <c r="CT47" s="55" t="n">
        <f aca="false">CR47+CS47</f>
        <v>9298.19594594595</v>
      </c>
      <c r="CU47" s="58" t="n">
        <f aca="false">CT47-(2_Market_Gross_USD!E45+35)</f>
        <v>3763.19594594595</v>
      </c>
      <c r="CV47" s="66" t="n">
        <f aca="false">IFERROR(CT47/(2_Market_Gross_USD!E45+35),0)</f>
        <v>1.67989086647623</v>
      </c>
      <c r="CW47" s="63" t="n">
        <f aca="false">2_Market_Gross_USD!E45*(1-0.065)</f>
        <v>5142.5</v>
      </c>
      <c r="CX47" s="53" t="n">
        <f aca="false">CW47/0.85</f>
        <v>6050</v>
      </c>
      <c r="CY47" s="58" t="n">
        <f aca="false">CX47*0+0</f>
        <v>0</v>
      </c>
      <c r="CZ47" s="55" t="n">
        <f aca="false">CX47+CY47</f>
        <v>6050</v>
      </c>
      <c r="DA47" s="58" t="n">
        <f aca="false">CZ47-(2_Market_Gross_USD!E45+35)</f>
        <v>515</v>
      </c>
      <c r="DB47" s="66" t="n">
        <f aca="false">IFERROR(CZ47/(2_Market_Gross_USD!E45+35),0)</f>
        <v>1.09304426377597</v>
      </c>
      <c r="DC47" s="63" t="n">
        <f aca="false">2_Market_Gross_USD!E45*(1-0.065)</f>
        <v>5142.5</v>
      </c>
      <c r="DD47" s="53" t="n">
        <f aca="false">DC47/0.74</f>
        <v>6949.32432432432</v>
      </c>
      <c r="DE47" s="58" t="n">
        <f aca="false">DD47*0.338+500</f>
        <v>2848.87162162162</v>
      </c>
      <c r="DF47" s="55" t="n">
        <f aca="false">DD47+DE47</f>
        <v>9798.19594594595</v>
      </c>
      <c r="DG47" s="58" t="n">
        <f aca="false">DF47-(2_Market_Gross_USD!E45+35)</f>
        <v>4263.19594594595</v>
      </c>
      <c r="DH47" s="66" t="n">
        <f aca="false">IFERROR(DF47/(2_Market_Gross_USD!E45+35),0)</f>
        <v>1.77022510315193</v>
      </c>
      <c r="DI47" s="63" t="n">
        <f aca="false">2_Market_Gross_USD!E45*(1-0.065)</f>
        <v>5142.5</v>
      </c>
      <c r="DJ47" s="53" t="n">
        <f aca="false">DI47/0.66</f>
        <v>7791.66666666667</v>
      </c>
      <c r="DK47" s="58" t="n">
        <f aca="false">DJ47*0.2375+0</f>
        <v>1850.52083333333</v>
      </c>
      <c r="DL47" s="55" t="n">
        <f aca="false">DJ47+DK47</f>
        <v>9642.1875</v>
      </c>
      <c r="DM47" s="58" t="n">
        <f aca="false">DL47-(2_Market_Gross_USD!E45+35)</f>
        <v>4107.1875</v>
      </c>
      <c r="DN47" s="66" t="n">
        <f aca="false">IFERROR(DL47/(2_Market_Gross_USD!E45+35),0)</f>
        <v>1.74203929539295</v>
      </c>
      <c r="DO47" s="63" t="n">
        <f aca="false">2_Market_Gross_USD!E45*(1-0.065)</f>
        <v>5142.5</v>
      </c>
      <c r="DP47" s="53" t="n">
        <f aca="false">DO47/0.8</f>
        <v>6428.125</v>
      </c>
      <c r="DQ47" s="58" t="n">
        <f aca="false">DP47*0+0</f>
        <v>0</v>
      </c>
      <c r="DR47" s="55" t="n">
        <f aca="false">DP47+DQ47</f>
        <v>6428.125</v>
      </c>
      <c r="DS47" s="58" t="n">
        <f aca="false">DR47-(2_Market_Gross_USD!E45+35)</f>
        <v>893.125</v>
      </c>
      <c r="DT47" s="66" t="n">
        <f aca="false">IFERROR(DR47/(2_Market_Gross_USD!E45+35),0)</f>
        <v>1.16135953026197</v>
      </c>
      <c r="DU47" s="63" t="n">
        <f aca="false">2_Market_Gross_USD!E45*(1-0.065)</f>
        <v>5142.5</v>
      </c>
      <c r="DV47" s="53" t="n">
        <f aca="false">DU47/0.66</f>
        <v>7791.66666666667</v>
      </c>
      <c r="DW47" s="58" t="n">
        <f aca="false">DV47*0.2375+500</f>
        <v>2350.52083333333</v>
      </c>
      <c r="DX47" s="55" t="n">
        <f aca="false">DV47+DW47</f>
        <v>10142.1875</v>
      </c>
      <c r="DY47" s="58" t="n">
        <f aca="false">DX47-(2_Market_Gross_USD!E45+35)</f>
        <v>4607.1875</v>
      </c>
      <c r="DZ47" s="66" t="n">
        <f aca="false">IFERROR(DX47/(2_Market_Gross_USD!E45+35),0)</f>
        <v>1.83237353206865</v>
      </c>
      <c r="EA47" s="63" t="n">
        <f aca="false">2_Market_Gross_USD!E45*(1-0.065)</f>
        <v>5142.5</v>
      </c>
      <c r="EB47" s="53" t="n">
        <f aca="false">EA47/0.65</f>
        <v>7911.53846153846</v>
      </c>
      <c r="EC47" s="58" t="n">
        <f aca="false">EB47*0.0225+0</f>
        <v>178.009615384615</v>
      </c>
      <c r="ED47" s="55" t="n">
        <f aca="false">EB47+EC47</f>
        <v>8089.54807692308</v>
      </c>
      <c r="EE47" s="58" t="n">
        <f aca="false">ED47-(2_Market_Gross_USD!E45+35)</f>
        <v>2554.54807692308</v>
      </c>
      <c r="EF47" s="66" t="n">
        <f aca="false">IFERROR(ED47/(2_Market_Gross_USD!E45+35),0)</f>
        <v>1.46152630116045</v>
      </c>
      <c r="EG47" s="63" t="n">
        <f aca="false">2_Market_Gross_USD!E45*(1-0.065)</f>
        <v>5142.5</v>
      </c>
      <c r="EH47" s="53" t="n">
        <f aca="false">EG47/0.99</f>
        <v>5194.44444444444</v>
      </c>
      <c r="EI47" s="58" t="n">
        <f aca="false">EH47*0+0</f>
        <v>0</v>
      </c>
      <c r="EJ47" s="55" t="n">
        <f aca="false">EH47+EI47</f>
        <v>5194.44444444444</v>
      </c>
      <c r="EK47" s="58" t="n">
        <f aca="false">EJ47-(2_Market_Gross_USD!E45+35)</f>
        <v>-340.555555555556</v>
      </c>
      <c r="EL47" s="66" t="n">
        <f aca="false">IFERROR(EJ47/(2_Market_Gross_USD!E45+35),0)</f>
        <v>0.93847234768644</v>
      </c>
      <c r="EM47" s="63" t="n">
        <f aca="false">2_Market_Gross_USD!E45*(1-0.065)</f>
        <v>5142.5</v>
      </c>
      <c r="EN47" s="53" t="n">
        <f aca="false">EM47/0.65</f>
        <v>7911.53846153846</v>
      </c>
      <c r="EO47" s="58" t="n">
        <f aca="false">EN47*0.0225+500</f>
        <v>678.009615384615</v>
      </c>
      <c r="EP47" s="55" t="n">
        <f aca="false">EN47+EO47</f>
        <v>8589.54807692308</v>
      </c>
      <c r="EQ47" s="58" t="n">
        <f aca="false">EP47-(2_Market_Gross_USD!E45+35)</f>
        <v>3054.54807692308</v>
      </c>
      <c r="ER47" s="66" t="n">
        <f aca="false">IFERROR(EP47/(2_Market_Gross_USD!E45+35),0)</f>
        <v>1.55186053783615</v>
      </c>
    </row>
    <row r="48" customFormat="false" ht="15" hidden="false" customHeight="false" outlineLevel="0" collapsed="false">
      <c r="A48" s="37" t="n">
        <v>43</v>
      </c>
      <c r="B48" s="32" t="s">
        <v>278</v>
      </c>
      <c r="C48" s="32" t="s">
        <v>279</v>
      </c>
      <c r="D48" s="62" t="s">
        <v>248</v>
      </c>
      <c r="E48" s="63" t="n">
        <f aca="false">2_Market_Gross_USD!E46*(1-0.065)</f>
        <v>1753.125</v>
      </c>
      <c r="F48" s="53" t="n">
        <f aca="false">E48/0.7429</f>
        <v>2359.83981693364</v>
      </c>
      <c r="G48" s="54" t="n">
        <f aca="false">F48*0.2038+0</f>
        <v>480.935354691076</v>
      </c>
      <c r="H48" s="55" t="n">
        <f aca="false">F48+G48</f>
        <v>2840.77517162471</v>
      </c>
      <c r="I48" s="54" t="n">
        <f aca="false">H48-(2_Market_Gross_USD!E46+35)</f>
        <v>930.775171624714</v>
      </c>
      <c r="J48" s="64" t="n">
        <f aca="false">IFERROR(H48/(2_Market_Gross_USD!E46+35),0)</f>
        <v>1.48731684378257</v>
      </c>
      <c r="K48" s="63" t="n">
        <f aca="false">2_Market_Gross_USD!E46*(1-0.065)</f>
        <v>1753.125</v>
      </c>
      <c r="L48" s="53" t="n">
        <f aca="false">K48/0.88</f>
        <v>1992.1875</v>
      </c>
      <c r="M48" s="54" t="n">
        <f aca="false">L48*0+0</f>
        <v>0</v>
      </c>
      <c r="N48" s="55" t="n">
        <f aca="false">L48+M48</f>
        <v>1992.1875</v>
      </c>
      <c r="O48" s="54" t="n">
        <f aca="false">N48-(2_Market_Gross_USD!E46+35)</f>
        <v>82.1875</v>
      </c>
      <c r="P48" s="64" t="n">
        <f aca="false">IFERROR(N48/(2_Market_Gross_USD!E46+35),0)</f>
        <v>1.04303010471204</v>
      </c>
      <c r="Q48" s="63" t="n">
        <f aca="false">2_Market_Gross_USD!E46*(1-0.065)</f>
        <v>1753.125</v>
      </c>
      <c r="R48" s="53" t="n">
        <f aca="false">Q48/0.7429</f>
        <v>2359.83981693364</v>
      </c>
      <c r="S48" s="54" t="n">
        <f aca="false">R48*0.2038+500</f>
        <v>980.935354691076</v>
      </c>
      <c r="T48" s="55" t="n">
        <f aca="false">R48+S48</f>
        <v>3340.77517162471</v>
      </c>
      <c r="U48" s="54" t="n">
        <f aca="false">T48-(2_Market_Gross_USD!E46+35)</f>
        <v>1430.77517162471</v>
      </c>
      <c r="V48" s="64" t="n">
        <f aca="false">IFERROR(T48/(2_Market_Gross_USD!E46+35),0)</f>
        <v>1.74909694849461</v>
      </c>
      <c r="W48" s="63" t="n">
        <f aca="false">2_Market_Gross_USD!E46*(1-0.065)</f>
        <v>1753.125</v>
      </c>
      <c r="X48" s="53" t="n">
        <f aca="false">W48/0.72</f>
        <v>2434.89583333333</v>
      </c>
      <c r="Y48" s="54" t="n">
        <f aca="false">X48*0.15+0</f>
        <v>365.234375</v>
      </c>
      <c r="Z48" s="55" t="n">
        <f aca="false">X48+Y48</f>
        <v>2800.13020833333</v>
      </c>
      <c r="AA48" s="54" t="n">
        <f aca="false">Z48-(2_Market_Gross_USD!E46+35)</f>
        <v>890.130208333334</v>
      </c>
      <c r="AB48" s="64" t="n">
        <f aca="false">IFERROR(Z48/(2_Market_Gross_USD!E46+35),0)</f>
        <v>1.4660367582897</v>
      </c>
      <c r="AC48" s="63" t="n">
        <f aca="false">2_Market_Gross_USD!E46*(1-0.065)</f>
        <v>1753.125</v>
      </c>
      <c r="AD48" s="53" t="n">
        <f aca="false">AC48/0.81</f>
        <v>2164.35185185185</v>
      </c>
      <c r="AE48" s="54" t="n">
        <f aca="false">AD48*0+0</f>
        <v>0</v>
      </c>
      <c r="AF48" s="55" t="n">
        <f aca="false">AD48+AE48</f>
        <v>2164.35185185185</v>
      </c>
      <c r="AG48" s="54" t="n">
        <f aca="false">AF48-(2_Market_Gross_USD!E46+35)</f>
        <v>254.351851851852</v>
      </c>
      <c r="AH48" s="64" t="n">
        <f aca="false">IFERROR(AF48/(2_Market_Gross_USD!E46+35),0)</f>
        <v>1.13316850882296</v>
      </c>
      <c r="AI48" s="63" t="n">
        <f aca="false">2_Market_Gross_USD!E46*(1-0.065)</f>
        <v>1753.125</v>
      </c>
      <c r="AJ48" s="53" t="n">
        <f aca="false">AI48/0.72</f>
        <v>2434.89583333333</v>
      </c>
      <c r="AK48" s="54" t="n">
        <f aca="false">AJ48*0.15+500</f>
        <v>865.234375</v>
      </c>
      <c r="AL48" s="55" t="n">
        <f aca="false">AJ48+AK48</f>
        <v>3300.13020833333</v>
      </c>
      <c r="AM48" s="54" t="n">
        <f aca="false">AL48-(2_Market_Gross_USD!E46+35)</f>
        <v>1390.13020833333</v>
      </c>
      <c r="AN48" s="64" t="n">
        <f aca="false">IFERROR(AL48/(2_Market_Gross_USD!E46+35),0)</f>
        <v>1.72781686300175</v>
      </c>
      <c r="AO48" s="63" t="n">
        <f aca="false">2_Market_Gross_USD!E46*(1-0.065)</f>
        <v>1753.125</v>
      </c>
      <c r="AP48" s="53" t="n">
        <f aca="false">AO48/0.7035</f>
        <v>2492.00426439232</v>
      </c>
      <c r="AQ48" s="54" t="n">
        <f aca="false">AP48*0.11+0</f>
        <v>274.120469083156</v>
      </c>
      <c r="AR48" s="55" t="n">
        <f aca="false">AP48+AQ48</f>
        <v>2766.12473347548</v>
      </c>
      <c r="AS48" s="54" t="n">
        <f aca="false">AR48-(2_Market_Gross_USD!E46+35)</f>
        <v>856.124733475479</v>
      </c>
      <c r="AT48" s="64" t="n">
        <f aca="false">IFERROR(AR48/(2_Market_Gross_USD!E46+35),0)</f>
        <v>1.44823284475156</v>
      </c>
      <c r="AU48" s="63" t="n">
        <f aca="false">2_Market_Gross_USD!E46*(1-0.065)</f>
        <v>1753.125</v>
      </c>
      <c r="AV48" s="53" t="n">
        <f aca="false">AU48/0.627</f>
        <v>2796.05263157895</v>
      </c>
      <c r="AW48" s="54" t="n">
        <f aca="false">AV48*0+0</f>
        <v>0</v>
      </c>
      <c r="AX48" s="55" t="n">
        <f aca="false">AV48+AW48</f>
        <v>2796.05263157895</v>
      </c>
      <c r="AY48" s="54" t="n">
        <f aca="false">AX48-(2_Market_Gross_USD!E46+35)</f>
        <v>886.052631578948</v>
      </c>
      <c r="AZ48" s="64" t="n">
        <f aca="false">IFERROR(AX48/(2_Market_Gross_USD!E46+35),0)</f>
        <v>1.46390190135023</v>
      </c>
      <c r="BA48" s="63" t="n">
        <f aca="false">2_Market_Gross_USD!E46*(1-0.065)</f>
        <v>1753.125</v>
      </c>
      <c r="BB48" s="53" t="n">
        <f aca="false">BA48/0.7035</f>
        <v>2492.00426439232</v>
      </c>
      <c r="BC48" s="54" t="n">
        <f aca="false">BB48*0.11+500</f>
        <v>774.120469083156</v>
      </c>
      <c r="BD48" s="55" t="n">
        <f aca="false">BB48+BC48</f>
        <v>3266.12473347548</v>
      </c>
      <c r="BE48" s="54" t="n">
        <f aca="false">BD48-(2_Market_Gross_USD!E46+35)</f>
        <v>1356.12473347548</v>
      </c>
      <c r="BF48" s="64" t="n">
        <f aca="false">IFERROR(BD48/(2_Market_Gross_USD!E46+35),0)</f>
        <v>1.7100129494636</v>
      </c>
      <c r="BG48" s="63" t="n">
        <f aca="false">2_Market_Gross_USD!E46*(1-0.065)</f>
        <v>1753.125</v>
      </c>
      <c r="BH48" s="53" t="n">
        <f aca="false">BG48/0.5215</f>
        <v>3361.69702780441</v>
      </c>
      <c r="BI48" s="54" t="n">
        <f aca="false">BH48*0.21+0</f>
        <v>705.956375838926</v>
      </c>
      <c r="BJ48" s="55" t="n">
        <f aca="false">BH48+BI48</f>
        <v>4067.65340364334</v>
      </c>
      <c r="BK48" s="54" t="n">
        <f aca="false">BJ48-(2_Market_Gross_USD!E46+35)</f>
        <v>2157.65340364334</v>
      </c>
      <c r="BL48" s="64" t="n">
        <f aca="false">IFERROR(BJ48/(2_Market_Gross_USD!E46+35),0)</f>
        <v>2.12966146787609</v>
      </c>
      <c r="BM48" s="63" t="n">
        <f aca="false">2_Market_Gross_USD!E46*(1-0.065)</f>
        <v>1753.125</v>
      </c>
      <c r="BN48" s="53" t="n">
        <f aca="false">BM48/0.75</f>
        <v>2337.5</v>
      </c>
      <c r="BO48" s="54" t="n">
        <f aca="false">BN48*0+0</f>
        <v>0</v>
      </c>
      <c r="BP48" s="55" t="n">
        <f aca="false">BN48+BO48</f>
        <v>2337.5</v>
      </c>
      <c r="BQ48" s="54" t="n">
        <f aca="false">BP48-(2_Market_Gross_USD!E46+35)</f>
        <v>427.5</v>
      </c>
      <c r="BR48" s="64" t="n">
        <f aca="false">IFERROR(BP48/(2_Market_Gross_USD!E46+35),0)</f>
        <v>1.2238219895288</v>
      </c>
      <c r="BS48" s="63" t="n">
        <f aca="false">2_Market_Gross_USD!E46*(1-0.065)</f>
        <v>1753.125</v>
      </c>
      <c r="BT48" s="53" t="n">
        <f aca="false">BS48/0.5215</f>
        <v>3361.69702780441</v>
      </c>
      <c r="BU48" s="54" t="n">
        <f aca="false">BT48*0.21+500</f>
        <v>1205.95637583893</v>
      </c>
      <c r="BV48" s="55" t="n">
        <f aca="false">BT48+BU48</f>
        <v>4567.65340364334</v>
      </c>
      <c r="BW48" s="54" t="n">
        <f aca="false">BV48-(2_Market_Gross_USD!E46+35)</f>
        <v>2657.65340364334</v>
      </c>
      <c r="BX48" s="64" t="n">
        <f aca="false">IFERROR(BV48/(2_Market_Gross_USD!E46+35),0)</f>
        <v>2.39144157258813</v>
      </c>
      <c r="BY48" s="63" t="n">
        <f aca="false">2_Market_Gross_USD!E46*(1-0.065)</f>
        <v>1753.125</v>
      </c>
      <c r="BZ48" s="53" t="n">
        <f aca="false">BY48/0.6303</f>
        <v>2781.41361256545</v>
      </c>
      <c r="CA48" s="54" t="n">
        <f aca="false">BZ48*0.2+0</f>
        <v>556.282722513089</v>
      </c>
      <c r="CB48" s="55" t="n">
        <f aca="false">BZ48+CA48</f>
        <v>3337.69633507853</v>
      </c>
      <c r="CC48" s="54" t="n">
        <f aca="false">CB48-(2_Market_Gross_USD!E46+35)</f>
        <v>1427.69633507853</v>
      </c>
      <c r="CD48" s="64" t="n">
        <f aca="false">IFERROR(CB48/(2_Market_Gross_USD!E46+35),0)</f>
        <v>1.74748499218771</v>
      </c>
      <c r="CE48" s="63" t="n">
        <f aca="false">2_Market_Gross_USD!E46*(1-0.065)</f>
        <v>1753.125</v>
      </c>
      <c r="CF48" s="53" t="n">
        <f aca="false">CE48/0.6303</f>
        <v>2781.41361256545</v>
      </c>
      <c r="CG48" s="54" t="n">
        <f aca="false">CF48*0+0</f>
        <v>0</v>
      </c>
      <c r="CH48" s="55" t="n">
        <f aca="false">CF48+CG48</f>
        <v>2781.41361256545</v>
      </c>
      <c r="CI48" s="54" t="n">
        <f aca="false">CH48-(2_Market_Gross_USD!E46+35)</f>
        <v>871.413612565445</v>
      </c>
      <c r="CJ48" s="64" t="n">
        <f aca="false">IFERROR(CH48/(2_Market_Gross_USD!E46+35),0)</f>
        <v>1.45623749348976</v>
      </c>
      <c r="CK48" s="63" t="n">
        <f aca="false">2_Market_Gross_USD!E46*(1-0.065)</f>
        <v>1753.125</v>
      </c>
      <c r="CL48" s="53" t="n">
        <f aca="false">CK48/0.6303</f>
        <v>2781.41361256545</v>
      </c>
      <c r="CM48" s="54" t="n">
        <f aca="false">CL48*0.2+500</f>
        <v>1056.28272251309</v>
      </c>
      <c r="CN48" s="55" t="n">
        <f aca="false">CL48+CM48</f>
        <v>3837.69633507853</v>
      </c>
      <c r="CO48" s="54" t="n">
        <f aca="false">CN48-(2_Market_Gross_USD!E46+35)</f>
        <v>1927.69633507853</v>
      </c>
      <c r="CP48" s="64" t="n">
        <f aca="false">IFERROR(CN48/(2_Market_Gross_USD!E46+35),0)</f>
        <v>2.00926509689976</v>
      </c>
      <c r="CQ48" s="63" t="n">
        <f aca="false">2_Market_Gross_USD!E46*(1-0.065)</f>
        <v>1753.125</v>
      </c>
      <c r="CR48" s="53" t="n">
        <f aca="false">CQ48/0.74</f>
        <v>2369.08783783784</v>
      </c>
      <c r="CS48" s="54" t="n">
        <f aca="false">CR48*0.338+0</f>
        <v>800.751689189189</v>
      </c>
      <c r="CT48" s="55" t="n">
        <f aca="false">CR48+CS48</f>
        <v>3169.83952702703</v>
      </c>
      <c r="CU48" s="54" t="n">
        <f aca="false">CT48-(2_Market_Gross_USD!E46+35)</f>
        <v>1259.83952702703</v>
      </c>
      <c r="CV48" s="64" t="n">
        <f aca="false">IFERROR(CT48/(2_Market_Gross_USD!E46+35),0)</f>
        <v>1.65960184661101</v>
      </c>
      <c r="CW48" s="63" t="n">
        <f aca="false">2_Market_Gross_USD!E46*(1-0.065)</f>
        <v>1753.125</v>
      </c>
      <c r="CX48" s="53" t="n">
        <f aca="false">CW48/0.85</f>
        <v>2062.5</v>
      </c>
      <c r="CY48" s="54" t="n">
        <f aca="false">CX48*0+0</f>
        <v>0</v>
      </c>
      <c r="CZ48" s="55" t="n">
        <f aca="false">CX48+CY48</f>
        <v>2062.5</v>
      </c>
      <c r="DA48" s="54" t="n">
        <f aca="false">CZ48-(2_Market_Gross_USD!E46+35)</f>
        <v>152.5</v>
      </c>
      <c r="DB48" s="64" t="n">
        <f aca="false">IFERROR(CZ48/(2_Market_Gross_USD!E46+35),0)</f>
        <v>1.07984293193717</v>
      </c>
      <c r="DC48" s="63" t="n">
        <f aca="false">2_Market_Gross_USD!E46*(1-0.065)</f>
        <v>1753.125</v>
      </c>
      <c r="DD48" s="53" t="n">
        <f aca="false">DC48/0.74</f>
        <v>2369.08783783784</v>
      </c>
      <c r="DE48" s="54" t="n">
        <f aca="false">DD48*0.338+500</f>
        <v>1300.75168918919</v>
      </c>
      <c r="DF48" s="55" t="n">
        <f aca="false">DD48+DE48</f>
        <v>3669.83952702703</v>
      </c>
      <c r="DG48" s="54" t="n">
        <f aca="false">DF48-(2_Market_Gross_USD!E46+35)</f>
        <v>1759.83952702703</v>
      </c>
      <c r="DH48" s="64" t="n">
        <f aca="false">IFERROR(DF48/(2_Market_Gross_USD!E46+35),0)</f>
        <v>1.92138195132305</v>
      </c>
      <c r="DI48" s="63" t="n">
        <f aca="false">2_Market_Gross_USD!E46*(1-0.065)</f>
        <v>1753.125</v>
      </c>
      <c r="DJ48" s="53" t="n">
        <f aca="false">DI48/0.66</f>
        <v>2656.25</v>
      </c>
      <c r="DK48" s="54" t="n">
        <f aca="false">DJ48*0.2375+0</f>
        <v>630.859375</v>
      </c>
      <c r="DL48" s="55" t="n">
        <f aca="false">DJ48+DK48</f>
        <v>3287.109375</v>
      </c>
      <c r="DM48" s="54" t="n">
        <f aca="false">DL48-(2_Market_Gross_USD!E46+35)</f>
        <v>1377.109375</v>
      </c>
      <c r="DN48" s="64" t="n">
        <f aca="false">IFERROR(DL48/(2_Market_Gross_USD!E46+35),0)</f>
        <v>1.72099967277487</v>
      </c>
      <c r="DO48" s="63" t="n">
        <f aca="false">2_Market_Gross_USD!E46*(1-0.065)</f>
        <v>1753.125</v>
      </c>
      <c r="DP48" s="53" t="n">
        <f aca="false">DO48/0.8</f>
        <v>2191.40625</v>
      </c>
      <c r="DQ48" s="54" t="n">
        <f aca="false">DP48*0+0</f>
        <v>0</v>
      </c>
      <c r="DR48" s="55" t="n">
        <f aca="false">DP48+DQ48</f>
        <v>2191.40625</v>
      </c>
      <c r="DS48" s="54" t="n">
        <f aca="false">DR48-(2_Market_Gross_USD!E46+35)</f>
        <v>281.40625</v>
      </c>
      <c r="DT48" s="64" t="n">
        <f aca="false">IFERROR(DR48/(2_Market_Gross_USD!E46+35),0)</f>
        <v>1.14733311518325</v>
      </c>
      <c r="DU48" s="63" t="n">
        <f aca="false">2_Market_Gross_USD!E46*(1-0.065)</f>
        <v>1753.125</v>
      </c>
      <c r="DV48" s="53" t="n">
        <f aca="false">DU48/0.66</f>
        <v>2656.25</v>
      </c>
      <c r="DW48" s="54" t="n">
        <f aca="false">DV48*0.2375+500</f>
        <v>1130.859375</v>
      </c>
      <c r="DX48" s="55" t="n">
        <f aca="false">DV48+DW48</f>
        <v>3787.109375</v>
      </c>
      <c r="DY48" s="54" t="n">
        <f aca="false">DX48-(2_Market_Gross_USD!E46+35)</f>
        <v>1877.109375</v>
      </c>
      <c r="DZ48" s="64" t="n">
        <f aca="false">IFERROR(DX48/(2_Market_Gross_USD!E46+35),0)</f>
        <v>1.98277977748691</v>
      </c>
      <c r="EA48" s="63" t="n">
        <f aca="false">2_Market_Gross_USD!E46*(1-0.065)</f>
        <v>1753.125</v>
      </c>
      <c r="EB48" s="53" t="n">
        <f aca="false">EA48/0.65</f>
        <v>2697.11538461538</v>
      </c>
      <c r="EC48" s="54" t="n">
        <f aca="false">EB48*0.0225+0</f>
        <v>60.6850961538461</v>
      </c>
      <c r="ED48" s="55" t="n">
        <f aca="false">EB48+EC48</f>
        <v>2757.80048076923</v>
      </c>
      <c r="EE48" s="54" t="n">
        <f aca="false">ED48-(2_Market_Gross_USD!E46+35)</f>
        <v>847.800480769231</v>
      </c>
      <c r="EF48" s="64" t="n">
        <f aca="false">IFERROR(ED48/(2_Market_Gross_USD!E46+35),0)</f>
        <v>1.44387459726138</v>
      </c>
      <c r="EG48" s="63" t="n">
        <f aca="false">2_Market_Gross_USD!E46*(1-0.065)</f>
        <v>1753.125</v>
      </c>
      <c r="EH48" s="53" t="n">
        <f aca="false">EG48/0.99</f>
        <v>1770.83333333333</v>
      </c>
      <c r="EI48" s="54" t="n">
        <f aca="false">EH48*0+0</f>
        <v>0</v>
      </c>
      <c r="EJ48" s="55" t="n">
        <f aca="false">EH48+EI48</f>
        <v>1770.83333333333</v>
      </c>
      <c r="EK48" s="54" t="n">
        <f aca="false">EJ48-(2_Market_Gross_USD!E46+35)</f>
        <v>-139.166666666667</v>
      </c>
      <c r="EL48" s="64" t="n">
        <f aca="false">IFERROR(EJ48/(2_Market_Gross_USD!E46+35),0)</f>
        <v>0.927137870855148</v>
      </c>
      <c r="EM48" s="63" t="n">
        <f aca="false">2_Market_Gross_USD!E46*(1-0.065)</f>
        <v>1753.125</v>
      </c>
      <c r="EN48" s="53" t="n">
        <f aca="false">EM48/0.65</f>
        <v>2697.11538461538</v>
      </c>
      <c r="EO48" s="54" t="n">
        <f aca="false">EN48*0.0225+500</f>
        <v>560.685096153846</v>
      </c>
      <c r="EP48" s="55" t="n">
        <f aca="false">EN48+EO48</f>
        <v>3257.80048076923</v>
      </c>
      <c r="EQ48" s="54" t="n">
        <f aca="false">EP48-(2_Market_Gross_USD!E46+35)</f>
        <v>1347.80048076923</v>
      </c>
      <c r="ER48" s="64" t="n">
        <f aca="false">IFERROR(EP48/(2_Market_Gross_USD!E46+35),0)</f>
        <v>1.70565470197342</v>
      </c>
    </row>
    <row r="49" customFormat="false" ht="15" hidden="false" customHeight="false" outlineLevel="0" collapsed="false">
      <c r="A49" s="41" t="n">
        <v>44</v>
      </c>
      <c r="B49" s="28" t="s">
        <v>278</v>
      </c>
      <c r="C49" s="8" t="s">
        <v>279</v>
      </c>
      <c r="D49" s="65" t="s">
        <v>249</v>
      </c>
      <c r="E49" s="63" t="n">
        <f aca="false">2_Market_Gross_USD!E47*(1-0.065)</f>
        <v>4301</v>
      </c>
      <c r="F49" s="53" t="n">
        <f aca="false">E49/0.7429</f>
        <v>5789.47368421053</v>
      </c>
      <c r="G49" s="58" t="n">
        <f aca="false">F49*0.2038+0</f>
        <v>1179.89473684211</v>
      </c>
      <c r="H49" s="55" t="n">
        <f aca="false">F49+G49</f>
        <v>6969.36842105263</v>
      </c>
      <c r="I49" s="58" t="n">
        <f aca="false">H49-(2_Market_Gross_USD!E47+35)</f>
        <v>2334.36842105263</v>
      </c>
      <c r="J49" s="66" t="n">
        <f aca="false">IFERROR(H49/(2_Market_Gross_USD!E47+35),0)</f>
        <v>1.50363935729291</v>
      </c>
      <c r="K49" s="63" t="n">
        <f aca="false">2_Market_Gross_USD!E47*(1-0.065)</f>
        <v>4301</v>
      </c>
      <c r="L49" s="53" t="n">
        <f aca="false">K49/0.88</f>
        <v>4887.5</v>
      </c>
      <c r="M49" s="58" t="n">
        <f aca="false">L49*0+0</f>
        <v>0</v>
      </c>
      <c r="N49" s="55" t="n">
        <f aca="false">L49+M49</f>
        <v>4887.5</v>
      </c>
      <c r="O49" s="58" t="n">
        <f aca="false">N49-(2_Market_Gross_USD!E47+35)</f>
        <v>252.5</v>
      </c>
      <c r="P49" s="66" t="n">
        <f aca="false">IFERROR(N49/(2_Market_Gross_USD!E47+35),0)</f>
        <v>1.05447680690399</v>
      </c>
      <c r="Q49" s="63" t="n">
        <f aca="false">2_Market_Gross_USD!E47*(1-0.065)</f>
        <v>4301</v>
      </c>
      <c r="R49" s="53" t="n">
        <f aca="false">Q49/0.7429</f>
        <v>5789.47368421053</v>
      </c>
      <c r="S49" s="58" t="n">
        <f aca="false">R49*0.2038+500</f>
        <v>1679.89473684211</v>
      </c>
      <c r="T49" s="55" t="n">
        <f aca="false">R49+S49</f>
        <v>7469.36842105263</v>
      </c>
      <c r="U49" s="58" t="n">
        <f aca="false">T49-(2_Market_Gross_USD!E47+35)</f>
        <v>2834.36842105263</v>
      </c>
      <c r="V49" s="66" t="n">
        <f aca="false">IFERROR(T49/(2_Market_Gross_USD!E47+35),0)</f>
        <v>1.61151422244933</v>
      </c>
      <c r="W49" s="63" t="n">
        <f aca="false">2_Market_Gross_USD!E47*(1-0.065)</f>
        <v>4301</v>
      </c>
      <c r="X49" s="53" t="n">
        <f aca="false">W49/0.72</f>
        <v>5973.61111111111</v>
      </c>
      <c r="Y49" s="58" t="n">
        <f aca="false">X49*0.15+0</f>
        <v>896.041666666667</v>
      </c>
      <c r="Z49" s="55" t="n">
        <f aca="false">X49+Y49</f>
        <v>6869.65277777778</v>
      </c>
      <c r="AA49" s="58" t="n">
        <f aca="false">Z49-(2_Market_Gross_USD!E47+35)</f>
        <v>2234.65277777778</v>
      </c>
      <c r="AB49" s="66" t="n">
        <f aca="false">IFERROR(Z49/(2_Market_Gross_USD!E47+35),0)</f>
        <v>1.48212573414839</v>
      </c>
      <c r="AC49" s="63" t="n">
        <f aca="false">2_Market_Gross_USD!E47*(1-0.065)</f>
        <v>4301</v>
      </c>
      <c r="AD49" s="53" t="n">
        <f aca="false">AC49/0.81</f>
        <v>5309.87654320988</v>
      </c>
      <c r="AE49" s="58" t="n">
        <f aca="false">AD49*0+0</f>
        <v>0</v>
      </c>
      <c r="AF49" s="55" t="n">
        <f aca="false">AD49+AE49</f>
        <v>5309.87654320988</v>
      </c>
      <c r="AG49" s="58" t="n">
        <f aca="false">AF49-(2_Market_Gross_USD!E47+35)</f>
        <v>674.876543209876</v>
      </c>
      <c r="AH49" s="66" t="n">
        <f aca="false">IFERROR(AF49/(2_Market_Gross_USD!E47+35),0)</f>
        <v>1.14560443219199</v>
      </c>
      <c r="AI49" s="63" t="n">
        <f aca="false">2_Market_Gross_USD!E47*(1-0.065)</f>
        <v>4301</v>
      </c>
      <c r="AJ49" s="53" t="n">
        <f aca="false">AI49/0.72</f>
        <v>5973.61111111111</v>
      </c>
      <c r="AK49" s="58" t="n">
        <f aca="false">AJ49*0.15+500</f>
        <v>1396.04166666667</v>
      </c>
      <c r="AL49" s="55" t="n">
        <f aca="false">AJ49+AK49</f>
        <v>7369.65277777778</v>
      </c>
      <c r="AM49" s="58" t="n">
        <f aca="false">AL49-(2_Market_Gross_USD!E47+35)</f>
        <v>2734.65277777778</v>
      </c>
      <c r="AN49" s="66" t="n">
        <f aca="false">IFERROR(AL49/(2_Market_Gross_USD!E47+35),0)</f>
        <v>1.59000059930481</v>
      </c>
      <c r="AO49" s="63" t="n">
        <f aca="false">2_Market_Gross_USD!E47*(1-0.065)</f>
        <v>4301</v>
      </c>
      <c r="AP49" s="53" t="n">
        <f aca="false">AO49/0.7035</f>
        <v>6113.7171286425</v>
      </c>
      <c r="AQ49" s="58" t="n">
        <f aca="false">AP49*0.11+0</f>
        <v>672.508884150675</v>
      </c>
      <c r="AR49" s="55" t="n">
        <f aca="false">AP49+AQ49</f>
        <v>6786.22601279318</v>
      </c>
      <c r="AS49" s="58" t="n">
        <f aca="false">AR49-(2_Market_Gross_USD!E47+35)</f>
        <v>2151.22601279318</v>
      </c>
      <c r="AT49" s="66" t="n">
        <f aca="false">IFERROR(AR49/(2_Market_Gross_USD!E47+35),0)</f>
        <v>1.46412643210209</v>
      </c>
      <c r="AU49" s="63" t="n">
        <f aca="false">2_Market_Gross_USD!E47*(1-0.065)</f>
        <v>4301</v>
      </c>
      <c r="AV49" s="53" t="n">
        <f aca="false">AU49/0.627</f>
        <v>6859.64912280702</v>
      </c>
      <c r="AW49" s="58" t="n">
        <f aca="false">AV49*0+0</f>
        <v>0</v>
      </c>
      <c r="AX49" s="55" t="n">
        <f aca="false">AV49+AW49</f>
        <v>6859.64912280702</v>
      </c>
      <c r="AY49" s="58" t="n">
        <f aca="false">AX49-(2_Market_Gross_USD!E47+35)</f>
        <v>2224.64912280702</v>
      </c>
      <c r="AZ49" s="66" t="n">
        <f aca="false">IFERROR(AX49/(2_Market_Gross_USD!E47+35),0)</f>
        <v>1.4799674482863</v>
      </c>
      <c r="BA49" s="63" t="n">
        <f aca="false">2_Market_Gross_USD!E47*(1-0.065)</f>
        <v>4301</v>
      </c>
      <c r="BB49" s="53" t="n">
        <f aca="false">BA49/0.7035</f>
        <v>6113.7171286425</v>
      </c>
      <c r="BC49" s="58" t="n">
        <f aca="false">BB49*0.11+500</f>
        <v>1172.50888415068</v>
      </c>
      <c r="BD49" s="55" t="n">
        <f aca="false">BB49+BC49</f>
        <v>7286.22601279318</v>
      </c>
      <c r="BE49" s="58" t="n">
        <f aca="false">BD49-(2_Market_Gross_USD!E47+35)</f>
        <v>2651.22601279318</v>
      </c>
      <c r="BF49" s="66" t="n">
        <f aca="false">IFERROR(BD49/(2_Market_Gross_USD!E47+35),0)</f>
        <v>1.57200129725851</v>
      </c>
      <c r="BG49" s="63" t="n">
        <f aca="false">2_Market_Gross_USD!E47*(1-0.065)</f>
        <v>4301</v>
      </c>
      <c r="BH49" s="53" t="n">
        <f aca="false">BG49/0.5215</f>
        <v>8247.36337488016</v>
      </c>
      <c r="BI49" s="58" t="n">
        <f aca="false">BH49*0.21+0</f>
        <v>1731.94630872483</v>
      </c>
      <c r="BJ49" s="55" t="n">
        <f aca="false">BH49+BI49</f>
        <v>9979.30968360499</v>
      </c>
      <c r="BK49" s="58" t="n">
        <f aca="false">BJ49-(2_Market_Gross_USD!E47+35)</f>
        <v>5344.30968360499</v>
      </c>
      <c r="BL49" s="66" t="n">
        <f aca="false">IFERROR(BJ49/(2_Market_Gross_USD!E47+35),0)</f>
        <v>2.15303337294606</v>
      </c>
      <c r="BM49" s="63" t="n">
        <f aca="false">2_Market_Gross_USD!E47*(1-0.065)</f>
        <v>4301</v>
      </c>
      <c r="BN49" s="53" t="n">
        <f aca="false">BM49/0.75</f>
        <v>5734.66666666667</v>
      </c>
      <c r="BO49" s="58" t="n">
        <f aca="false">BN49*0+0</f>
        <v>0</v>
      </c>
      <c r="BP49" s="55" t="n">
        <f aca="false">BN49+BO49</f>
        <v>5734.66666666667</v>
      </c>
      <c r="BQ49" s="58" t="n">
        <f aca="false">BP49-(2_Market_Gross_USD!E47+35)</f>
        <v>1099.66666666667</v>
      </c>
      <c r="BR49" s="66" t="n">
        <f aca="false">IFERROR(BP49/(2_Market_Gross_USD!E47+35),0)</f>
        <v>1.23725278676735</v>
      </c>
      <c r="BS49" s="63" t="n">
        <f aca="false">2_Market_Gross_USD!E47*(1-0.065)</f>
        <v>4301</v>
      </c>
      <c r="BT49" s="53" t="n">
        <f aca="false">BS49/0.5215</f>
        <v>8247.36337488016</v>
      </c>
      <c r="BU49" s="58" t="n">
        <f aca="false">BT49*0.21+500</f>
        <v>2231.94630872483</v>
      </c>
      <c r="BV49" s="55" t="n">
        <f aca="false">BT49+BU49</f>
        <v>10479.309683605</v>
      </c>
      <c r="BW49" s="58" t="n">
        <f aca="false">BV49-(2_Market_Gross_USD!E47+35)</f>
        <v>5844.30968360499</v>
      </c>
      <c r="BX49" s="66" t="n">
        <f aca="false">IFERROR(BV49/(2_Market_Gross_USD!E47+35),0)</f>
        <v>2.26090823810248</v>
      </c>
      <c r="BY49" s="63" t="n">
        <f aca="false">2_Market_Gross_USD!E47*(1-0.065)</f>
        <v>4301</v>
      </c>
      <c r="BZ49" s="53" t="n">
        <f aca="false">BY49/0.6303</f>
        <v>6823.73472949389</v>
      </c>
      <c r="CA49" s="58" t="n">
        <f aca="false">BZ49*0.2+0</f>
        <v>1364.74694589878</v>
      </c>
      <c r="CB49" s="55" t="n">
        <f aca="false">BZ49+CA49</f>
        <v>8188.48167539267</v>
      </c>
      <c r="CC49" s="58" t="n">
        <f aca="false">CB49-(2_Market_Gross_USD!E47+35)</f>
        <v>3553.48167539267</v>
      </c>
      <c r="CD49" s="66" t="n">
        <f aca="false">IFERROR(CB49/(2_Market_Gross_USD!E47+35),0)</f>
        <v>1.76666271313758</v>
      </c>
      <c r="CE49" s="63" t="n">
        <f aca="false">2_Market_Gross_USD!E47*(1-0.065)</f>
        <v>4301</v>
      </c>
      <c r="CF49" s="53" t="n">
        <f aca="false">CE49/0.6303</f>
        <v>6823.73472949389</v>
      </c>
      <c r="CG49" s="58" t="n">
        <f aca="false">CF49*0+0</f>
        <v>0</v>
      </c>
      <c r="CH49" s="55" t="n">
        <f aca="false">CF49+CG49</f>
        <v>6823.73472949389</v>
      </c>
      <c r="CI49" s="58" t="n">
        <f aca="false">CH49-(2_Market_Gross_USD!E47+35)</f>
        <v>2188.73472949389</v>
      </c>
      <c r="CJ49" s="66" t="n">
        <f aca="false">IFERROR(CH49/(2_Market_Gross_USD!E47+35),0)</f>
        <v>1.47221892761465</v>
      </c>
      <c r="CK49" s="63" t="n">
        <f aca="false">2_Market_Gross_USD!E47*(1-0.065)</f>
        <v>4301</v>
      </c>
      <c r="CL49" s="53" t="n">
        <f aca="false">CK49/0.6303</f>
        <v>6823.73472949389</v>
      </c>
      <c r="CM49" s="58" t="n">
        <f aca="false">CL49*0.2+500</f>
        <v>1864.74694589878</v>
      </c>
      <c r="CN49" s="55" t="n">
        <f aca="false">CL49+CM49</f>
        <v>8688.48167539267</v>
      </c>
      <c r="CO49" s="58" t="n">
        <f aca="false">CN49-(2_Market_Gross_USD!E47+35)</f>
        <v>4053.48167539267</v>
      </c>
      <c r="CP49" s="66" t="n">
        <f aca="false">IFERROR(CN49/(2_Market_Gross_USD!E47+35),0)</f>
        <v>1.874537578294</v>
      </c>
      <c r="CQ49" s="63" t="n">
        <f aca="false">2_Market_Gross_USD!E47*(1-0.065)</f>
        <v>4301</v>
      </c>
      <c r="CR49" s="53" t="n">
        <f aca="false">CQ49/0.74</f>
        <v>5812.16216216216</v>
      </c>
      <c r="CS49" s="58" t="n">
        <f aca="false">CR49*0.338+0</f>
        <v>1964.51081081081</v>
      </c>
      <c r="CT49" s="55" t="n">
        <f aca="false">CR49+CS49</f>
        <v>7776.67297297297</v>
      </c>
      <c r="CU49" s="58" t="n">
        <f aca="false">CT49-(2_Market_Gross_USD!E47+35)</f>
        <v>3141.67297297297</v>
      </c>
      <c r="CV49" s="66" t="n">
        <f aca="false">IFERROR(CT49/(2_Market_Gross_USD!E47+35),0)</f>
        <v>1.67781509665005</v>
      </c>
      <c r="CW49" s="63" t="n">
        <f aca="false">2_Market_Gross_USD!E47*(1-0.065)</f>
        <v>4301</v>
      </c>
      <c r="CX49" s="53" t="n">
        <f aca="false">CW49/0.85</f>
        <v>5060</v>
      </c>
      <c r="CY49" s="58" t="n">
        <f aca="false">CX49*0+0</f>
        <v>0</v>
      </c>
      <c r="CZ49" s="55" t="n">
        <f aca="false">CX49+CY49</f>
        <v>5060</v>
      </c>
      <c r="DA49" s="58" t="n">
        <f aca="false">CZ49-(2_Market_Gross_USD!E47+35)</f>
        <v>425</v>
      </c>
      <c r="DB49" s="66" t="n">
        <f aca="false">IFERROR(CZ49/(2_Market_Gross_USD!E47+35),0)</f>
        <v>1.09169363538296</v>
      </c>
      <c r="DC49" s="63" t="n">
        <f aca="false">2_Market_Gross_USD!E47*(1-0.065)</f>
        <v>4301</v>
      </c>
      <c r="DD49" s="53" t="n">
        <f aca="false">DC49/0.74</f>
        <v>5812.16216216216</v>
      </c>
      <c r="DE49" s="58" t="n">
        <f aca="false">DD49*0.338+500</f>
        <v>2464.51081081081</v>
      </c>
      <c r="DF49" s="55" t="n">
        <f aca="false">DD49+DE49</f>
        <v>8276.67297297297</v>
      </c>
      <c r="DG49" s="58" t="n">
        <f aca="false">DF49-(2_Market_Gross_USD!E47+35)</f>
        <v>3641.67297297297</v>
      </c>
      <c r="DH49" s="66" t="n">
        <f aca="false">IFERROR(DF49/(2_Market_Gross_USD!E47+35),0)</f>
        <v>1.78568996180647</v>
      </c>
      <c r="DI49" s="63" t="n">
        <f aca="false">2_Market_Gross_USD!E47*(1-0.065)</f>
        <v>4301</v>
      </c>
      <c r="DJ49" s="53" t="n">
        <f aca="false">DI49/0.66</f>
        <v>6516.66666666667</v>
      </c>
      <c r="DK49" s="58" t="n">
        <f aca="false">DJ49*0.2375+0</f>
        <v>1547.70833333333</v>
      </c>
      <c r="DL49" s="55" t="n">
        <f aca="false">DJ49+DK49</f>
        <v>8064.375</v>
      </c>
      <c r="DM49" s="58" t="n">
        <f aca="false">DL49-(2_Market_Gross_USD!E47+35)</f>
        <v>3429.375</v>
      </c>
      <c r="DN49" s="66" t="n">
        <f aca="false">IFERROR(DL49/(2_Market_Gross_USD!E47+35),0)</f>
        <v>1.73988673139159</v>
      </c>
      <c r="DO49" s="63" t="n">
        <f aca="false">2_Market_Gross_USD!E47*(1-0.065)</f>
        <v>4301</v>
      </c>
      <c r="DP49" s="53" t="n">
        <f aca="false">DO49/0.8</f>
        <v>5376.25</v>
      </c>
      <c r="DQ49" s="58" t="n">
        <f aca="false">DP49*0+0</f>
        <v>0</v>
      </c>
      <c r="DR49" s="55" t="n">
        <f aca="false">DP49+DQ49</f>
        <v>5376.25</v>
      </c>
      <c r="DS49" s="58" t="n">
        <f aca="false">DR49-(2_Market_Gross_USD!E47+35)</f>
        <v>741.25</v>
      </c>
      <c r="DT49" s="66" t="n">
        <f aca="false">IFERROR(DR49/(2_Market_Gross_USD!E47+35),0)</f>
        <v>1.15992448759439</v>
      </c>
      <c r="DU49" s="63" t="n">
        <f aca="false">2_Market_Gross_USD!E47*(1-0.065)</f>
        <v>4301</v>
      </c>
      <c r="DV49" s="53" t="n">
        <f aca="false">DU49/0.66</f>
        <v>6516.66666666667</v>
      </c>
      <c r="DW49" s="58" t="n">
        <f aca="false">DV49*0.2375+500</f>
        <v>2047.70833333333</v>
      </c>
      <c r="DX49" s="55" t="n">
        <f aca="false">DV49+DW49</f>
        <v>8564.375</v>
      </c>
      <c r="DY49" s="58" t="n">
        <f aca="false">DX49-(2_Market_Gross_USD!E47+35)</f>
        <v>3929.375</v>
      </c>
      <c r="DZ49" s="66" t="n">
        <f aca="false">IFERROR(DX49/(2_Market_Gross_USD!E47+35),0)</f>
        <v>1.847761596548</v>
      </c>
      <c r="EA49" s="63" t="n">
        <f aca="false">2_Market_Gross_USD!E47*(1-0.065)</f>
        <v>4301</v>
      </c>
      <c r="EB49" s="53" t="n">
        <f aca="false">EA49/0.65</f>
        <v>6616.92307692308</v>
      </c>
      <c r="EC49" s="58" t="n">
        <f aca="false">EB49*0.0225+0</f>
        <v>148.880769230769</v>
      </c>
      <c r="ED49" s="55" t="n">
        <f aca="false">EB49+EC49</f>
        <v>6765.80384615385</v>
      </c>
      <c r="EE49" s="58" t="n">
        <f aca="false">ED49-(2_Market_Gross_USD!E47+35)</f>
        <v>2130.80384615385</v>
      </c>
      <c r="EF49" s="66" t="n">
        <f aca="false">IFERROR(ED49/(2_Market_Gross_USD!E47+35),0)</f>
        <v>1.45972035515725</v>
      </c>
      <c r="EG49" s="63" t="n">
        <f aca="false">2_Market_Gross_USD!E47*(1-0.065)</f>
        <v>4301</v>
      </c>
      <c r="EH49" s="53" t="n">
        <f aca="false">EG49/0.99</f>
        <v>4344.44444444444</v>
      </c>
      <c r="EI49" s="58" t="n">
        <f aca="false">EH49*0+0</f>
        <v>0</v>
      </c>
      <c r="EJ49" s="55" t="n">
        <f aca="false">EH49+EI49</f>
        <v>4344.44444444444</v>
      </c>
      <c r="EK49" s="58" t="n">
        <f aca="false">EJ49-(2_Market_Gross_USD!E47+35)</f>
        <v>-290.555555555556</v>
      </c>
      <c r="EL49" s="66" t="n">
        <f aca="false">IFERROR(EJ49/(2_Market_Gross_USD!E47+35),0)</f>
        <v>0.937312717247992</v>
      </c>
      <c r="EM49" s="63" t="n">
        <f aca="false">2_Market_Gross_USD!E47*(1-0.065)</f>
        <v>4301</v>
      </c>
      <c r="EN49" s="53" t="n">
        <f aca="false">EM49/0.65</f>
        <v>6616.92307692308</v>
      </c>
      <c r="EO49" s="58" t="n">
        <f aca="false">EN49*0.0225+500</f>
        <v>648.880769230769</v>
      </c>
      <c r="EP49" s="55" t="n">
        <f aca="false">EN49+EO49</f>
        <v>7265.80384615385</v>
      </c>
      <c r="EQ49" s="58" t="n">
        <f aca="false">EP49-(2_Market_Gross_USD!E47+35)</f>
        <v>2630.80384615385</v>
      </c>
      <c r="ER49" s="66" t="n">
        <f aca="false">IFERROR(EP49/(2_Market_Gross_USD!E47+35),0)</f>
        <v>1.56759522031367</v>
      </c>
    </row>
    <row r="50" customFormat="false" ht="15" hidden="false" customHeight="false" outlineLevel="0" collapsed="false">
      <c r="A50" s="37" t="n">
        <v>45</v>
      </c>
      <c r="B50" s="32" t="s">
        <v>280</v>
      </c>
      <c r="C50" s="32" t="s">
        <v>281</v>
      </c>
      <c r="D50" s="62" t="s">
        <v>248</v>
      </c>
      <c r="E50" s="63" t="n">
        <f aca="false">2_Market_Gross_USD!E48*(1-0.065)</f>
        <v>1612.875</v>
      </c>
      <c r="F50" s="53" t="n">
        <f aca="false">E50/0.7429</f>
        <v>2171.05263157895</v>
      </c>
      <c r="G50" s="54" t="n">
        <f aca="false">F50*0.2038+0</f>
        <v>442.46052631579</v>
      </c>
      <c r="H50" s="55" t="n">
        <f aca="false">F50+G50</f>
        <v>2613.51315789474</v>
      </c>
      <c r="I50" s="54" t="n">
        <f aca="false">H50-(2_Market_Gross_USD!E48+35)</f>
        <v>853.513157894737</v>
      </c>
      <c r="J50" s="64" t="n">
        <f aca="false">IFERROR(H50/(2_Market_Gross_USD!E48+35),0)</f>
        <v>1.48495065789474</v>
      </c>
      <c r="K50" s="63" t="n">
        <f aca="false">2_Market_Gross_USD!E48*(1-0.065)</f>
        <v>1612.875</v>
      </c>
      <c r="L50" s="53" t="n">
        <f aca="false">K50/0.88</f>
        <v>1832.8125</v>
      </c>
      <c r="M50" s="54" t="n">
        <f aca="false">L50*0+0</f>
        <v>0</v>
      </c>
      <c r="N50" s="55" t="n">
        <f aca="false">L50+M50</f>
        <v>1832.8125</v>
      </c>
      <c r="O50" s="54" t="n">
        <f aca="false">N50-(2_Market_Gross_USD!E48+35)</f>
        <v>72.8125</v>
      </c>
      <c r="P50" s="64" t="n">
        <f aca="false">IFERROR(N50/(2_Market_Gross_USD!E48+35),0)</f>
        <v>1.04137073863636</v>
      </c>
      <c r="Q50" s="63" t="n">
        <f aca="false">2_Market_Gross_USD!E48*(1-0.065)</f>
        <v>1612.875</v>
      </c>
      <c r="R50" s="53" t="n">
        <f aca="false">Q50/0.7429</f>
        <v>2171.05263157895</v>
      </c>
      <c r="S50" s="54" t="n">
        <f aca="false">R50*0.2038+500</f>
        <v>942.46052631579</v>
      </c>
      <c r="T50" s="55" t="n">
        <f aca="false">R50+S50</f>
        <v>3113.51315789474</v>
      </c>
      <c r="U50" s="54" t="n">
        <f aca="false">T50-(2_Market_Gross_USD!E48+35)</f>
        <v>1353.51315789474</v>
      </c>
      <c r="V50" s="64" t="n">
        <f aca="false">IFERROR(T50/(2_Market_Gross_USD!E48+35),0)</f>
        <v>1.76904156698565</v>
      </c>
      <c r="W50" s="63" t="n">
        <f aca="false">2_Market_Gross_USD!E48*(1-0.065)</f>
        <v>1612.875</v>
      </c>
      <c r="X50" s="53" t="n">
        <f aca="false">W50/0.72</f>
        <v>2240.10416666667</v>
      </c>
      <c r="Y50" s="54" t="n">
        <f aca="false">X50*0.15+0</f>
        <v>336.015625</v>
      </c>
      <c r="Z50" s="55" t="n">
        <f aca="false">X50+Y50</f>
        <v>2576.11979166667</v>
      </c>
      <c r="AA50" s="54" t="n">
        <f aca="false">Z50-(2_Market_Gross_USD!E48+35)</f>
        <v>816.119791666667</v>
      </c>
      <c r="AB50" s="64" t="n">
        <f aca="false">IFERROR(Z50/(2_Market_Gross_USD!E48+35),0)</f>
        <v>1.46370442708333</v>
      </c>
      <c r="AC50" s="63" t="n">
        <f aca="false">2_Market_Gross_USD!E48*(1-0.065)</f>
        <v>1612.875</v>
      </c>
      <c r="AD50" s="53" t="n">
        <f aca="false">AC50/0.81</f>
        <v>1991.2037037037</v>
      </c>
      <c r="AE50" s="54" t="n">
        <f aca="false">AD50*0+0</f>
        <v>0</v>
      </c>
      <c r="AF50" s="55" t="n">
        <f aca="false">AD50+AE50</f>
        <v>1991.2037037037</v>
      </c>
      <c r="AG50" s="54" t="n">
        <f aca="false">AF50-(2_Market_Gross_USD!E48+35)</f>
        <v>231.203703703703</v>
      </c>
      <c r="AH50" s="64" t="n">
        <f aca="false">IFERROR(AF50/(2_Market_Gross_USD!E48+35),0)</f>
        <v>1.13136574074074</v>
      </c>
      <c r="AI50" s="63" t="n">
        <f aca="false">2_Market_Gross_USD!E48*(1-0.065)</f>
        <v>1612.875</v>
      </c>
      <c r="AJ50" s="53" t="n">
        <f aca="false">AI50/0.72</f>
        <v>2240.10416666667</v>
      </c>
      <c r="AK50" s="54" t="n">
        <f aca="false">AJ50*0.15+500</f>
        <v>836.015625</v>
      </c>
      <c r="AL50" s="55" t="n">
        <f aca="false">AJ50+AK50</f>
        <v>3076.11979166667</v>
      </c>
      <c r="AM50" s="54" t="n">
        <f aca="false">AL50-(2_Market_Gross_USD!E48+35)</f>
        <v>1316.11979166667</v>
      </c>
      <c r="AN50" s="64" t="n">
        <f aca="false">IFERROR(AL50/(2_Market_Gross_USD!E48+35),0)</f>
        <v>1.74779533617424</v>
      </c>
      <c r="AO50" s="63" t="n">
        <f aca="false">2_Market_Gross_USD!E48*(1-0.065)</f>
        <v>1612.875</v>
      </c>
      <c r="AP50" s="53" t="n">
        <f aca="false">AO50/0.7035</f>
        <v>2292.64392324094</v>
      </c>
      <c r="AQ50" s="54" t="n">
        <f aca="false">AP50*0.11+0</f>
        <v>252.190831556503</v>
      </c>
      <c r="AR50" s="55" t="n">
        <f aca="false">AP50+AQ50</f>
        <v>2544.83475479744</v>
      </c>
      <c r="AS50" s="54" t="n">
        <f aca="false">AR50-(2_Market_Gross_USD!E48+35)</f>
        <v>784.834754797441</v>
      </c>
      <c r="AT50" s="64" t="n">
        <f aca="false">IFERROR(AR50/(2_Market_Gross_USD!E48+35),0)</f>
        <v>1.44592883795309</v>
      </c>
      <c r="AU50" s="63" t="n">
        <f aca="false">2_Market_Gross_USD!E48*(1-0.065)</f>
        <v>1612.875</v>
      </c>
      <c r="AV50" s="53" t="n">
        <f aca="false">AU50/0.627</f>
        <v>2572.36842105263</v>
      </c>
      <c r="AW50" s="54" t="n">
        <f aca="false">AV50*0+0</f>
        <v>0</v>
      </c>
      <c r="AX50" s="55" t="n">
        <f aca="false">AV50+AW50</f>
        <v>2572.36842105263</v>
      </c>
      <c r="AY50" s="54" t="n">
        <f aca="false">AX50-(2_Market_Gross_USD!E48+35)</f>
        <v>812.368421052632</v>
      </c>
      <c r="AZ50" s="64" t="n">
        <f aca="false">IFERROR(AX50/(2_Market_Gross_USD!E48+35),0)</f>
        <v>1.46157296650718</v>
      </c>
      <c r="BA50" s="63" t="n">
        <f aca="false">2_Market_Gross_USD!E48*(1-0.065)</f>
        <v>1612.875</v>
      </c>
      <c r="BB50" s="53" t="n">
        <f aca="false">BA50/0.7035</f>
        <v>2292.64392324094</v>
      </c>
      <c r="BC50" s="54" t="n">
        <f aca="false">BB50*0.11+500</f>
        <v>752.190831556503</v>
      </c>
      <c r="BD50" s="55" t="n">
        <f aca="false">BB50+BC50</f>
        <v>3044.83475479744</v>
      </c>
      <c r="BE50" s="54" t="n">
        <f aca="false">BD50-(2_Market_Gross_USD!E48+35)</f>
        <v>1284.83475479744</v>
      </c>
      <c r="BF50" s="64" t="n">
        <f aca="false">IFERROR(BD50/(2_Market_Gross_USD!E48+35),0)</f>
        <v>1.730019747044</v>
      </c>
      <c r="BG50" s="63" t="n">
        <f aca="false">2_Market_Gross_USD!E48*(1-0.065)</f>
        <v>1612.875</v>
      </c>
      <c r="BH50" s="53" t="n">
        <f aca="false">BG50/0.5215</f>
        <v>3092.76126558006</v>
      </c>
      <c r="BI50" s="54" t="n">
        <f aca="false">BH50*0.21+0</f>
        <v>649.479865771812</v>
      </c>
      <c r="BJ50" s="55" t="n">
        <f aca="false">BH50+BI50</f>
        <v>3742.24113135187</v>
      </c>
      <c r="BK50" s="54" t="n">
        <f aca="false">BJ50-(2_Market_Gross_USD!E48+35)</f>
        <v>1982.24113135187</v>
      </c>
      <c r="BL50" s="64" t="n">
        <f aca="false">IFERROR(BJ50/(2_Market_Gross_USD!E48+35),0)</f>
        <v>2.12627337008629</v>
      </c>
      <c r="BM50" s="63" t="n">
        <f aca="false">2_Market_Gross_USD!E48*(1-0.065)</f>
        <v>1612.875</v>
      </c>
      <c r="BN50" s="53" t="n">
        <f aca="false">BM50/0.75</f>
        <v>2150.5</v>
      </c>
      <c r="BO50" s="54" t="n">
        <f aca="false">BN50*0+0</f>
        <v>0</v>
      </c>
      <c r="BP50" s="55" t="n">
        <f aca="false">BN50+BO50</f>
        <v>2150.5</v>
      </c>
      <c r="BQ50" s="54" t="n">
        <f aca="false">BP50-(2_Market_Gross_USD!E48+35)</f>
        <v>390.5</v>
      </c>
      <c r="BR50" s="64" t="n">
        <f aca="false">IFERROR(BP50/(2_Market_Gross_USD!E48+35),0)</f>
        <v>1.221875</v>
      </c>
      <c r="BS50" s="63" t="n">
        <f aca="false">2_Market_Gross_USD!E48*(1-0.065)</f>
        <v>1612.875</v>
      </c>
      <c r="BT50" s="53" t="n">
        <f aca="false">BS50/0.5215</f>
        <v>3092.76126558006</v>
      </c>
      <c r="BU50" s="54" t="n">
        <f aca="false">BT50*0.21+500</f>
        <v>1149.47986577181</v>
      </c>
      <c r="BV50" s="55" t="n">
        <f aca="false">BT50+BU50</f>
        <v>4242.24113135187</v>
      </c>
      <c r="BW50" s="54" t="n">
        <f aca="false">BV50-(2_Market_Gross_USD!E48+35)</f>
        <v>2482.24113135187</v>
      </c>
      <c r="BX50" s="64" t="n">
        <f aca="false">IFERROR(BV50/(2_Market_Gross_USD!E48+35),0)</f>
        <v>2.4103642791772</v>
      </c>
      <c r="BY50" s="63" t="n">
        <f aca="false">2_Market_Gross_USD!E48*(1-0.065)</f>
        <v>1612.875</v>
      </c>
      <c r="BZ50" s="53" t="n">
        <f aca="false">BY50/0.6303</f>
        <v>2558.90052356021</v>
      </c>
      <c r="CA50" s="54" t="n">
        <f aca="false">BZ50*0.2+0</f>
        <v>511.780104712042</v>
      </c>
      <c r="CB50" s="55" t="n">
        <f aca="false">BZ50+CA50</f>
        <v>3070.68062827225</v>
      </c>
      <c r="CC50" s="54" t="n">
        <f aca="false">CB50-(2_Market_Gross_USD!E48+35)</f>
        <v>1310.68062827225</v>
      </c>
      <c r="CD50" s="64" t="n">
        <f aca="false">IFERROR(CB50/(2_Market_Gross_USD!E48+35),0)</f>
        <v>1.74470490242742</v>
      </c>
      <c r="CE50" s="63" t="n">
        <f aca="false">2_Market_Gross_USD!E48*(1-0.065)</f>
        <v>1612.875</v>
      </c>
      <c r="CF50" s="53" t="n">
        <f aca="false">CE50/0.6303</f>
        <v>2558.90052356021</v>
      </c>
      <c r="CG50" s="54" t="n">
        <f aca="false">CF50*0+0</f>
        <v>0</v>
      </c>
      <c r="CH50" s="55" t="n">
        <f aca="false">CF50+CG50</f>
        <v>2558.90052356021</v>
      </c>
      <c r="CI50" s="54" t="n">
        <f aca="false">CH50-(2_Market_Gross_USD!E48+35)</f>
        <v>798.900523560209</v>
      </c>
      <c r="CJ50" s="64" t="n">
        <f aca="false">IFERROR(CH50/(2_Market_Gross_USD!E48+35),0)</f>
        <v>1.45392075202285</v>
      </c>
      <c r="CK50" s="63" t="n">
        <f aca="false">2_Market_Gross_USD!E48*(1-0.065)</f>
        <v>1612.875</v>
      </c>
      <c r="CL50" s="53" t="n">
        <f aca="false">CK50/0.6303</f>
        <v>2558.90052356021</v>
      </c>
      <c r="CM50" s="54" t="n">
        <f aca="false">CL50*0.2+500</f>
        <v>1011.78010471204</v>
      </c>
      <c r="CN50" s="55" t="n">
        <f aca="false">CL50+CM50</f>
        <v>3570.68062827225</v>
      </c>
      <c r="CO50" s="54" t="n">
        <f aca="false">CN50-(2_Market_Gross_USD!E48+35)</f>
        <v>1810.68062827225</v>
      </c>
      <c r="CP50" s="64" t="n">
        <f aca="false">IFERROR(CN50/(2_Market_Gross_USD!E48+35),0)</f>
        <v>2.02879581151832</v>
      </c>
      <c r="CQ50" s="63" t="n">
        <f aca="false">2_Market_Gross_USD!E48*(1-0.065)</f>
        <v>1612.875</v>
      </c>
      <c r="CR50" s="53" t="n">
        <f aca="false">CQ50/0.74</f>
        <v>2179.56081081081</v>
      </c>
      <c r="CS50" s="54" t="n">
        <f aca="false">CR50*0.338+0</f>
        <v>736.691554054054</v>
      </c>
      <c r="CT50" s="55" t="n">
        <f aca="false">CR50+CS50</f>
        <v>2916.25236486487</v>
      </c>
      <c r="CU50" s="54" t="n">
        <f aca="false">CT50-(2_Market_Gross_USD!E48+35)</f>
        <v>1156.25236486486</v>
      </c>
      <c r="CV50" s="64" t="n">
        <f aca="false">IFERROR(CT50/(2_Market_Gross_USD!E48+35),0)</f>
        <v>1.65696157094595</v>
      </c>
      <c r="CW50" s="63" t="n">
        <f aca="false">2_Market_Gross_USD!E48*(1-0.065)</f>
        <v>1612.875</v>
      </c>
      <c r="CX50" s="53" t="n">
        <f aca="false">CW50/0.85</f>
        <v>1897.5</v>
      </c>
      <c r="CY50" s="54" t="n">
        <f aca="false">CX50*0+0</f>
        <v>0</v>
      </c>
      <c r="CZ50" s="55" t="n">
        <f aca="false">CX50+CY50</f>
        <v>1897.5</v>
      </c>
      <c r="DA50" s="54" t="n">
        <f aca="false">CZ50-(2_Market_Gross_USD!E48+35)</f>
        <v>137.5</v>
      </c>
      <c r="DB50" s="64" t="n">
        <f aca="false">IFERROR(CZ50/(2_Market_Gross_USD!E48+35),0)</f>
        <v>1.078125</v>
      </c>
      <c r="DC50" s="63" t="n">
        <f aca="false">2_Market_Gross_USD!E48*(1-0.065)</f>
        <v>1612.875</v>
      </c>
      <c r="DD50" s="53" t="n">
        <f aca="false">DC50/0.74</f>
        <v>2179.56081081081</v>
      </c>
      <c r="DE50" s="54" t="n">
        <f aca="false">DD50*0.338+500</f>
        <v>1236.69155405405</v>
      </c>
      <c r="DF50" s="55" t="n">
        <f aca="false">DD50+DE50</f>
        <v>3416.25236486487</v>
      </c>
      <c r="DG50" s="54" t="n">
        <f aca="false">DF50-(2_Market_Gross_USD!E48+35)</f>
        <v>1656.25236486486</v>
      </c>
      <c r="DH50" s="64" t="n">
        <f aca="false">IFERROR(DF50/(2_Market_Gross_USD!E48+35),0)</f>
        <v>1.94105248003686</v>
      </c>
      <c r="DI50" s="63" t="n">
        <f aca="false">2_Market_Gross_USD!E48*(1-0.065)</f>
        <v>1612.875</v>
      </c>
      <c r="DJ50" s="53" t="n">
        <f aca="false">DI50/0.66</f>
        <v>2443.75</v>
      </c>
      <c r="DK50" s="54" t="n">
        <f aca="false">DJ50*0.2375+0</f>
        <v>580.390625</v>
      </c>
      <c r="DL50" s="55" t="n">
        <f aca="false">DJ50+DK50</f>
        <v>3024.140625</v>
      </c>
      <c r="DM50" s="54" t="n">
        <f aca="false">DL50-(2_Market_Gross_USD!E48+35)</f>
        <v>1264.140625</v>
      </c>
      <c r="DN50" s="64" t="n">
        <f aca="false">IFERROR(DL50/(2_Market_Gross_USD!E48+35),0)</f>
        <v>1.71826171875</v>
      </c>
      <c r="DO50" s="63" t="n">
        <f aca="false">2_Market_Gross_USD!E48*(1-0.065)</f>
        <v>1612.875</v>
      </c>
      <c r="DP50" s="53" t="n">
        <f aca="false">DO50/0.8</f>
        <v>2016.09375</v>
      </c>
      <c r="DQ50" s="54" t="n">
        <f aca="false">DP50*0+0</f>
        <v>0</v>
      </c>
      <c r="DR50" s="55" t="n">
        <f aca="false">DP50+DQ50</f>
        <v>2016.09375</v>
      </c>
      <c r="DS50" s="54" t="n">
        <f aca="false">DR50-(2_Market_Gross_USD!E48+35)</f>
        <v>256.09375</v>
      </c>
      <c r="DT50" s="64" t="n">
        <f aca="false">IFERROR(DR50/(2_Market_Gross_USD!E48+35),0)</f>
        <v>1.1455078125</v>
      </c>
      <c r="DU50" s="63" t="n">
        <f aca="false">2_Market_Gross_USD!E48*(1-0.065)</f>
        <v>1612.875</v>
      </c>
      <c r="DV50" s="53" t="n">
        <f aca="false">DU50/0.66</f>
        <v>2443.75</v>
      </c>
      <c r="DW50" s="54" t="n">
        <f aca="false">DV50*0.2375+500</f>
        <v>1080.390625</v>
      </c>
      <c r="DX50" s="55" t="n">
        <f aca="false">DV50+DW50</f>
        <v>3524.140625</v>
      </c>
      <c r="DY50" s="54" t="n">
        <f aca="false">DX50-(2_Market_Gross_USD!E48+35)</f>
        <v>1764.140625</v>
      </c>
      <c r="DZ50" s="64" t="n">
        <f aca="false">IFERROR(DX50/(2_Market_Gross_USD!E48+35),0)</f>
        <v>2.00235262784091</v>
      </c>
      <c r="EA50" s="63" t="n">
        <f aca="false">2_Market_Gross_USD!E48*(1-0.065)</f>
        <v>1612.875</v>
      </c>
      <c r="EB50" s="53" t="n">
        <f aca="false">EA50/0.65</f>
        <v>2481.34615384615</v>
      </c>
      <c r="EC50" s="54" t="n">
        <f aca="false">EB50*0.0225+0</f>
        <v>55.8302884615385</v>
      </c>
      <c r="ED50" s="55" t="n">
        <f aca="false">EB50+EC50</f>
        <v>2537.17644230769</v>
      </c>
      <c r="EE50" s="54" t="n">
        <f aca="false">ED50-(2_Market_Gross_USD!E48+35)</f>
        <v>777.176442307693</v>
      </c>
      <c r="EF50" s="64" t="n">
        <f aca="false">IFERROR(ED50/(2_Market_Gross_USD!E48+35),0)</f>
        <v>1.44157752403846</v>
      </c>
      <c r="EG50" s="63" t="n">
        <f aca="false">2_Market_Gross_USD!E48*(1-0.065)</f>
        <v>1612.875</v>
      </c>
      <c r="EH50" s="53" t="n">
        <f aca="false">EG50/0.99</f>
        <v>1629.16666666667</v>
      </c>
      <c r="EI50" s="54" t="n">
        <f aca="false">EH50*0+0</f>
        <v>0</v>
      </c>
      <c r="EJ50" s="55" t="n">
        <f aca="false">EH50+EI50</f>
        <v>1629.16666666667</v>
      </c>
      <c r="EK50" s="54" t="n">
        <f aca="false">EJ50-(2_Market_Gross_USD!E48+35)</f>
        <v>-130.833333333333</v>
      </c>
      <c r="EL50" s="64" t="n">
        <f aca="false">IFERROR(EJ50/(2_Market_Gross_USD!E48+35),0)</f>
        <v>0.925662878787879</v>
      </c>
      <c r="EM50" s="63" t="n">
        <f aca="false">2_Market_Gross_USD!E48*(1-0.065)</f>
        <v>1612.875</v>
      </c>
      <c r="EN50" s="53" t="n">
        <f aca="false">EM50/0.65</f>
        <v>2481.34615384615</v>
      </c>
      <c r="EO50" s="54" t="n">
        <f aca="false">EN50*0.0225+500</f>
        <v>555.830288461538</v>
      </c>
      <c r="EP50" s="55" t="n">
        <f aca="false">EN50+EO50</f>
        <v>3037.17644230769</v>
      </c>
      <c r="EQ50" s="54" t="n">
        <f aca="false">EP50-(2_Market_Gross_USD!E48+35)</f>
        <v>1277.17644230769</v>
      </c>
      <c r="ER50" s="64" t="n">
        <f aca="false">IFERROR(EP50/(2_Market_Gross_USD!E48+35),0)</f>
        <v>1.72566843312937</v>
      </c>
    </row>
    <row r="51" customFormat="false" ht="15" hidden="false" customHeight="false" outlineLevel="0" collapsed="false">
      <c r="A51" s="41" t="n">
        <v>46</v>
      </c>
      <c r="B51" s="28" t="s">
        <v>280</v>
      </c>
      <c r="C51" s="8" t="s">
        <v>281</v>
      </c>
      <c r="D51" s="65" t="s">
        <v>249</v>
      </c>
      <c r="E51" s="63" t="n">
        <f aca="false">2_Market_Gross_USD!E49*(1-0.065)</f>
        <v>3973.75</v>
      </c>
      <c r="F51" s="53" t="n">
        <f aca="false">E51/0.7429</f>
        <v>5348.97025171625</v>
      </c>
      <c r="G51" s="58" t="n">
        <f aca="false">F51*0.2038+0</f>
        <v>1090.12013729977</v>
      </c>
      <c r="H51" s="55" t="n">
        <f aca="false">F51+G51</f>
        <v>6439.09038901602</v>
      </c>
      <c r="I51" s="58" t="n">
        <f aca="false">H51-(2_Market_Gross_USD!E49+35)</f>
        <v>2154.09038901602</v>
      </c>
      <c r="J51" s="66" t="n">
        <f aca="false">IFERROR(H51/(2_Market_Gross_USD!E49+35),0)</f>
        <v>1.50270487491622</v>
      </c>
      <c r="K51" s="63" t="n">
        <f aca="false">2_Market_Gross_USD!E49*(1-0.065)</f>
        <v>3973.75</v>
      </c>
      <c r="L51" s="53" t="n">
        <f aca="false">K51/0.88</f>
        <v>4515.625</v>
      </c>
      <c r="M51" s="58" t="n">
        <f aca="false">L51*0+0</f>
        <v>0</v>
      </c>
      <c r="N51" s="55" t="n">
        <f aca="false">L51+M51</f>
        <v>4515.625</v>
      </c>
      <c r="O51" s="58" t="n">
        <f aca="false">N51-(2_Market_Gross_USD!E49+35)</f>
        <v>230.625</v>
      </c>
      <c r="P51" s="66" t="n">
        <f aca="false">IFERROR(N51/(2_Market_Gross_USD!E49+35),0)</f>
        <v>1.05382147024504</v>
      </c>
      <c r="Q51" s="63" t="n">
        <f aca="false">2_Market_Gross_USD!E49*(1-0.065)</f>
        <v>3973.75</v>
      </c>
      <c r="R51" s="53" t="n">
        <f aca="false">Q51/0.7429</f>
        <v>5348.97025171625</v>
      </c>
      <c r="S51" s="58" t="n">
        <f aca="false">R51*0.2038+500</f>
        <v>1590.12013729977</v>
      </c>
      <c r="T51" s="55" t="n">
        <f aca="false">R51+S51</f>
        <v>6939.09038901602</v>
      </c>
      <c r="U51" s="58" t="n">
        <f aca="false">T51-(2_Market_Gross_USD!E49+35)</f>
        <v>2654.09038901602</v>
      </c>
      <c r="V51" s="66" t="n">
        <f aca="false">IFERROR(T51/(2_Market_Gross_USD!E49+35),0)</f>
        <v>1.61939098926862</v>
      </c>
      <c r="W51" s="63" t="n">
        <f aca="false">2_Market_Gross_USD!E49*(1-0.065)</f>
        <v>3973.75</v>
      </c>
      <c r="X51" s="53" t="n">
        <f aca="false">W51/0.72</f>
        <v>5519.09722222222</v>
      </c>
      <c r="Y51" s="58" t="n">
        <f aca="false">X51*0.15+0</f>
        <v>827.864583333333</v>
      </c>
      <c r="Z51" s="55" t="n">
        <f aca="false">X51+Y51</f>
        <v>6346.96180555556</v>
      </c>
      <c r="AA51" s="58" t="n">
        <f aca="false">Z51-(2_Market_Gross_USD!E49+35)</f>
        <v>2061.96180555556</v>
      </c>
      <c r="AB51" s="66" t="n">
        <f aca="false">IFERROR(Z51/(2_Market_Gross_USD!E49+35),0)</f>
        <v>1.48120462206664</v>
      </c>
      <c r="AC51" s="63" t="n">
        <f aca="false">2_Market_Gross_USD!E49*(1-0.065)</f>
        <v>3973.75</v>
      </c>
      <c r="AD51" s="53" t="n">
        <f aca="false">AC51/0.81</f>
        <v>4905.86419753086</v>
      </c>
      <c r="AE51" s="58" t="n">
        <f aca="false">AD51*0+0</f>
        <v>0</v>
      </c>
      <c r="AF51" s="55" t="n">
        <f aca="false">AD51+AE51</f>
        <v>4905.86419753086</v>
      </c>
      <c r="AG51" s="58" t="n">
        <f aca="false">AF51-(2_Market_Gross_USD!E49+35)</f>
        <v>620.864197530864</v>
      </c>
      <c r="AH51" s="66" t="n">
        <f aca="false">IFERROR(AF51/(2_Market_Gross_USD!E49+35),0)</f>
        <v>1.14489246150079</v>
      </c>
      <c r="AI51" s="63" t="n">
        <f aca="false">2_Market_Gross_USD!E49*(1-0.065)</f>
        <v>3973.75</v>
      </c>
      <c r="AJ51" s="53" t="n">
        <f aca="false">AI51/0.72</f>
        <v>5519.09722222222</v>
      </c>
      <c r="AK51" s="58" t="n">
        <f aca="false">AJ51*0.15+500</f>
        <v>1327.86458333333</v>
      </c>
      <c r="AL51" s="55" t="n">
        <f aca="false">AJ51+AK51</f>
        <v>6846.96180555556</v>
      </c>
      <c r="AM51" s="58" t="n">
        <f aca="false">AL51-(2_Market_Gross_USD!E49+35)</f>
        <v>2561.96180555556</v>
      </c>
      <c r="AN51" s="66" t="n">
        <f aca="false">IFERROR(AL51/(2_Market_Gross_USD!E49+35),0)</f>
        <v>1.59789073641903</v>
      </c>
      <c r="AO51" s="63" t="n">
        <f aca="false">2_Market_Gross_USD!E49*(1-0.065)</f>
        <v>3973.75</v>
      </c>
      <c r="AP51" s="53" t="n">
        <f aca="false">AO51/0.7035</f>
        <v>5648.54299928927</v>
      </c>
      <c r="AQ51" s="58" t="n">
        <f aca="false">AP51*0.11+0</f>
        <v>621.339729921819</v>
      </c>
      <c r="AR51" s="55" t="n">
        <f aca="false">AP51+AQ51</f>
        <v>6269.88272921109</v>
      </c>
      <c r="AS51" s="58" t="n">
        <f aca="false">AR51-(2_Market_Gross_USD!E49+35)</f>
        <v>1984.88272921109</v>
      </c>
      <c r="AT51" s="66" t="n">
        <f aca="false">IFERROR(AR51/(2_Market_Gross_USD!E49+35),0)</f>
        <v>1.46321650623363</v>
      </c>
      <c r="AU51" s="63" t="n">
        <f aca="false">2_Market_Gross_USD!E49*(1-0.065)</f>
        <v>3973.75</v>
      </c>
      <c r="AV51" s="53" t="n">
        <f aca="false">AU51/0.627</f>
        <v>6337.71929824561</v>
      </c>
      <c r="AW51" s="58" t="n">
        <f aca="false">AV51*0+0</f>
        <v>0</v>
      </c>
      <c r="AX51" s="55" t="n">
        <f aca="false">AV51+AW51</f>
        <v>6337.71929824561</v>
      </c>
      <c r="AY51" s="58" t="n">
        <f aca="false">AX51-(2_Market_Gross_USD!E49+35)</f>
        <v>2052.71929824561</v>
      </c>
      <c r="AZ51" s="66" t="n">
        <f aca="false">IFERROR(AX51/(2_Market_Gross_USD!E49+35),0)</f>
        <v>1.4790476775369</v>
      </c>
      <c r="BA51" s="63" t="n">
        <f aca="false">2_Market_Gross_USD!E49*(1-0.065)</f>
        <v>3973.75</v>
      </c>
      <c r="BB51" s="53" t="n">
        <f aca="false">BA51/0.7035</f>
        <v>5648.54299928927</v>
      </c>
      <c r="BC51" s="58" t="n">
        <f aca="false">BB51*0.11+500</f>
        <v>1121.33972992182</v>
      </c>
      <c r="BD51" s="55" t="n">
        <f aca="false">BB51+BC51</f>
        <v>6769.88272921109</v>
      </c>
      <c r="BE51" s="58" t="n">
        <f aca="false">BD51-(2_Market_Gross_USD!E49+35)</f>
        <v>2484.88272921109</v>
      </c>
      <c r="BF51" s="66" t="n">
        <f aca="false">IFERROR(BD51/(2_Market_Gross_USD!E49+35),0)</f>
        <v>1.57990262058602</v>
      </c>
      <c r="BG51" s="63" t="n">
        <f aca="false">2_Market_Gross_USD!E49*(1-0.065)</f>
        <v>3973.75</v>
      </c>
      <c r="BH51" s="53" t="n">
        <f aca="false">BG51/0.5215</f>
        <v>7619.84659635666</v>
      </c>
      <c r="BI51" s="58" t="n">
        <f aca="false">BH51*0.21+0</f>
        <v>1600.1677852349</v>
      </c>
      <c r="BJ51" s="55" t="n">
        <f aca="false">BH51+BI51</f>
        <v>9220.01438159156</v>
      </c>
      <c r="BK51" s="58" t="n">
        <f aca="false">BJ51-(2_Market_Gross_USD!E49+35)</f>
        <v>4935.01438159156</v>
      </c>
      <c r="BL51" s="66" t="n">
        <f aca="false">IFERROR(BJ51/(2_Market_Gross_USD!E49+35),0)</f>
        <v>2.15169530492219</v>
      </c>
      <c r="BM51" s="63" t="n">
        <f aca="false">2_Market_Gross_USD!E49*(1-0.065)</f>
        <v>3973.75</v>
      </c>
      <c r="BN51" s="53" t="n">
        <f aca="false">BM51/0.75</f>
        <v>5298.33333333333</v>
      </c>
      <c r="BO51" s="58" t="n">
        <f aca="false">BN51*0+0</f>
        <v>0</v>
      </c>
      <c r="BP51" s="55" t="n">
        <f aca="false">BN51+BO51</f>
        <v>5298.33333333333</v>
      </c>
      <c r="BQ51" s="58" t="n">
        <f aca="false">BP51-(2_Market_Gross_USD!E49+35)</f>
        <v>1013.33333333333</v>
      </c>
      <c r="BR51" s="66" t="n">
        <f aca="false">IFERROR(BP51/(2_Market_Gross_USD!E49+35),0)</f>
        <v>1.23648385842085</v>
      </c>
      <c r="BS51" s="63" t="n">
        <f aca="false">2_Market_Gross_USD!E49*(1-0.065)</f>
        <v>3973.75</v>
      </c>
      <c r="BT51" s="53" t="n">
        <f aca="false">BS51/0.5215</f>
        <v>7619.84659635666</v>
      </c>
      <c r="BU51" s="58" t="n">
        <f aca="false">BT51*0.21+500</f>
        <v>2100.1677852349</v>
      </c>
      <c r="BV51" s="55" t="n">
        <f aca="false">BT51+BU51</f>
        <v>9720.01438159156</v>
      </c>
      <c r="BW51" s="58" t="n">
        <f aca="false">BV51-(2_Market_Gross_USD!E49+35)</f>
        <v>5435.01438159156</v>
      </c>
      <c r="BX51" s="66" t="n">
        <f aca="false">IFERROR(BV51/(2_Market_Gross_USD!E49+35),0)</f>
        <v>2.26838141927458</v>
      </c>
      <c r="BY51" s="63" t="n">
        <f aca="false">2_Market_Gross_USD!E49*(1-0.065)</f>
        <v>3973.75</v>
      </c>
      <c r="BZ51" s="53" t="n">
        <f aca="false">BY51/0.6303</f>
        <v>6304.53752181501</v>
      </c>
      <c r="CA51" s="58" t="n">
        <f aca="false">BZ51*0.2+0</f>
        <v>1260.907504363</v>
      </c>
      <c r="CB51" s="55" t="n">
        <f aca="false">BZ51+CA51</f>
        <v>7565.44502617801</v>
      </c>
      <c r="CC51" s="58" t="n">
        <f aca="false">CB51-(2_Market_Gross_USD!E49+35)</f>
        <v>3280.44502617801</v>
      </c>
      <c r="CD51" s="66" t="n">
        <f aca="false">IFERROR(CB51/(2_Market_Gross_USD!E49+35),0)</f>
        <v>1.76556476690269</v>
      </c>
      <c r="CE51" s="63" t="n">
        <f aca="false">2_Market_Gross_USD!E49*(1-0.065)</f>
        <v>3973.75</v>
      </c>
      <c r="CF51" s="53" t="n">
        <f aca="false">CE51/0.6303</f>
        <v>6304.53752181501</v>
      </c>
      <c r="CG51" s="58" t="n">
        <f aca="false">CF51*0+0</f>
        <v>0</v>
      </c>
      <c r="CH51" s="55" t="n">
        <f aca="false">CF51+CG51</f>
        <v>6304.53752181501</v>
      </c>
      <c r="CI51" s="58" t="n">
        <f aca="false">CH51-(2_Market_Gross_USD!E49+35)</f>
        <v>2019.53752181501</v>
      </c>
      <c r="CJ51" s="66" t="n">
        <f aca="false">IFERROR(CH51/(2_Market_Gross_USD!E49+35),0)</f>
        <v>1.47130397241891</v>
      </c>
      <c r="CK51" s="63" t="n">
        <f aca="false">2_Market_Gross_USD!E49*(1-0.065)</f>
        <v>3973.75</v>
      </c>
      <c r="CL51" s="53" t="n">
        <f aca="false">CK51/0.6303</f>
        <v>6304.53752181501</v>
      </c>
      <c r="CM51" s="58" t="n">
        <f aca="false">CL51*0.2+500</f>
        <v>1760.907504363</v>
      </c>
      <c r="CN51" s="55" t="n">
        <f aca="false">CL51+CM51</f>
        <v>8065.44502617801</v>
      </c>
      <c r="CO51" s="58" t="n">
        <f aca="false">CN51-(2_Market_Gross_USD!E49+35)</f>
        <v>3780.44502617801</v>
      </c>
      <c r="CP51" s="66" t="n">
        <f aca="false">IFERROR(CN51/(2_Market_Gross_USD!E49+35),0)</f>
        <v>1.88225088125508</v>
      </c>
      <c r="CQ51" s="63" t="n">
        <f aca="false">2_Market_Gross_USD!E49*(1-0.065)</f>
        <v>3973.75</v>
      </c>
      <c r="CR51" s="53" t="n">
        <f aca="false">CQ51/0.74</f>
        <v>5369.93243243243</v>
      </c>
      <c r="CS51" s="58" t="n">
        <f aca="false">CR51*0.338+0</f>
        <v>1815.03716216216</v>
      </c>
      <c r="CT51" s="55" t="n">
        <f aca="false">CR51+CS51</f>
        <v>7184.9695945946</v>
      </c>
      <c r="CU51" s="58" t="n">
        <f aca="false">CT51-(2_Market_Gross_USD!E49+35)</f>
        <v>2899.9695945946</v>
      </c>
      <c r="CV51" s="66" t="n">
        <f aca="false">IFERROR(CT51/(2_Market_Gross_USD!E49+35),0)</f>
        <v>1.67677236746665</v>
      </c>
      <c r="CW51" s="63" t="n">
        <f aca="false">2_Market_Gross_USD!E49*(1-0.065)</f>
        <v>3973.75</v>
      </c>
      <c r="CX51" s="53" t="n">
        <f aca="false">CW51/0.85</f>
        <v>4675</v>
      </c>
      <c r="CY51" s="58" t="n">
        <f aca="false">CX51*0+0</f>
        <v>0</v>
      </c>
      <c r="CZ51" s="55" t="n">
        <f aca="false">CX51+CY51</f>
        <v>4675</v>
      </c>
      <c r="DA51" s="58" t="n">
        <f aca="false">CZ51-(2_Market_Gross_USD!E49+35)</f>
        <v>390</v>
      </c>
      <c r="DB51" s="66" t="n">
        <f aca="false">IFERROR(CZ51/(2_Market_Gross_USD!E49+35),0)</f>
        <v>1.09101516919487</v>
      </c>
      <c r="DC51" s="63" t="n">
        <f aca="false">2_Market_Gross_USD!E49*(1-0.065)</f>
        <v>3973.75</v>
      </c>
      <c r="DD51" s="53" t="n">
        <f aca="false">DC51/0.74</f>
        <v>5369.93243243243</v>
      </c>
      <c r="DE51" s="58" t="n">
        <f aca="false">DD51*0.338+500</f>
        <v>2315.03716216216</v>
      </c>
      <c r="DF51" s="55" t="n">
        <f aca="false">DD51+DE51</f>
        <v>7684.9695945946</v>
      </c>
      <c r="DG51" s="58" t="n">
        <f aca="false">DF51-(2_Market_Gross_USD!E49+35)</f>
        <v>3399.9695945946</v>
      </c>
      <c r="DH51" s="66" t="n">
        <f aca="false">IFERROR(DF51/(2_Market_Gross_USD!E49+35),0)</f>
        <v>1.79345848181904</v>
      </c>
      <c r="DI51" s="63" t="n">
        <f aca="false">2_Market_Gross_USD!E49*(1-0.065)</f>
        <v>3973.75</v>
      </c>
      <c r="DJ51" s="53" t="n">
        <f aca="false">DI51/0.66</f>
        <v>6020.83333333333</v>
      </c>
      <c r="DK51" s="58" t="n">
        <f aca="false">DJ51*0.2375+0</f>
        <v>1429.94791666667</v>
      </c>
      <c r="DL51" s="55" t="n">
        <f aca="false">DJ51+DK51</f>
        <v>7450.78125</v>
      </c>
      <c r="DM51" s="58" t="n">
        <f aca="false">DL51-(2_Market_Gross_USD!E49+35)</f>
        <v>3165.78125</v>
      </c>
      <c r="DN51" s="66" t="n">
        <f aca="false">IFERROR(DL51/(2_Market_Gross_USD!E49+35),0)</f>
        <v>1.73880542590432</v>
      </c>
      <c r="DO51" s="63" t="n">
        <f aca="false">2_Market_Gross_USD!E49*(1-0.065)</f>
        <v>3973.75</v>
      </c>
      <c r="DP51" s="53" t="n">
        <f aca="false">DO51/0.8</f>
        <v>4967.1875</v>
      </c>
      <c r="DQ51" s="58" t="n">
        <f aca="false">DP51*0+0</f>
        <v>0</v>
      </c>
      <c r="DR51" s="55" t="n">
        <f aca="false">DP51+DQ51</f>
        <v>4967.1875</v>
      </c>
      <c r="DS51" s="58" t="n">
        <f aca="false">DR51-(2_Market_Gross_USD!E49+35)</f>
        <v>682.1875</v>
      </c>
      <c r="DT51" s="66" t="n">
        <f aca="false">IFERROR(DR51/(2_Market_Gross_USD!E49+35),0)</f>
        <v>1.15920361726955</v>
      </c>
      <c r="DU51" s="63" t="n">
        <f aca="false">2_Market_Gross_USD!E49*(1-0.065)</f>
        <v>3973.75</v>
      </c>
      <c r="DV51" s="53" t="n">
        <f aca="false">DU51/0.66</f>
        <v>6020.83333333333</v>
      </c>
      <c r="DW51" s="58" t="n">
        <f aca="false">DV51*0.2375+500</f>
        <v>1929.94791666667</v>
      </c>
      <c r="DX51" s="55" t="n">
        <f aca="false">DV51+DW51</f>
        <v>7950.78125</v>
      </c>
      <c r="DY51" s="58" t="n">
        <f aca="false">DX51-(2_Market_Gross_USD!E49+35)</f>
        <v>3665.78125</v>
      </c>
      <c r="DZ51" s="66" t="n">
        <f aca="false">IFERROR(DX51/(2_Market_Gross_USD!E49+35),0)</f>
        <v>1.85549154025671</v>
      </c>
      <c r="EA51" s="63" t="n">
        <f aca="false">2_Market_Gross_USD!E49*(1-0.065)</f>
        <v>3973.75</v>
      </c>
      <c r="EB51" s="53" t="n">
        <f aca="false">EA51/0.65</f>
        <v>6113.46153846154</v>
      </c>
      <c r="EC51" s="58" t="n">
        <f aca="false">EB51*0.0225+0</f>
        <v>137.552884615385</v>
      </c>
      <c r="ED51" s="55" t="n">
        <f aca="false">EB51+EC51</f>
        <v>6251.01442307692</v>
      </c>
      <c r="EE51" s="58" t="n">
        <f aca="false">ED51-(2_Market_Gross_USD!E49+35)</f>
        <v>1966.01442307692</v>
      </c>
      <c r="EF51" s="66" t="n">
        <f aca="false">IFERROR(ED51/(2_Market_Gross_USD!E49+35),0)</f>
        <v>1.45881316757921</v>
      </c>
      <c r="EG51" s="63" t="n">
        <f aca="false">2_Market_Gross_USD!E49*(1-0.065)</f>
        <v>3973.75</v>
      </c>
      <c r="EH51" s="53" t="n">
        <f aca="false">EG51/0.99</f>
        <v>4013.88888888889</v>
      </c>
      <c r="EI51" s="58" t="n">
        <f aca="false">EH51*0+0</f>
        <v>0</v>
      </c>
      <c r="EJ51" s="55" t="n">
        <f aca="false">EH51+EI51</f>
        <v>4013.88888888889</v>
      </c>
      <c r="EK51" s="58" t="n">
        <f aca="false">EJ51-(2_Market_Gross_USD!E49+35)</f>
        <v>-271.111111111111</v>
      </c>
      <c r="EL51" s="66" t="n">
        <f aca="false">IFERROR(EJ51/(2_Market_Gross_USD!E49+35),0)</f>
        <v>0.93673019577337</v>
      </c>
      <c r="EM51" s="63" t="n">
        <f aca="false">2_Market_Gross_USD!E49*(1-0.065)</f>
        <v>3973.75</v>
      </c>
      <c r="EN51" s="53" t="n">
        <f aca="false">EM51/0.65</f>
        <v>6113.46153846154</v>
      </c>
      <c r="EO51" s="58" t="n">
        <f aca="false">EN51*0.0225+500</f>
        <v>637.552884615385</v>
      </c>
      <c r="EP51" s="55" t="n">
        <f aca="false">EN51+EO51</f>
        <v>6751.01442307692</v>
      </c>
      <c r="EQ51" s="58" t="n">
        <f aca="false">EP51-(2_Market_Gross_USD!E49+35)</f>
        <v>2466.01442307692</v>
      </c>
      <c r="ER51" s="66" t="n">
        <f aca="false">IFERROR(EP51/(2_Market_Gross_USD!E49+35),0)</f>
        <v>1.5754992819316</v>
      </c>
    </row>
  </sheetData>
  <mergeCells count="34">
    <mergeCell ref="A1:ER1"/>
    <mergeCell ref="A2:ER2"/>
    <mergeCell ref="E3:V3"/>
    <mergeCell ref="W3:AN3"/>
    <mergeCell ref="AO3:BF3"/>
    <mergeCell ref="BG3:BX3"/>
    <mergeCell ref="BY3:CP3"/>
    <mergeCell ref="CQ3:DH3"/>
    <mergeCell ref="DI3:DZ3"/>
    <mergeCell ref="EA3:ER3"/>
    <mergeCell ref="E4:J4"/>
    <mergeCell ref="K4:P4"/>
    <mergeCell ref="Q4:V4"/>
    <mergeCell ref="W4:AB4"/>
    <mergeCell ref="AC4:AH4"/>
    <mergeCell ref="AI4:AN4"/>
    <mergeCell ref="AO4:AT4"/>
    <mergeCell ref="AU4:AZ4"/>
    <mergeCell ref="BA4:BF4"/>
    <mergeCell ref="BG4:BL4"/>
    <mergeCell ref="BM4:BR4"/>
    <mergeCell ref="BS4:BX4"/>
    <mergeCell ref="BY4:CD4"/>
    <mergeCell ref="CE4:CJ4"/>
    <mergeCell ref="CK4:CP4"/>
    <mergeCell ref="CQ4:CV4"/>
    <mergeCell ref="CW4:DB4"/>
    <mergeCell ref="DC4:DH4"/>
    <mergeCell ref="DI4:DN4"/>
    <mergeCell ref="DO4:DT4"/>
    <mergeCell ref="DU4:DZ4"/>
    <mergeCell ref="EA4:EF4"/>
    <mergeCell ref="EG4:EL4"/>
    <mergeCell ref="EM4:ER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7" min="2" style="1" width="16"/>
    <col collapsed="false" customWidth="true" hidden="false" outlineLevel="0" max="8" min="8" style="1" width="48"/>
  </cols>
  <sheetData>
    <row r="1" customFormat="false" ht="27.75" hidden="false" customHeight="true" outlineLevel="0" collapsed="false">
      <c r="A1" s="2" t="s">
        <v>316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44" t="s">
        <v>317</v>
      </c>
      <c r="B2" s="44"/>
      <c r="C2" s="44"/>
      <c r="D2" s="44"/>
      <c r="E2" s="44"/>
      <c r="F2" s="44"/>
      <c r="G2" s="44"/>
      <c r="H2" s="44"/>
    </row>
    <row r="4" customFormat="false" ht="21.75" hidden="false" customHeight="true" outlineLevel="0" collapsed="false">
      <c r="A4" s="14" t="s">
        <v>318</v>
      </c>
      <c r="B4" s="14"/>
      <c r="C4" s="14"/>
      <c r="D4" s="14"/>
      <c r="E4" s="14"/>
      <c r="F4" s="14"/>
      <c r="G4" s="14"/>
      <c r="H4" s="14"/>
    </row>
    <row r="5" customFormat="false" ht="21.75" hidden="false" customHeight="true" outlineLevel="0" collapsed="false">
      <c r="A5" s="15" t="s">
        <v>319</v>
      </c>
      <c r="B5" s="15" t="s">
        <v>161</v>
      </c>
      <c r="C5" s="15" t="s">
        <v>320</v>
      </c>
      <c r="D5" s="15" t="s">
        <v>321</v>
      </c>
      <c r="E5" s="15" t="s">
        <v>322</v>
      </c>
      <c r="F5" s="15" t="s">
        <v>323</v>
      </c>
      <c r="G5" s="15" t="s">
        <v>324</v>
      </c>
    </row>
    <row r="6" customFormat="false" ht="18" hidden="false" customHeight="true" outlineLevel="0" collapsed="false">
      <c r="A6" s="5" t="s">
        <v>325</v>
      </c>
      <c r="B6" s="62" t="s">
        <v>326</v>
      </c>
      <c r="C6" s="62" t="s">
        <v>327</v>
      </c>
      <c r="D6" s="62" t="s">
        <v>328</v>
      </c>
      <c r="E6" s="62" t="s">
        <v>329</v>
      </c>
      <c r="F6" s="62" t="s">
        <v>330</v>
      </c>
      <c r="G6" s="32" t="s">
        <v>331</v>
      </c>
    </row>
    <row r="7" customFormat="false" ht="18" hidden="false" customHeight="true" outlineLevel="0" collapsed="false">
      <c r="A7" s="8" t="s">
        <v>332</v>
      </c>
      <c r="B7" s="65" t="s">
        <v>326</v>
      </c>
      <c r="C7" s="65" t="s">
        <v>327</v>
      </c>
      <c r="D7" s="65" t="s">
        <v>333</v>
      </c>
      <c r="E7" s="65" t="s">
        <v>334</v>
      </c>
      <c r="F7" s="65" t="s">
        <v>330</v>
      </c>
      <c r="G7" s="28" t="s">
        <v>335</v>
      </c>
    </row>
    <row r="8" customFormat="false" ht="18" hidden="false" customHeight="true" outlineLevel="0" collapsed="false">
      <c r="A8" s="67" t="s">
        <v>336</v>
      </c>
      <c r="B8" s="68" t="s">
        <v>337</v>
      </c>
      <c r="C8" s="68" t="s">
        <v>338</v>
      </c>
      <c r="D8" s="68" t="s">
        <v>328</v>
      </c>
      <c r="E8" s="68" t="s">
        <v>339</v>
      </c>
      <c r="F8" s="68" t="s">
        <v>340</v>
      </c>
      <c r="G8" s="32" t="s">
        <v>341</v>
      </c>
    </row>
    <row r="9" customFormat="false" ht="18" hidden="false" customHeight="true" outlineLevel="0" collapsed="false">
      <c r="A9" s="8" t="s">
        <v>342</v>
      </c>
      <c r="B9" s="65" t="s">
        <v>326</v>
      </c>
      <c r="C9" s="65" t="s">
        <v>343</v>
      </c>
      <c r="D9" s="65" t="s">
        <v>328</v>
      </c>
      <c r="E9" s="65" t="s">
        <v>344</v>
      </c>
      <c r="F9" s="65" t="s">
        <v>345</v>
      </c>
      <c r="G9" s="28" t="s">
        <v>346</v>
      </c>
    </row>
    <row r="10" customFormat="false" ht="18" hidden="false" customHeight="true" outlineLevel="0" collapsed="false">
      <c r="A10" s="67" t="s">
        <v>347</v>
      </c>
      <c r="B10" s="68" t="s">
        <v>326</v>
      </c>
      <c r="C10" s="68" t="s">
        <v>348</v>
      </c>
      <c r="D10" s="68" t="s">
        <v>328</v>
      </c>
      <c r="E10" s="68" t="s">
        <v>344</v>
      </c>
      <c r="F10" s="68" t="s">
        <v>349</v>
      </c>
      <c r="G10" s="32" t="s">
        <v>350</v>
      </c>
    </row>
    <row r="11" customFormat="false" ht="18" hidden="false" customHeight="true" outlineLevel="0" collapsed="false">
      <c r="A11" s="8" t="s">
        <v>351</v>
      </c>
      <c r="B11" s="65" t="s">
        <v>326</v>
      </c>
      <c r="C11" s="65" t="s">
        <v>352</v>
      </c>
      <c r="D11" s="65" t="s">
        <v>353</v>
      </c>
      <c r="E11" s="65" t="s">
        <v>344</v>
      </c>
      <c r="F11" s="65" t="s">
        <v>354</v>
      </c>
      <c r="G11" s="28" t="s">
        <v>355</v>
      </c>
    </row>
    <row r="12" customFormat="false" ht="18" hidden="false" customHeight="true" outlineLevel="0" collapsed="false">
      <c r="A12" s="67" t="s">
        <v>356</v>
      </c>
      <c r="B12" s="68" t="s">
        <v>326</v>
      </c>
      <c r="C12" s="68" t="s">
        <v>348</v>
      </c>
      <c r="D12" s="68" t="s">
        <v>328</v>
      </c>
      <c r="E12" s="68" t="s">
        <v>344</v>
      </c>
      <c r="F12" s="68" t="s">
        <v>349</v>
      </c>
      <c r="G12" s="32" t="s">
        <v>357</v>
      </c>
    </row>
    <row r="13" customFormat="false" ht="18" hidden="false" customHeight="true" outlineLevel="0" collapsed="false">
      <c r="A13" s="8" t="s">
        <v>358</v>
      </c>
      <c r="B13" s="65" t="s">
        <v>359</v>
      </c>
      <c r="C13" s="65" t="s">
        <v>360</v>
      </c>
      <c r="D13" s="65" t="s">
        <v>361</v>
      </c>
      <c r="E13" s="65" t="s">
        <v>362</v>
      </c>
      <c r="F13" s="65" t="s">
        <v>363</v>
      </c>
      <c r="G13" s="28" t="s">
        <v>364</v>
      </c>
    </row>
    <row r="15" customFormat="false" ht="21.75" hidden="false" customHeight="true" outlineLevel="0" collapsed="false">
      <c r="A15" s="14" t="s">
        <v>365</v>
      </c>
      <c r="B15" s="14"/>
      <c r="C15" s="14"/>
      <c r="D15" s="14"/>
      <c r="E15" s="14"/>
      <c r="F15" s="14"/>
      <c r="G15" s="14"/>
      <c r="H15" s="14"/>
    </row>
    <row r="16" customFormat="false" ht="27.75" hidden="false" customHeight="true" outlineLevel="0" collapsed="false">
      <c r="A16" s="46" t="s">
        <v>160</v>
      </c>
      <c r="B16" s="46" t="s">
        <v>366</v>
      </c>
      <c r="C16" s="46" t="s">
        <v>367</v>
      </c>
      <c r="D16" s="46" t="s">
        <v>368</v>
      </c>
      <c r="E16" s="46" t="s">
        <v>369</v>
      </c>
      <c r="F16" s="46" t="s">
        <v>370</v>
      </c>
      <c r="G16" s="46" t="s">
        <v>371</v>
      </c>
      <c r="H16" s="46" t="s">
        <v>372</v>
      </c>
    </row>
    <row r="17" customFormat="false" ht="19.5" hidden="false" customHeight="true" outlineLevel="0" collapsed="false">
      <c r="A17" s="21" t="s">
        <v>373</v>
      </c>
      <c r="B17" s="69" t="s">
        <v>374</v>
      </c>
      <c r="C17" s="69" t="s">
        <v>375</v>
      </c>
      <c r="D17" s="69" t="s">
        <v>376</v>
      </c>
      <c r="E17" s="69" t="s">
        <v>377</v>
      </c>
      <c r="F17" s="69" t="s">
        <v>378</v>
      </c>
      <c r="G17" s="69" t="s">
        <v>379</v>
      </c>
      <c r="H17" s="32" t="s">
        <v>380</v>
      </c>
    </row>
    <row r="18" customFormat="false" ht="19.5" hidden="false" customHeight="true" outlineLevel="0" collapsed="false">
      <c r="A18" s="28" t="s">
        <v>381</v>
      </c>
      <c r="B18" s="65" t="s">
        <v>37</v>
      </c>
      <c r="C18" s="65" t="s">
        <v>382</v>
      </c>
      <c r="D18" s="65" t="s">
        <v>376</v>
      </c>
      <c r="E18" s="65" t="s">
        <v>377</v>
      </c>
      <c r="F18" s="65" t="s">
        <v>383</v>
      </c>
      <c r="G18" s="65" t="s">
        <v>384</v>
      </c>
      <c r="H18" s="28" t="s">
        <v>385</v>
      </c>
    </row>
    <row r="19" customFormat="false" ht="19.5" hidden="false" customHeight="true" outlineLevel="0" collapsed="false">
      <c r="A19" s="32" t="s">
        <v>386</v>
      </c>
      <c r="B19" s="62" t="s">
        <v>58</v>
      </c>
      <c r="C19" s="62" t="s">
        <v>387</v>
      </c>
      <c r="D19" s="62" t="s">
        <v>376</v>
      </c>
      <c r="E19" s="62" t="s">
        <v>377</v>
      </c>
      <c r="F19" s="62" t="s">
        <v>388</v>
      </c>
      <c r="G19" s="62" t="s">
        <v>389</v>
      </c>
      <c r="H19" s="32" t="s">
        <v>390</v>
      </c>
    </row>
    <row r="20" customFormat="false" ht="19.5" hidden="false" customHeight="true" outlineLevel="0" collapsed="false">
      <c r="A20" s="28" t="s">
        <v>105</v>
      </c>
      <c r="B20" s="65" t="s">
        <v>49</v>
      </c>
      <c r="C20" s="65" t="s">
        <v>391</v>
      </c>
      <c r="D20" s="65" t="s">
        <v>376</v>
      </c>
      <c r="E20" s="65" t="s">
        <v>377</v>
      </c>
      <c r="F20" s="65" t="s">
        <v>392</v>
      </c>
      <c r="G20" s="65" t="s">
        <v>393</v>
      </c>
      <c r="H20" s="28" t="s">
        <v>394</v>
      </c>
    </row>
    <row r="21" customFormat="false" ht="19.5" hidden="false" customHeight="true" outlineLevel="0" collapsed="false">
      <c r="A21" s="32" t="s">
        <v>395</v>
      </c>
      <c r="B21" s="62" t="s">
        <v>52</v>
      </c>
      <c r="C21" s="62" t="s">
        <v>396</v>
      </c>
      <c r="D21" s="62" t="s">
        <v>376</v>
      </c>
      <c r="E21" s="62" t="s">
        <v>377</v>
      </c>
      <c r="F21" s="62" t="s">
        <v>397</v>
      </c>
      <c r="G21" s="62" t="s">
        <v>398</v>
      </c>
      <c r="H21" s="32" t="s">
        <v>399</v>
      </c>
    </row>
    <row r="22" customFormat="false" ht="19.5" hidden="false" customHeight="true" outlineLevel="0" collapsed="false">
      <c r="A22" s="28" t="s">
        <v>400</v>
      </c>
      <c r="B22" s="65" t="s">
        <v>401</v>
      </c>
      <c r="C22" s="65" t="s">
        <v>402</v>
      </c>
      <c r="D22" s="65" t="s">
        <v>376</v>
      </c>
      <c r="E22" s="65" t="s">
        <v>377</v>
      </c>
      <c r="F22" s="65" t="s">
        <v>403</v>
      </c>
      <c r="G22" s="65" t="s">
        <v>404</v>
      </c>
      <c r="H22" s="28" t="s">
        <v>405</v>
      </c>
    </row>
    <row r="23" customFormat="false" ht="19.5" hidden="false" customHeight="true" outlineLevel="0" collapsed="false">
      <c r="A23" s="32" t="s">
        <v>406</v>
      </c>
      <c r="B23" s="62" t="s">
        <v>40</v>
      </c>
      <c r="C23" s="62" t="s">
        <v>407</v>
      </c>
      <c r="D23" s="62" t="s">
        <v>376</v>
      </c>
      <c r="E23" s="62" t="s">
        <v>377</v>
      </c>
      <c r="F23" s="62" t="s">
        <v>408</v>
      </c>
      <c r="G23" s="62" t="s">
        <v>409</v>
      </c>
      <c r="H23" s="32" t="s">
        <v>410</v>
      </c>
    </row>
    <row r="24" customFormat="false" ht="19.5" hidden="false" customHeight="true" outlineLevel="0" collapsed="false">
      <c r="A24" s="28" t="s">
        <v>411</v>
      </c>
      <c r="B24" s="65" t="s">
        <v>412</v>
      </c>
      <c r="C24" s="65" t="s">
        <v>413</v>
      </c>
      <c r="D24" s="65" t="s">
        <v>376</v>
      </c>
      <c r="E24" s="65" t="s">
        <v>377</v>
      </c>
      <c r="F24" s="65" t="s">
        <v>414</v>
      </c>
      <c r="G24" s="65" t="s">
        <v>415</v>
      </c>
      <c r="H24" s="28" t="s">
        <v>416</v>
      </c>
    </row>
    <row r="25" customFormat="false" ht="19.5" hidden="false" customHeight="true" outlineLevel="0" collapsed="false">
      <c r="A25" s="32" t="s">
        <v>417</v>
      </c>
      <c r="B25" s="62" t="s">
        <v>418</v>
      </c>
      <c r="C25" s="62" t="s">
        <v>419</v>
      </c>
      <c r="D25" s="62" t="s">
        <v>376</v>
      </c>
      <c r="E25" s="62" t="s">
        <v>377</v>
      </c>
      <c r="F25" s="62" t="s">
        <v>420</v>
      </c>
      <c r="G25" s="62" t="s">
        <v>421</v>
      </c>
      <c r="H25" s="32" t="s">
        <v>422</v>
      </c>
    </row>
    <row r="26" customFormat="false" ht="15.75" hidden="false" customHeight="true" outlineLevel="0" collapsed="false">
      <c r="A26" s="70" t="s">
        <v>423</v>
      </c>
      <c r="B26" s="70"/>
      <c r="C26" s="70"/>
      <c r="D26" s="70"/>
      <c r="E26" s="70"/>
      <c r="F26" s="70"/>
      <c r="G26" s="70"/>
      <c r="H26" s="70"/>
    </row>
    <row r="28" customFormat="false" ht="21.75" hidden="false" customHeight="true" outlineLevel="0" collapsed="false">
      <c r="A28" s="14" t="s">
        <v>424</v>
      </c>
      <c r="B28" s="14"/>
      <c r="C28" s="14"/>
      <c r="D28" s="14"/>
      <c r="E28" s="14"/>
      <c r="F28" s="14"/>
      <c r="G28" s="14"/>
      <c r="H28" s="14"/>
    </row>
    <row r="29" customFormat="false" ht="21.75" hidden="false" customHeight="true" outlineLevel="0" collapsed="false">
      <c r="A29" s="47" t="s">
        <v>160</v>
      </c>
      <c r="B29" s="47" t="s">
        <v>425</v>
      </c>
      <c r="C29" s="47" t="s">
        <v>426</v>
      </c>
      <c r="D29" s="47" t="s">
        <v>427</v>
      </c>
      <c r="E29" s="47" t="s">
        <v>428</v>
      </c>
      <c r="F29" s="47" t="s">
        <v>429</v>
      </c>
      <c r="G29" s="47" t="s">
        <v>430</v>
      </c>
    </row>
    <row r="30" customFormat="false" ht="19.5" hidden="false" customHeight="true" outlineLevel="0" collapsed="false">
      <c r="A30" s="32" t="s">
        <v>381</v>
      </c>
      <c r="B30" s="62" t="s">
        <v>431</v>
      </c>
      <c r="C30" s="62" t="s">
        <v>432</v>
      </c>
      <c r="D30" s="62" t="s">
        <v>433</v>
      </c>
      <c r="E30" s="62" t="s">
        <v>434</v>
      </c>
      <c r="F30" s="62" t="s">
        <v>435</v>
      </c>
      <c r="G30" s="32" t="s">
        <v>436</v>
      </c>
    </row>
    <row r="31" customFormat="false" ht="19.5" hidden="false" customHeight="true" outlineLevel="0" collapsed="false">
      <c r="A31" s="28" t="s">
        <v>386</v>
      </c>
      <c r="B31" s="65" t="s">
        <v>437</v>
      </c>
      <c r="C31" s="65" t="s">
        <v>438</v>
      </c>
      <c r="D31" s="65" t="s">
        <v>433</v>
      </c>
      <c r="E31" s="65" t="s">
        <v>439</v>
      </c>
      <c r="F31" s="65" t="s">
        <v>440</v>
      </c>
      <c r="G31" s="28" t="s">
        <v>441</v>
      </c>
    </row>
    <row r="32" customFormat="false" ht="19.5" hidden="false" customHeight="true" outlineLevel="0" collapsed="false">
      <c r="A32" s="32" t="s">
        <v>105</v>
      </c>
      <c r="B32" s="62" t="s">
        <v>442</v>
      </c>
      <c r="C32" s="62" t="s">
        <v>443</v>
      </c>
      <c r="D32" s="62" t="s">
        <v>433</v>
      </c>
      <c r="E32" s="62" t="s">
        <v>444</v>
      </c>
      <c r="F32" s="62" t="s">
        <v>445</v>
      </c>
      <c r="G32" s="32" t="s">
        <v>446</v>
      </c>
    </row>
    <row r="33" customFormat="false" ht="19.5" hidden="false" customHeight="true" outlineLevel="0" collapsed="false">
      <c r="A33" s="28" t="s">
        <v>395</v>
      </c>
      <c r="B33" s="65" t="s">
        <v>437</v>
      </c>
      <c r="C33" s="65" t="s">
        <v>447</v>
      </c>
      <c r="D33" s="65" t="s">
        <v>433</v>
      </c>
      <c r="E33" s="65" t="s">
        <v>439</v>
      </c>
      <c r="F33" s="65" t="s">
        <v>440</v>
      </c>
      <c r="G33" s="28" t="s">
        <v>448</v>
      </c>
    </row>
    <row r="34" customFormat="false" ht="19.5" hidden="false" customHeight="true" outlineLevel="0" collapsed="false">
      <c r="A34" s="32" t="s">
        <v>400</v>
      </c>
      <c r="B34" s="62" t="s">
        <v>449</v>
      </c>
      <c r="C34" s="62" t="s">
        <v>450</v>
      </c>
      <c r="D34" s="62" t="s">
        <v>433</v>
      </c>
      <c r="E34" s="62" t="s">
        <v>451</v>
      </c>
      <c r="F34" s="62" t="s">
        <v>452</v>
      </c>
      <c r="G34" s="32" t="s">
        <v>453</v>
      </c>
    </row>
    <row r="35" customFormat="false" ht="19.5" hidden="false" customHeight="true" outlineLevel="0" collapsed="false">
      <c r="A35" s="28" t="s">
        <v>406</v>
      </c>
      <c r="B35" s="65" t="s">
        <v>454</v>
      </c>
      <c r="C35" s="65" t="s">
        <v>443</v>
      </c>
      <c r="D35" s="65" t="s">
        <v>433</v>
      </c>
      <c r="E35" s="65" t="s">
        <v>444</v>
      </c>
      <c r="F35" s="65" t="s">
        <v>445</v>
      </c>
      <c r="G35" s="28" t="s">
        <v>455</v>
      </c>
    </row>
    <row r="36" customFormat="false" ht="19.5" hidden="false" customHeight="true" outlineLevel="0" collapsed="false">
      <c r="A36" s="32" t="s">
        <v>411</v>
      </c>
      <c r="B36" s="62" t="s">
        <v>442</v>
      </c>
      <c r="C36" s="62" t="s">
        <v>456</v>
      </c>
      <c r="D36" s="62" t="s">
        <v>433</v>
      </c>
      <c r="E36" s="62" t="s">
        <v>444</v>
      </c>
      <c r="F36" s="62" t="s">
        <v>445</v>
      </c>
      <c r="G36" s="32" t="s">
        <v>457</v>
      </c>
    </row>
    <row r="37" customFormat="false" ht="19.5" hidden="false" customHeight="true" outlineLevel="0" collapsed="false">
      <c r="A37" s="28" t="s">
        <v>417</v>
      </c>
      <c r="B37" s="65" t="s">
        <v>458</v>
      </c>
      <c r="C37" s="65" t="s">
        <v>459</v>
      </c>
      <c r="D37" s="65" t="s">
        <v>433</v>
      </c>
      <c r="E37" s="65" t="s">
        <v>460</v>
      </c>
      <c r="F37" s="65" t="s">
        <v>452</v>
      </c>
      <c r="G37" s="28" t="s">
        <v>461</v>
      </c>
    </row>
    <row r="39" customFormat="false" ht="21.75" hidden="false" customHeight="true" outlineLevel="0" collapsed="false">
      <c r="A39" s="14" t="s">
        <v>462</v>
      </c>
      <c r="B39" s="14"/>
      <c r="C39" s="14"/>
      <c r="D39" s="14"/>
      <c r="E39" s="14"/>
      <c r="F39" s="14"/>
      <c r="G39" s="14"/>
      <c r="H39" s="14"/>
    </row>
    <row r="40" customFormat="false" ht="21.75" hidden="false" customHeight="true" outlineLevel="0" collapsed="false">
      <c r="A40" s="4" t="s">
        <v>463</v>
      </c>
      <c r="B40" s="4" t="s">
        <v>464</v>
      </c>
      <c r="C40" s="4" t="s">
        <v>465</v>
      </c>
      <c r="D40" s="4" t="s">
        <v>466</v>
      </c>
      <c r="E40" s="4" t="s">
        <v>467</v>
      </c>
      <c r="F40" s="4" t="s">
        <v>430</v>
      </c>
    </row>
    <row r="41" customFormat="false" ht="19.5" hidden="false" customHeight="true" outlineLevel="0" collapsed="false">
      <c r="A41" s="71" t="s">
        <v>468</v>
      </c>
      <c r="B41" s="72" t="s">
        <v>469</v>
      </c>
      <c r="C41" s="72" t="s">
        <v>470</v>
      </c>
      <c r="D41" s="72" t="s">
        <v>471</v>
      </c>
      <c r="E41" s="72" t="s">
        <v>472</v>
      </c>
      <c r="F41" s="71" t="s">
        <v>473</v>
      </c>
    </row>
    <row r="42" customFormat="false" ht="19.5" hidden="false" customHeight="true" outlineLevel="0" collapsed="false">
      <c r="A42" s="71" t="s">
        <v>474</v>
      </c>
      <c r="B42" s="72" t="s">
        <v>475</v>
      </c>
      <c r="C42" s="72" t="s">
        <v>476</v>
      </c>
      <c r="D42" s="72" t="s">
        <v>477</v>
      </c>
      <c r="E42" s="72" t="s">
        <v>478</v>
      </c>
      <c r="F42" s="71" t="s">
        <v>479</v>
      </c>
    </row>
    <row r="43" customFormat="false" ht="19.5" hidden="false" customHeight="true" outlineLevel="0" collapsed="false">
      <c r="A43" s="32" t="s">
        <v>480</v>
      </c>
      <c r="B43" s="62" t="s">
        <v>481</v>
      </c>
      <c r="C43" s="62" t="s">
        <v>482</v>
      </c>
      <c r="D43" s="62" t="s">
        <v>483</v>
      </c>
      <c r="E43" s="62" t="s">
        <v>484</v>
      </c>
      <c r="F43" s="32" t="s">
        <v>485</v>
      </c>
    </row>
    <row r="44" customFormat="false" ht="19.5" hidden="false" customHeight="true" outlineLevel="0" collapsed="false">
      <c r="A44" s="28" t="s">
        <v>486</v>
      </c>
      <c r="B44" s="65" t="s">
        <v>487</v>
      </c>
      <c r="C44" s="65" t="s">
        <v>488</v>
      </c>
      <c r="D44" s="65" t="s">
        <v>489</v>
      </c>
      <c r="E44" s="65" t="s">
        <v>490</v>
      </c>
      <c r="F44" s="28" t="s">
        <v>491</v>
      </c>
    </row>
    <row r="45" customFormat="false" ht="19.5" hidden="false" customHeight="true" outlineLevel="0" collapsed="false">
      <c r="A45" s="32" t="s">
        <v>492</v>
      </c>
      <c r="B45" s="62" t="s">
        <v>493</v>
      </c>
      <c r="C45" s="62" t="s">
        <v>494</v>
      </c>
      <c r="D45" s="62" t="s">
        <v>495</v>
      </c>
      <c r="E45" s="62" t="s">
        <v>496</v>
      </c>
      <c r="F45" s="32" t="s">
        <v>497</v>
      </c>
    </row>
    <row r="46" customFormat="false" ht="19.5" hidden="false" customHeight="true" outlineLevel="0" collapsed="false">
      <c r="A46" s="28" t="s">
        <v>498</v>
      </c>
      <c r="B46" s="65" t="s">
        <v>499</v>
      </c>
      <c r="C46" s="65" t="s">
        <v>488</v>
      </c>
      <c r="D46" s="65" t="s">
        <v>500</v>
      </c>
      <c r="E46" s="65" t="s">
        <v>501</v>
      </c>
      <c r="F46" s="28" t="s">
        <v>502</v>
      </c>
    </row>
    <row r="47" customFormat="false" ht="19.5" hidden="false" customHeight="true" outlineLevel="0" collapsed="false">
      <c r="A47" s="71" t="s">
        <v>503</v>
      </c>
      <c r="B47" s="72" t="s">
        <v>504</v>
      </c>
      <c r="C47" s="72" t="s">
        <v>505</v>
      </c>
      <c r="D47" s="72" t="s">
        <v>506</v>
      </c>
      <c r="E47" s="72" t="s">
        <v>507</v>
      </c>
      <c r="F47" s="71" t="s">
        <v>508</v>
      </c>
    </row>
    <row r="48" customFormat="false" ht="19.5" hidden="false" customHeight="true" outlineLevel="0" collapsed="false">
      <c r="A48" s="28" t="s">
        <v>509</v>
      </c>
      <c r="B48" s="65" t="s">
        <v>510</v>
      </c>
      <c r="C48" s="65" t="s">
        <v>511</v>
      </c>
      <c r="D48" s="65" t="s">
        <v>512</v>
      </c>
      <c r="E48" s="65" t="s">
        <v>513</v>
      </c>
      <c r="F48" s="28" t="s">
        <v>514</v>
      </c>
    </row>
    <row r="50" customFormat="false" ht="21.75" hidden="false" customHeight="true" outlineLevel="0" collapsed="false">
      <c r="A50" s="14" t="s">
        <v>515</v>
      </c>
      <c r="B50" s="14"/>
      <c r="C50" s="14"/>
      <c r="D50" s="14"/>
      <c r="E50" s="14"/>
      <c r="F50" s="14"/>
      <c r="G50" s="14"/>
      <c r="H50" s="14"/>
    </row>
    <row r="51" customFormat="false" ht="21.75" hidden="false" customHeight="true" outlineLevel="0" collapsed="false">
      <c r="A51" s="73" t="s">
        <v>516</v>
      </c>
      <c r="B51" s="73" t="s">
        <v>160</v>
      </c>
      <c r="C51" s="73" t="s">
        <v>517</v>
      </c>
      <c r="D51" s="73" t="s">
        <v>518</v>
      </c>
      <c r="E51" s="73" t="s">
        <v>519</v>
      </c>
      <c r="F51" s="73" t="s">
        <v>520</v>
      </c>
      <c r="G51" s="73" t="s">
        <v>521</v>
      </c>
    </row>
    <row r="52" customFormat="false" ht="19.5" hidden="false" customHeight="true" outlineLevel="0" collapsed="false">
      <c r="A52" s="32" t="s">
        <v>522</v>
      </c>
      <c r="B52" s="32" t="s">
        <v>523</v>
      </c>
      <c r="C52" s="32" t="s">
        <v>524</v>
      </c>
      <c r="D52" s="62" t="s">
        <v>525</v>
      </c>
      <c r="E52" s="32" t="s">
        <v>526</v>
      </c>
      <c r="F52" s="32" t="s">
        <v>527</v>
      </c>
      <c r="G52" s="32" t="s">
        <v>528</v>
      </c>
    </row>
    <row r="53" customFormat="false" ht="19.5" hidden="false" customHeight="true" outlineLevel="0" collapsed="false">
      <c r="A53" s="21" t="s">
        <v>529</v>
      </c>
      <c r="B53" s="21" t="s">
        <v>381</v>
      </c>
      <c r="C53" s="21" t="s">
        <v>530</v>
      </c>
      <c r="D53" s="69" t="s">
        <v>348</v>
      </c>
      <c r="E53" s="21" t="s">
        <v>531</v>
      </c>
      <c r="F53" s="21" t="s">
        <v>532</v>
      </c>
      <c r="G53" s="21" t="s">
        <v>533</v>
      </c>
    </row>
    <row r="54" customFormat="false" ht="19.5" hidden="false" customHeight="true" outlineLevel="0" collapsed="false">
      <c r="A54" s="32" t="s">
        <v>534</v>
      </c>
      <c r="B54" s="32" t="s">
        <v>105</v>
      </c>
      <c r="C54" s="32" t="s">
        <v>535</v>
      </c>
      <c r="D54" s="62" t="s">
        <v>536</v>
      </c>
      <c r="E54" s="32" t="s">
        <v>537</v>
      </c>
      <c r="F54" s="32" t="s">
        <v>538</v>
      </c>
      <c r="G54" s="32" t="s">
        <v>539</v>
      </c>
    </row>
    <row r="55" customFormat="false" ht="19.5" hidden="false" customHeight="true" outlineLevel="0" collapsed="false">
      <c r="A55" s="28" t="s">
        <v>540</v>
      </c>
      <c r="B55" s="28" t="s">
        <v>400</v>
      </c>
      <c r="C55" s="28" t="s">
        <v>541</v>
      </c>
      <c r="D55" s="65" t="s">
        <v>327</v>
      </c>
      <c r="E55" s="28" t="s">
        <v>542</v>
      </c>
      <c r="F55" s="28" t="s">
        <v>543</v>
      </c>
      <c r="G55" s="28" t="s">
        <v>544</v>
      </c>
    </row>
    <row r="56" customFormat="false" ht="19.5" hidden="false" customHeight="true" outlineLevel="0" collapsed="false">
      <c r="A56" s="32" t="s">
        <v>545</v>
      </c>
      <c r="B56" s="32" t="s">
        <v>190</v>
      </c>
      <c r="C56" s="32" t="s">
        <v>546</v>
      </c>
      <c r="D56" s="62" t="s">
        <v>338</v>
      </c>
      <c r="E56" s="32" t="s">
        <v>547</v>
      </c>
      <c r="F56" s="32" t="s">
        <v>548</v>
      </c>
      <c r="G56" s="32" t="s">
        <v>549</v>
      </c>
    </row>
    <row r="57" customFormat="false" ht="19.5" hidden="false" customHeight="true" outlineLevel="0" collapsed="false">
      <c r="A57" s="28" t="s">
        <v>550</v>
      </c>
      <c r="B57" s="28" t="s">
        <v>417</v>
      </c>
      <c r="C57" s="28" t="s">
        <v>336</v>
      </c>
      <c r="D57" s="65" t="s">
        <v>551</v>
      </c>
      <c r="E57" s="28" t="s">
        <v>552</v>
      </c>
      <c r="F57" s="28" t="s">
        <v>553</v>
      </c>
      <c r="G57" s="28" t="s">
        <v>554</v>
      </c>
    </row>
    <row r="58" customFormat="false" ht="19.5" hidden="false" customHeight="true" outlineLevel="0" collapsed="false">
      <c r="A58" s="32" t="s">
        <v>555</v>
      </c>
      <c r="B58" s="32" t="s">
        <v>556</v>
      </c>
      <c r="C58" s="32" t="s">
        <v>557</v>
      </c>
      <c r="D58" s="62" t="s">
        <v>558</v>
      </c>
      <c r="E58" s="32" t="s">
        <v>559</v>
      </c>
      <c r="F58" s="32" t="s">
        <v>560</v>
      </c>
      <c r="G58" s="32" t="s">
        <v>561</v>
      </c>
    </row>
    <row r="59" customFormat="false" ht="19.5" hidden="false" customHeight="true" outlineLevel="0" collapsed="false">
      <c r="A59" s="28" t="s">
        <v>562</v>
      </c>
      <c r="B59" s="28" t="s">
        <v>563</v>
      </c>
      <c r="C59" s="28" t="s">
        <v>564</v>
      </c>
      <c r="D59" s="65" t="s">
        <v>348</v>
      </c>
      <c r="E59" s="28" t="s">
        <v>565</v>
      </c>
      <c r="F59" s="28" t="s">
        <v>566</v>
      </c>
      <c r="G59" s="28" t="s">
        <v>567</v>
      </c>
    </row>
    <row r="60" customFormat="false" ht="19.5" hidden="false" customHeight="true" outlineLevel="0" collapsed="false">
      <c r="A60" s="32" t="s">
        <v>568</v>
      </c>
      <c r="B60" s="32" t="s">
        <v>569</v>
      </c>
      <c r="C60" s="32" t="s">
        <v>570</v>
      </c>
      <c r="D60" s="62" t="s">
        <v>360</v>
      </c>
      <c r="E60" s="32" t="s">
        <v>571</v>
      </c>
      <c r="F60" s="32" t="s">
        <v>26</v>
      </c>
      <c r="G60" s="32" t="s">
        <v>572</v>
      </c>
    </row>
  </sheetData>
  <mergeCells count="8">
    <mergeCell ref="A1:H1"/>
    <mergeCell ref="A2:H2"/>
    <mergeCell ref="A4:H4"/>
    <mergeCell ref="A15:H15"/>
    <mergeCell ref="A26:H26"/>
    <mergeCell ref="A28:H28"/>
    <mergeCell ref="A39:H39"/>
    <mergeCell ref="A50:H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6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3" min="2" style="1" width="12"/>
    <col collapsed="false" customWidth="true" hidden="false" outlineLevel="0" max="5" min="4" style="1" width="15"/>
    <col collapsed="false" customWidth="true" hidden="false" outlineLevel="0" max="7" min="6" style="1" width="12"/>
    <col collapsed="false" customWidth="true" hidden="false" outlineLevel="0" max="8" min="8" style="1" width="10"/>
    <col collapsed="false" customWidth="true" hidden="false" outlineLevel="0" max="9" min="9" style="1" width="55"/>
  </cols>
  <sheetData>
    <row r="1" customFormat="false" ht="25.5" hidden="false" customHeight="true" outlineLevel="0" collapsed="false">
      <c r="A1" s="74" t="s">
        <v>573</v>
      </c>
      <c r="B1" s="74"/>
      <c r="C1" s="74"/>
      <c r="D1" s="74"/>
      <c r="E1" s="74"/>
      <c r="F1" s="74"/>
      <c r="G1" s="74"/>
      <c r="H1" s="74"/>
      <c r="I1" s="74"/>
    </row>
    <row r="2" customFormat="false" ht="15" hidden="false" customHeight="false" outlineLevel="0" collapsed="false">
      <c r="A2" s="75" t="s">
        <v>574</v>
      </c>
      <c r="B2" s="75"/>
      <c r="C2" s="75"/>
      <c r="D2" s="75"/>
      <c r="E2" s="75"/>
      <c r="F2" s="75"/>
      <c r="G2" s="75"/>
      <c r="H2" s="75"/>
      <c r="I2" s="75"/>
    </row>
    <row r="3" customFormat="false" ht="27.75" hidden="false" customHeight="true" outlineLevel="0" collapsed="false">
      <c r="A3" s="15" t="s">
        <v>575</v>
      </c>
      <c r="B3" s="15" t="s">
        <v>160</v>
      </c>
      <c r="C3" s="15" t="s">
        <v>236</v>
      </c>
      <c r="D3" s="15" t="s">
        <v>576</v>
      </c>
      <c r="E3" s="15" t="s">
        <v>577</v>
      </c>
      <c r="F3" s="15" t="s">
        <v>578</v>
      </c>
      <c r="G3" s="15" t="s">
        <v>579</v>
      </c>
      <c r="H3" s="15" t="s">
        <v>430</v>
      </c>
      <c r="I3" s="15" t="s">
        <v>580</v>
      </c>
    </row>
    <row r="4" customFormat="false" ht="18" hidden="false" customHeight="true" outlineLevel="0" collapsed="false">
      <c r="A4" s="76" t="s">
        <v>581</v>
      </c>
      <c r="B4" s="77" t="s">
        <v>225</v>
      </c>
      <c r="C4" s="77" t="s">
        <v>249</v>
      </c>
      <c r="D4" s="76" t="s">
        <v>582</v>
      </c>
      <c r="E4" s="78" t="s">
        <v>583</v>
      </c>
      <c r="F4" s="77" t="s">
        <v>584</v>
      </c>
      <c r="G4" s="77" t="s">
        <v>585</v>
      </c>
      <c r="H4" s="79" t="s">
        <v>586</v>
      </c>
      <c r="I4" s="76" t="s">
        <v>587</v>
      </c>
    </row>
    <row r="5" customFormat="false" ht="18" hidden="false" customHeight="true" outlineLevel="0" collapsed="false">
      <c r="A5" s="80" t="s">
        <v>588</v>
      </c>
      <c r="B5" s="81" t="s">
        <v>225</v>
      </c>
      <c r="C5" s="81" t="s">
        <v>249</v>
      </c>
      <c r="D5" s="80" t="s">
        <v>589</v>
      </c>
      <c r="E5" s="82" t="s">
        <v>590</v>
      </c>
      <c r="F5" s="81" t="s">
        <v>591</v>
      </c>
      <c r="G5" s="81" t="s">
        <v>592</v>
      </c>
      <c r="H5" s="83" t="s">
        <v>593</v>
      </c>
      <c r="I5" s="80" t="s">
        <v>594</v>
      </c>
    </row>
    <row r="6" customFormat="false" ht="18" hidden="false" customHeight="true" outlineLevel="0" collapsed="false">
      <c r="A6" s="80" t="s">
        <v>595</v>
      </c>
      <c r="B6" s="81" t="s">
        <v>225</v>
      </c>
      <c r="C6" s="81" t="s">
        <v>249</v>
      </c>
      <c r="D6" s="80" t="s">
        <v>596</v>
      </c>
      <c r="E6" s="82" t="s">
        <v>597</v>
      </c>
      <c r="F6" s="81" t="s">
        <v>591</v>
      </c>
      <c r="G6" s="81" t="s">
        <v>592</v>
      </c>
      <c r="H6" s="83" t="s">
        <v>598</v>
      </c>
      <c r="I6" s="80" t="s">
        <v>599</v>
      </c>
    </row>
    <row r="7" customFormat="false" ht="18" hidden="false" customHeight="true" outlineLevel="0" collapsed="false">
      <c r="A7" s="80" t="s">
        <v>600</v>
      </c>
      <c r="B7" s="81" t="s">
        <v>225</v>
      </c>
      <c r="C7" s="81" t="s">
        <v>249</v>
      </c>
      <c r="D7" s="80" t="s">
        <v>601</v>
      </c>
      <c r="E7" s="82" t="s">
        <v>602</v>
      </c>
      <c r="F7" s="81" t="s">
        <v>591</v>
      </c>
      <c r="G7" s="81" t="s">
        <v>603</v>
      </c>
      <c r="H7" s="83" t="s">
        <v>604</v>
      </c>
      <c r="I7" s="80" t="s">
        <v>605</v>
      </c>
    </row>
    <row r="8" customFormat="false" ht="18" hidden="false" customHeight="true" outlineLevel="0" collapsed="false">
      <c r="A8" s="80" t="s">
        <v>606</v>
      </c>
      <c r="B8" s="81" t="s">
        <v>225</v>
      </c>
      <c r="C8" s="81" t="s">
        <v>249</v>
      </c>
      <c r="D8" s="80" t="s">
        <v>607</v>
      </c>
      <c r="E8" s="82" t="s">
        <v>608</v>
      </c>
      <c r="F8" s="81" t="s">
        <v>591</v>
      </c>
      <c r="G8" s="81" t="s">
        <v>609</v>
      </c>
      <c r="H8" s="83" t="s">
        <v>610</v>
      </c>
      <c r="I8" s="80" t="s">
        <v>611</v>
      </c>
    </row>
    <row r="9" customFormat="false" ht="18" hidden="false" customHeight="true" outlineLevel="0" collapsed="false">
      <c r="A9" s="76" t="s">
        <v>612</v>
      </c>
      <c r="B9" s="77" t="s">
        <v>225</v>
      </c>
      <c r="C9" s="77" t="s">
        <v>249</v>
      </c>
      <c r="D9" s="76" t="s">
        <v>613</v>
      </c>
      <c r="E9" s="78" t="s">
        <v>614</v>
      </c>
      <c r="F9" s="77" t="s">
        <v>584</v>
      </c>
      <c r="G9" s="77" t="s">
        <v>615</v>
      </c>
      <c r="H9" s="79" t="s">
        <v>616</v>
      </c>
      <c r="I9" s="76" t="s">
        <v>617</v>
      </c>
    </row>
    <row r="10" customFormat="false" ht="18" hidden="false" customHeight="true" outlineLevel="0" collapsed="false">
      <c r="A10" s="76" t="s">
        <v>618</v>
      </c>
      <c r="B10" s="77" t="s">
        <v>225</v>
      </c>
      <c r="C10" s="77" t="s">
        <v>249</v>
      </c>
      <c r="D10" s="76" t="s">
        <v>619</v>
      </c>
      <c r="E10" s="78" t="s">
        <v>620</v>
      </c>
      <c r="F10" s="77" t="s">
        <v>584</v>
      </c>
      <c r="G10" s="77" t="s">
        <v>621</v>
      </c>
      <c r="H10" s="79" t="s">
        <v>622</v>
      </c>
      <c r="I10" s="76" t="s">
        <v>623</v>
      </c>
    </row>
    <row r="11" customFormat="false" ht="18" hidden="false" customHeight="true" outlineLevel="0" collapsed="false">
      <c r="A11" s="80" t="s">
        <v>624</v>
      </c>
      <c r="B11" s="81" t="s">
        <v>225</v>
      </c>
      <c r="C11" s="81" t="s">
        <v>248</v>
      </c>
      <c r="D11" s="80" t="s">
        <v>625</v>
      </c>
      <c r="E11" s="82" t="s">
        <v>626</v>
      </c>
      <c r="F11" s="81" t="s">
        <v>591</v>
      </c>
      <c r="G11" s="81" t="s">
        <v>627</v>
      </c>
      <c r="H11" s="83" t="s">
        <v>628</v>
      </c>
      <c r="I11" s="80" t="s">
        <v>629</v>
      </c>
    </row>
    <row r="12" customFormat="false" ht="18" hidden="false" customHeight="true" outlineLevel="0" collapsed="false">
      <c r="A12" s="80" t="s">
        <v>630</v>
      </c>
      <c r="B12" s="81" t="s">
        <v>225</v>
      </c>
      <c r="C12" s="81" t="s">
        <v>248</v>
      </c>
      <c r="D12" s="80" t="s">
        <v>631</v>
      </c>
      <c r="E12" s="82" t="s">
        <v>632</v>
      </c>
      <c r="F12" s="81" t="s">
        <v>591</v>
      </c>
      <c r="G12" s="81" t="s">
        <v>592</v>
      </c>
      <c r="H12" s="83" t="s">
        <v>633</v>
      </c>
      <c r="I12" s="80" t="s">
        <v>634</v>
      </c>
    </row>
    <row r="13" customFormat="false" ht="18" hidden="false" customHeight="true" outlineLevel="0" collapsed="false">
      <c r="A13" s="84" t="s">
        <v>635</v>
      </c>
      <c r="B13" s="85" t="s">
        <v>225</v>
      </c>
      <c r="C13" s="85" t="s">
        <v>249</v>
      </c>
      <c r="D13" s="84" t="s">
        <v>636</v>
      </c>
      <c r="E13" s="86" t="s">
        <v>637</v>
      </c>
      <c r="F13" s="85" t="s">
        <v>638</v>
      </c>
      <c r="G13" s="85" t="s">
        <v>615</v>
      </c>
      <c r="H13" s="87" t="s">
        <v>639</v>
      </c>
      <c r="I13" s="84" t="s">
        <v>640</v>
      </c>
    </row>
    <row r="14" customFormat="false" ht="18" hidden="false" customHeight="true" outlineLevel="0" collapsed="false">
      <c r="A14" s="80" t="s">
        <v>641</v>
      </c>
      <c r="B14" s="81" t="s">
        <v>181</v>
      </c>
      <c r="C14" s="81" t="s">
        <v>249</v>
      </c>
      <c r="D14" s="80" t="s">
        <v>642</v>
      </c>
      <c r="E14" s="82" t="s">
        <v>643</v>
      </c>
      <c r="F14" s="81" t="s">
        <v>591</v>
      </c>
      <c r="G14" s="81" t="s">
        <v>644</v>
      </c>
      <c r="H14" s="83" t="s">
        <v>645</v>
      </c>
      <c r="I14" s="80" t="s">
        <v>646</v>
      </c>
    </row>
    <row r="15" customFormat="false" ht="18" hidden="false" customHeight="true" outlineLevel="0" collapsed="false">
      <c r="A15" s="80" t="s">
        <v>647</v>
      </c>
      <c r="B15" s="81" t="s">
        <v>181</v>
      </c>
      <c r="C15" s="81" t="s">
        <v>249</v>
      </c>
      <c r="D15" s="80" t="s">
        <v>648</v>
      </c>
      <c r="E15" s="82" t="s">
        <v>649</v>
      </c>
      <c r="F15" s="81" t="s">
        <v>591</v>
      </c>
      <c r="G15" s="81" t="s">
        <v>650</v>
      </c>
      <c r="H15" s="83" t="s">
        <v>651</v>
      </c>
      <c r="I15" s="80" t="s">
        <v>652</v>
      </c>
    </row>
    <row r="16" customFormat="false" ht="18" hidden="false" customHeight="true" outlineLevel="0" collapsed="false">
      <c r="A16" s="80" t="s">
        <v>653</v>
      </c>
      <c r="B16" s="81" t="s">
        <v>181</v>
      </c>
      <c r="C16" s="81" t="s">
        <v>249</v>
      </c>
      <c r="D16" s="80" t="s">
        <v>654</v>
      </c>
      <c r="E16" s="82" t="s">
        <v>655</v>
      </c>
      <c r="F16" s="81" t="s">
        <v>591</v>
      </c>
      <c r="G16" s="81" t="s">
        <v>656</v>
      </c>
      <c r="H16" s="83" t="s">
        <v>657</v>
      </c>
      <c r="I16" s="80" t="s">
        <v>658</v>
      </c>
    </row>
    <row r="17" customFormat="false" ht="18" hidden="false" customHeight="true" outlineLevel="0" collapsed="false">
      <c r="A17" s="80" t="s">
        <v>659</v>
      </c>
      <c r="B17" s="81" t="s">
        <v>181</v>
      </c>
      <c r="C17" s="81" t="s">
        <v>249</v>
      </c>
      <c r="D17" s="80" t="s">
        <v>660</v>
      </c>
      <c r="E17" s="82" t="s">
        <v>661</v>
      </c>
      <c r="F17" s="81" t="s">
        <v>591</v>
      </c>
      <c r="G17" s="81" t="s">
        <v>662</v>
      </c>
      <c r="H17" s="83" t="s">
        <v>663</v>
      </c>
      <c r="I17" s="80" t="s">
        <v>664</v>
      </c>
    </row>
    <row r="18" customFormat="false" ht="18" hidden="false" customHeight="true" outlineLevel="0" collapsed="false">
      <c r="A18" s="84" t="s">
        <v>665</v>
      </c>
      <c r="B18" s="85" t="s">
        <v>181</v>
      </c>
      <c r="C18" s="85" t="s">
        <v>249</v>
      </c>
      <c r="D18" s="84" t="s">
        <v>666</v>
      </c>
      <c r="E18" s="86" t="s">
        <v>667</v>
      </c>
      <c r="F18" s="85" t="s">
        <v>638</v>
      </c>
      <c r="G18" s="85" t="s">
        <v>668</v>
      </c>
      <c r="H18" s="87" t="s">
        <v>669</v>
      </c>
      <c r="I18" s="84" t="s">
        <v>670</v>
      </c>
    </row>
    <row r="19" customFormat="false" ht="18" hidden="false" customHeight="true" outlineLevel="0" collapsed="false">
      <c r="A19" s="76" t="s">
        <v>671</v>
      </c>
      <c r="B19" s="77" t="s">
        <v>181</v>
      </c>
      <c r="C19" s="77" t="s">
        <v>249</v>
      </c>
      <c r="D19" s="76" t="s">
        <v>672</v>
      </c>
      <c r="E19" s="78" t="s">
        <v>673</v>
      </c>
      <c r="F19" s="77" t="s">
        <v>584</v>
      </c>
      <c r="G19" s="77" t="s">
        <v>674</v>
      </c>
      <c r="H19" s="79" t="s">
        <v>675</v>
      </c>
      <c r="I19" s="76" t="s">
        <v>676</v>
      </c>
    </row>
    <row r="20" customFormat="false" ht="18" hidden="false" customHeight="true" outlineLevel="0" collapsed="false">
      <c r="A20" s="80" t="s">
        <v>677</v>
      </c>
      <c r="B20" s="81" t="s">
        <v>181</v>
      </c>
      <c r="C20" s="81" t="s">
        <v>248</v>
      </c>
      <c r="D20" s="80" t="s">
        <v>678</v>
      </c>
      <c r="E20" s="82" t="s">
        <v>679</v>
      </c>
      <c r="F20" s="81" t="s">
        <v>591</v>
      </c>
      <c r="G20" s="81" t="s">
        <v>680</v>
      </c>
      <c r="H20" s="83" t="s">
        <v>681</v>
      </c>
      <c r="I20" s="80" t="s">
        <v>682</v>
      </c>
    </row>
    <row r="21" customFormat="false" ht="18" hidden="false" customHeight="true" outlineLevel="0" collapsed="false">
      <c r="A21" s="76" t="s">
        <v>683</v>
      </c>
      <c r="B21" s="77" t="s">
        <v>181</v>
      </c>
      <c r="C21" s="77" t="s">
        <v>249</v>
      </c>
      <c r="D21" s="76" t="s">
        <v>684</v>
      </c>
      <c r="E21" s="78" t="s">
        <v>643</v>
      </c>
      <c r="F21" s="77" t="s">
        <v>584</v>
      </c>
      <c r="G21" s="77" t="s">
        <v>685</v>
      </c>
      <c r="H21" s="79" t="s">
        <v>686</v>
      </c>
      <c r="I21" s="76" t="s">
        <v>687</v>
      </c>
    </row>
    <row r="22" customFormat="false" ht="18" hidden="false" customHeight="true" outlineLevel="0" collapsed="false">
      <c r="A22" s="84" t="s">
        <v>688</v>
      </c>
      <c r="B22" s="85" t="s">
        <v>181</v>
      </c>
      <c r="C22" s="85" t="s">
        <v>248</v>
      </c>
      <c r="D22" s="84" t="s">
        <v>689</v>
      </c>
      <c r="E22" s="86" t="s">
        <v>690</v>
      </c>
      <c r="F22" s="85" t="s">
        <v>638</v>
      </c>
      <c r="G22" s="85" t="s">
        <v>691</v>
      </c>
      <c r="H22" s="88" t="s">
        <v>692</v>
      </c>
      <c r="I22" s="84" t="s">
        <v>693</v>
      </c>
    </row>
    <row r="23" customFormat="false" ht="18" hidden="false" customHeight="true" outlineLevel="0" collapsed="false">
      <c r="A23" s="89" t="s">
        <v>694</v>
      </c>
      <c r="B23" s="90" t="s">
        <v>213</v>
      </c>
      <c r="C23" s="90" t="s">
        <v>249</v>
      </c>
      <c r="D23" s="89" t="s">
        <v>695</v>
      </c>
      <c r="E23" s="91" t="s">
        <v>696</v>
      </c>
      <c r="F23" s="90" t="s">
        <v>697</v>
      </c>
      <c r="G23" s="90" t="s">
        <v>698</v>
      </c>
      <c r="H23" s="92" t="s">
        <v>699</v>
      </c>
      <c r="I23" s="89" t="s">
        <v>700</v>
      </c>
    </row>
    <row r="24" customFormat="false" ht="18" hidden="false" customHeight="true" outlineLevel="0" collapsed="false">
      <c r="A24" s="89" t="s">
        <v>701</v>
      </c>
      <c r="B24" s="90" t="s">
        <v>213</v>
      </c>
      <c r="C24" s="90" t="s">
        <v>249</v>
      </c>
      <c r="D24" s="89" t="s">
        <v>702</v>
      </c>
      <c r="E24" s="91" t="s">
        <v>703</v>
      </c>
      <c r="F24" s="90" t="s">
        <v>697</v>
      </c>
      <c r="G24" s="90" t="s">
        <v>704</v>
      </c>
      <c r="H24" s="92" t="s">
        <v>705</v>
      </c>
      <c r="I24" s="89" t="s">
        <v>706</v>
      </c>
    </row>
    <row r="25" customFormat="false" ht="18" hidden="false" customHeight="true" outlineLevel="0" collapsed="false">
      <c r="A25" s="89" t="s">
        <v>707</v>
      </c>
      <c r="B25" s="90" t="s">
        <v>213</v>
      </c>
      <c r="C25" s="90" t="s">
        <v>249</v>
      </c>
      <c r="D25" s="89" t="s">
        <v>708</v>
      </c>
      <c r="E25" s="91" t="s">
        <v>709</v>
      </c>
      <c r="F25" s="90" t="s">
        <v>697</v>
      </c>
      <c r="G25" s="90" t="s">
        <v>710</v>
      </c>
      <c r="H25" s="92" t="s">
        <v>711</v>
      </c>
      <c r="I25" s="89" t="s">
        <v>712</v>
      </c>
    </row>
    <row r="26" customFormat="false" ht="18" hidden="false" customHeight="true" outlineLevel="0" collapsed="false">
      <c r="A26" s="80" t="s">
        <v>713</v>
      </c>
      <c r="B26" s="81" t="s">
        <v>213</v>
      </c>
      <c r="C26" s="81" t="s">
        <v>249</v>
      </c>
      <c r="D26" s="80" t="s">
        <v>714</v>
      </c>
      <c r="E26" s="82" t="s">
        <v>715</v>
      </c>
      <c r="F26" s="81" t="s">
        <v>591</v>
      </c>
      <c r="G26" s="81" t="s">
        <v>603</v>
      </c>
      <c r="H26" s="83" t="s">
        <v>716</v>
      </c>
      <c r="I26" s="80" t="s">
        <v>717</v>
      </c>
    </row>
    <row r="27" customFormat="false" ht="18" hidden="false" customHeight="true" outlineLevel="0" collapsed="false">
      <c r="A27" s="80" t="s">
        <v>718</v>
      </c>
      <c r="B27" s="81" t="s">
        <v>213</v>
      </c>
      <c r="C27" s="81" t="s">
        <v>249</v>
      </c>
      <c r="D27" s="80" t="s">
        <v>719</v>
      </c>
      <c r="E27" s="82" t="s">
        <v>720</v>
      </c>
      <c r="F27" s="81" t="s">
        <v>591</v>
      </c>
      <c r="G27" s="81" t="s">
        <v>603</v>
      </c>
      <c r="H27" s="83" t="s">
        <v>721</v>
      </c>
      <c r="I27" s="80" t="s">
        <v>722</v>
      </c>
    </row>
    <row r="28" customFormat="false" ht="18" hidden="false" customHeight="true" outlineLevel="0" collapsed="false">
      <c r="A28" s="80" t="s">
        <v>723</v>
      </c>
      <c r="B28" s="81" t="s">
        <v>213</v>
      </c>
      <c r="C28" s="81" t="s">
        <v>249</v>
      </c>
      <c r="D28" s="80" t="s">
        <v>724</v>
      </c>
      <c r="E28" s="82" t="s">
        <v>725</v>
      </c>
      <c r="F28" s="81" t="s">
        <v>591</v>
      </c>
      <c r="G28" s="81" t="s">
        <v>592</v>
      </c>
      <c r="H28" s="83" t="s">
        <v>726</v>
      </c>
      <c r="I28" s="80" t="s">
        <v>727</v>
      </c>
    </row>
    <row r="29" customFormat="false" ht="18" hidden="false" customHeight="true" outlineLevel="0" collapsed="false">
      <c r="A29" s="80" t="s">
        <v>728</v>
      </c>
      <c r="B29" s="81" t="s">
        <v>213</v>
      </c>
      <c r="C29" s="81" t="s">
        <v>249</v>
      </c>
      <c r="D29" s="80" t="s">
        <v>729</v>
      </c>
      <c r="E29" s="82" t="s">
        <v>730</v>
      </c>
      <c r="F29" s="81" t="s">
        <v>591</v>
      </c>
      <c r="G29" s="81" t="s">
        <v>731</v>
      </c>
      <c r="H29" s="83" t="s">
        <v>732</v>
      </c>
      <c r="I29" s="80" t="s">
        <v>733</v>
      </c>
    </row>
    <row r="30" customFormat="false" ht="18" hidden="false" customHeight="true" outlineLevel="0" collapsed="false">
      <c r="A30" s="84" t="s">
        <v>734</v>
      </c>
      <c r="B30" s="85" t="s">
        <v>213</v>
      </c>
      <c r="C30" s="85" t="s">
        <v>248</v>
      </c>
      <c r="D30" s="84" t="s">
        <v>735</v>
      </c>
      <c r="E30" s="86" t="s">
        <v>736</v>
      </c>
      <c r="F30" s="85" t="s">
        <v>638</v>
      </c>
      <c r="G30" s="85" t="s">
        <v>737</v>
      </c>
      <c r="H30" s="87" t="s">
        <v>738</v>
      </c>
      <c r="I30" s="84" t="s">
        <v>739</v>
      </c>
    </row>
    <row r="31" customFormat="false" ht="18" hidden="false" customHeight="true" outlineLevel="0" collapsed="false">
      <c r="A31" s="89" t="s">
        <v>740</v>
      </c>
      <c r="B31" s="90" t="s">
        <v>202</v>
      </c>
      <c r="C31" s="90" t="s">
        <v>248</v>
      </c>
      <c r="D31" s="89" t="s">
        <v>741</v>
      </c>
      <c r="E31" s="91" t="s">
        <v>742</v>
      </c>
      <c r="F31" s="90" t="s">
        <v>697</v>
      </c>
      <c r="G31" s="90" t="s">
        <v>743</v>
      </c>
      <c r="H31" s="92" t="s">
        <v>744</v>
      </c>
      <c r="I31" s="89" t="s">
        <v>745</v>
      </c>
    </row>
    <row r="32" customFormat="false" ht="18" hidden="false" customHeight="true" outlineLevel="0" collapsed="false">
      <c r="A32" s="80" t="s">
        <v>746</v>
      </c>
      <c r="B32" s="81" t="s">
        <v>202</v>
      </c>
      <c r="C32" s="81" t="s">
        <v>248</v>
      </c>
      <c r="D32" s="80" t="s">
        <v>747</v>
      </c>
      <c r="E32" s="82" t="s">
        <v>748</v>
      </c>
      <c r="F32" s="81" t="s">
        <v>591</v>
      </c>
      <c r="G32" s="81" t="s">
        <v>749</v>
      </c>
      <c r="H32" s="83" t="s">
        <v>750</v>
      </c>
      <c r="I32" s="80" t="s">
        <v>751</v>
      </c>
    </row>
    <row r="33" customFormat="false" ht="18" hidden="false" customHeight="true" outlineLevel="0" collapsed="false">
      <c r="A33" s="80" t="s">
        <v>752</v>
      </c>
      <c r="B33" s="81" t="s">
        <v>202</v>
      </c>
      <c r="C33" s="81" t="s">
        <v>249</v>
      </c>
      <c r="D33" s="80" t="s">
        <v>753</v>
      </c>
      <c r="E33" s="82" t="s">
        <v>754</v>
      </c>
      <c r="F33" s="81" t="s">
        <v>591</v>
      </c>
      <c r="G33" s="81" t="s">
        <v>755</v>
      </c>
      <c r="H33" s="83" t="s">
        <v>756</v>
      </c>
      <c r="I33" s="80" t="s">
        <v>757</v>
      </c>
    </row>
    <row r="34" customFormat="false" ht="18" hidden="false" customHeight="true" outlineLevel="0" collapsed="false">
      <c r="A34" s="80" t="s">
        <v>758</v>
      </c>
      <c r="B34" s="81" t="s">
        <v>202</v>
      </c>
      <c r="C34" s="81" t="s">
        <v>249</v>
      </c>
      <c r="D34" s="80" t="s">
        <v>759</v>
      </c>
      <c r="E34" s="82" t="s">
        <v>760</v>
      </c>
      <c r="F34" s="81" t="s">
        <v>591</v>
      </c>
      <c r="G34" s="81" t="s">
        <v>603</v>
      </c>
      <c r="H34" s="83" t="s">
        <v>761</v>
      </c>
      <c r="I34" s="80" t="s">
        <v>762</v>
      </c>
    </row>
    <row r="35" customFormat="false" ht="18" hidden="false" customHeight="true" outlineLevel="0" collapsed="false">
      <c r="A35" s="80" t="s">
        <v>763</v>
      </c>
      <c r="B35" s="81" t="s">
        <v>202</v>
      </c>
      <c r="C35" s="81" t="s">
        <v>249</v>
      </c>
      <c r="D35" s="80" t="s">
        <v>764</v>
      </c>
      <c r="E35" s="82" t="s">
        <v>765</v>
      </c>
      <c r="F35" s="81" t="s">
        <v>591</v>
      </c>
      <c r="G35" s="81" t="s">
        <v>766</v>
      </c>
      <c r="H35" s="83" t="s">
        <v>767</v>
      </c>
      <c r="I35" s="80" t="s">
        <v>768</v>
      </c>
    </row>
    <row r="36" customFormat="false" ht="18" hidden="false" customHeight="true" outlineLevel="0" collapsed="false">
      <c r="A36" s="76" t="s">
        <v>769</v>
      </c>
      <c r="B36" s="77" t="s">
        <v>202</v>
      </c>
      <c r="C36" s="77" t="s">
        <v>248</v>
      </c>
      <c r="D36" s="76" t="s">
        <v>770</v>
      </c>
      <c r="E36" s="78" t="s">
        <v>771</v>
      </c>
      <c r="F36" s="77" t="s">
        <v>584</v>
      </c>
      <c r="G36" s="77" t="s">
        <v>615</v>
      </c>
      <c r="H36" s="79" t="s">
        <v>772</v>
      </c>
      <c r="I36" s="76" t="s">
        <v>773</v>
      </c>
    </row>
    <row r="37" customFormat="false" ht="18" hidden="false" customHeight="true" outlineLevel="0" collapsed="false">
      <c r="A37" s="89" t="s">
        <v>774</v>
      </c>
      <c r="B37" s="90" t="s">
        <v>208</v>
      </c>
      <c r="C37" s="90" t="s">
        <v>249</v>
      </c>
      <c r="D37" s="89" t="s">
        <v>775</v>
      </c>
      <c r="E37" s="91" t="s">
        <v>776</v>
      </c>
      <c r="F37" s="90" t="s">
        <v>697</v>
      </c>
      <c r="G37" s="90" t="s">
        <v>777</v>
      </c>
      <c r="H37" s="92" t="s">
        <v>778</v>
      </c>
      <c r="I37" s="89" t="s">
        <v>779</v>
      </c>
    </row>
    <row r="38" customFormat="false" ht="18" hidden="false" customHeight="true" outlineLevel="0" collapsed="false">
      <c r="A38" s="89" t="s">
        <v>780</v>
      </c>
      <c r="B38" s="90" t="s">
        <v>208</v>
      </c>
      <c r="C38" s="90" t="s">
        <v>249</v>
      </c>
      <c r="D38" s="89" t="s">
        <v>781</v>
      </c>
      <c r="E38" s="91" t="s">
        <v>782</v>
      </c>
      <c r="F38" s="90" t="s">
        <v>697</v>
      </c>
      <c r="G38" s="90" t="s">
        <v>783</v>
      </c>
      <c r="H38" s="92" t="s">
        <v>784</v>
      </c>
      <c r="I38" s="89" t="s">
        <v>785</v>
      </c>
    </row>
    <row r="39" customFormat="false" ht="18" hidden="false" customHeight="true" outlineLevel="0" collapsed="false">
      <c r="A39" s="80" t="s">
        <v>786</v>
      </c>
      <c r="B39" s="81" t="s">
        <v>208</v>
      </c>
      <c r="C39" s="81" t="s">
        <v>249</v>
      </c>
      <c r="D39" s="80" t="s">
        <v>787</v>
      </c>
      <c r="E39" s="82" t="s">
        <v>788</v>
      </c>
      <c r="F39" s="81" t="s">
        <v>591</v>
      </c>
      <c r="G39" s="81" t="s">
        <v>603</v>
      </c>
      <c r="H39" s="83" t="s">
        <v>789</v>
      </c>
      <c r="I39" s="80" t="s">
        <v>790</v>
      </c>
    </row>
    <row r="40" customFormat="false" ht="18" hidden="false" customHeight="true" outlineLevel="0" collapsed="false">
      <c r="A40" s="80" t="s">
        <v>791</v>
      </c>
      <c r="B40" s="81" t="s">
        <v>208</v>
      </c>
      <c r="C40" s="81" t="s">
        <v>249</v>
      </c>
      <c r="D40" s="80" t="s">
        <v>792</v>
      </c>
      <c r="E40" s="82" t="s">
        <v>793</v>
      </c>
      <c r="F40" s="81" t="s">
        <v>591</v>
      </c>
      <c r="G40" s="81" t="s">
        <v>603</v>
      </c>
      <c r="H40" s="83" t="s">
        <v>794</v>
      </c>
      <c r="I40" s="80" t="s">
        <v>795</v>
      </c>
    </row>
    <row r="41" customFormat="false" ht="18" hidden="false" customHeight="true" outlineLevel="0" collapsed="false">
      <c r="A41" s="80" t="s">
        <v>796</v>
      </c>
      <c r="B41" s="81" t="s">
        <v>208</v>
      </c>
      <c r="C41" s="81" t="s">
        <v>248</v>
      </c>
      <c r="D41" s="80" t="s">
        <v>797</v>
      </c>
      <c r="E41" s="82" t="s">
        <v>798</v>
      </c>
      <c r="F41" s="81" t="s">
        <v>591</v>
      </c>
      <c r="G41" s="81" t="s">
        <v>799</v>
      </c>
      <c r="H41" s="83" t="s">
        <v>800</v>
      </c>
      <c r="I41" s="80" t="s">
        <v>801</v>
      </c>
    </row>
    <row r="42" customFormat="false" ht="18" hidden="false" customHeight="true" outlineLevel="0" collapsed="false">
      <c r="A42" s="76" t="s">
        <v>802</v>
      </c>
      <c r="B42" s="77" t="s">
        <v>208</v>
      </c>
      <c r="C42" s="77" t="s">
        <v>248</v>
      </c>
      <c r="D42" s="76" t="s">
        <v>803</v>
      </c>
      <c r="E42" s="78" t="s">
        <v>804</v>
      </c>
      <c r="F42" s="77" t="s">
        <v>584</v>
      </c>
      <c r="G42" s="77" t="s">
        <v>749</v>
      </c>
      <c r="H42" s="79" t="s">
        <v>805</v>
      </c>
      <c r="I42" s="76" t="s">
        <v>806</v>
      </c>
    </row>
    <row r="43" customFormat="false" ht="18" hidden="false" customHeight="true" outlineLevel="0" collapsed="false">
      <c r="A43" s="80" t="s">
        <v>807</v>
      </c>
      <c r="B43" s="81" t="s">
        <v>208</v>
      </c>
      <c r="C43" s="81" t="s">
        <v>249</v>
      </c>
      <c r="D43" s="80" t="s">
        <v>808</v>
      </c>
      <c r="E43" s="82" t="s">
        <v>809</v>
      </c>
      <c r="F43" s="81" t="s">
        <v>591</v>
      </c>
      <c r="G43" s="81" t="s">
        <v>810</v>
      </c>
      <c r="H43" s="83" t="s">
        <v>811</v>
      </c>
      <c r="I43" s="80" t="s">
        <v>812</v>
      </c>
    </row>
    <row r="44" customFormat="false" ht="18" hidden="false" customHeight="true" outlineLevel="0" collapsed="false">
      <c r="A44" s="84" t="s">
        <v>813</v>
      </c>
      <c r="B44" s="85" t="s">
        <v>208</v>
      </c>
      <c r="C44" s="85" t="s">
        <v>249</v>
      </c>
      <c r="D44" s="84" t="s">
        <v>814</v>
      </c>
      <c r="E44" s="86" t="s">
        <v>815</v>
      </c>
      <c r="F44" s="85" t="s">
        <v>638</v>
      </c>
      <c r="G44" s="85" t="s">
        <v>615</v>
      </c>
      <c r="H44" s="87" t="s">
        <v>816</v>
      </c>
      <c r="I44" s="84" t="s">
        <v>640</v>
      </c>
    </row>
    <row r="45" customFormat="false" ht="18" hidden="false" customHeight="true" outlineLevel="0" collapsed="false">
      <c r="A45" s="89" t="s">
        <v>817</v>
      </c>
      <c r="B45" s="90" t="s">
        <v>190</v>
      </c>
      <c r="C45" s="90" t="s">
        <v>249</v>
      </c>
      <c r="D45" s="89" t="s">
        <v>818</v>
      </c>
      <c r="E45" s="91" t="s">
        <v>819</v>
      </c>
      <c r="F45" s="90" t="s">
        <v>697</v>
      </c>
      <c r="G45" s="90" t="s">
        <v>820</v>
      </c>
      <c r="H45" s="92" t="s">
        <v>821</v>
      </c>
      <c r="I45" s="89" t="s">
        <v>822</v>
      </c>
    </row>
    <row r="46" customFormat="false" ht="18" hidden="false" customHeight="true" outlineLevel="0" collapsed="false">
      <c r="A46" s="89" t="s">
        <v>823</v>
      </c>
      <c r="B46" s="90" t="s">
        <v>190</v>
      </c>
      <c r="C46" s="90" t="s">
        <v>249</v>
      </c>
      <c r="D46" s="89" t="s">
        <v>824</v>
      </c>
      <c r="E46" s="91" t="s">
        <v>825</v>
      </c>
      <c r="F46" s="90" t="s">
        <v>697</v>
      </c>
      <c r="G46" s="90" t="s">
        <v>820</v>
      </c>
      <c r="H46" s="92" t="s">
        <v>826</v>
      </c>
      <c r="I46" s="89" t="s">
        <v>827</v>
      </c>
    </row>
    <row r="47" customFormat="false" ht="18" hidden="false" customHeight="true" outlineLevel="0" collapsed="false">
      <c r="A47" s="80" t="s">
        <v>828</v>
      </c>
      <c r="B47" s="81" t="s">
        <v>190</v>
      </c>
      <c r="C47" s="81" t="s">
        <v>249</v>
      </c>
      <c r="D47" s="80" t="s">
        <v>829</v>
      </c>
      <c r="E47" s="82" t="s">
        <v>830</v>
      </c>
      <c r="F47" s="81" t="s">
        <v>591</v>
      </c>
      <c r="G47" s="81" t="s">
        <v>831</v>
      </c>
      <c r="H47" s="83" t="s">
        <v>832</v>
      </c>
      <c r="I47" s="80" t="s">
        <v>833</v>
      </c>
    </row>
    <row r="48" customFormat="false" ht="18" hidden="false" customHeight="true" outlineLevel="0" collapsed="false">
      <c r="A48" s="80" t="s">
        <v>834</v>
      </c>
      <c r="B48" s="81" t="s">
        <v>190</v>
      </c>
      <c r="C48" s="81" t="s">
        <v>249</v>
      </c>
      <c r="D48" s="80" t="s">
        <v>835</v>
      </c>
      <c r="E48" s="82" t="s">
        <v>836</v>
      </c>
      <c r="F48" s="81" t="s">
        <v>591</v>
      </c>
      <c r="G48" s="81" t="s">
        <v>837</v>
      </c>
      <c r="H48" s="83" t="s">
        <v>838</v>
      </c>
      <c r="I48" s="80" t="s">
        <v>839</v>
      </c>
    </row>
    <row r="49" customFormat="false" ht="18" hidden="false" customHeight="true" outlineLevel="0" collapsed="false">
      <c r="A49" s="80" t="s">
        <v>840</v>
      </c>
      <c r="B49" s="81" t="s">
        <v>190</v>
      </c>
      <c r="C49" s="81" t="s">
        <v>249</v>
      </c>
      <c r="D49" s="80" t="s">
        <v>841</v>
      </c>
      <c r="E49" s="82" t="s">
        <v>842</v>
      </c>
      <c r="F49" s="81" t="s">
        <v>591</v>
      </c>
      <c r="G49" s="81" t="s">
        <v>843</v>
      </c>
      <c r="H49" s="83" t="s">
        <v>844</v>
      </c>
      <c r="I49" s="80" t="s">
        <v>845</v>
      </c>
    </row>
    <row r="50" customFormat="false" ht="18" hidden="false" customHeight="true" outlineLevel="0" collapsed="false">
      <c r="A50" s="76" t="s">
        <v>846</v>
      </c>
      <c r="B50" s="77" t="s">
        <v>190</v>
      </c>
      <c r="C50" s="77" t="s">
        <v>249</v>
      </c>
      <c r="D50" s="76" t="s">
        <v>847</v>
      </c>
      <c r="E50" s="78" t="s">
        <v>848</v>
      </c>
      <c r="F50" s="77" t="s">
        <v>584</v>
      </c>
      <c r="G50" s="77" t="s">
        <v>749</v>
      </c>
      <c r="H50" s="79" t="s">
        <v>849</v>
      </c>
      <c r="I50" s="76" t="s">
        <v>850</v>
      </c>
    </row>
    <row r="51" customFormat="false" ht="18" hidden="false" customHeight="true" outlineLevel="0" collapsed="false">
      <c r="A51" s="76" t="s">
        <v>851</v>
      </c>
      <c r="B51" s="77" t="s">
        <v>190</v>
      </c>
      <c r="C51" s="77" t="s">
        <v>248</v>
      </c>
      <c r="D51" s="76" t="s">
        <v>852</v>
      </c>
      <c r="E51" s="78" t="s">
        <v>853</v>
      </c>
      <c r="F51" s="77" t="s">
        <v>584</v>
      </c>
      <c r="G51" s="77" t="s">
        <v>749</v>
      </c>
      <c r="H51" s="79" t="s">
        <v>854</v>
      </c>
      <c r="I51" s="76" t="s">
        <v>855</v>
      </c>
    </row>
    <row r="52" customFormat="false" ht="18" hidden="false" customHeight="true" outlineLevel="0" collapsed="false">
      <c r="A52" s="80" t="s">
        <v>856</v>
      </c>
      <c r="B52" s="81" t="s">
        <v>190</v>
      </c>
      <c r="C52" s="81" t="s">
        <v>248</v>
      </c>
      <c r="D52" s="80" t="s">
        <v>857</v>
      </c>
      <c r="E52" s="82" t="s">
        <v>858</v>
      </c>
      <c r="F52" s="81" t="s">
        <v>591</v>
      </c>
      <c r="G52" s="81" t="s">
        <v>859</v>
      </c>
      <c r="H52" s="83" t="s">
        <v>860</v>
      </c>
      <c r="I52" s="80" t="s">
        <v>861</v>
      </c>
    </row>
    <row r="53" customFormat="false" ht="18" hidden="false" customHeight="true" outlineLevel="0" collapsed="false">
      <c r="A53" s="89" t="s">
        <v>862</v>
      </c>
      <c r="B53" s="90" t="s">
        <v>196</v>
      </c>
      <c r="C53" s="90" t="s">
        <v>248</v>
      </c>
      <c r="D53" s="89" t="s">
        <v>863</v>
      </c>
      <c r="E53" s="91" t="s">
        <v>864</v>
      </c>
      <c r="F53" s="90" t="s">
        <v>697</v>
      </c>
      <c r="G53" s="90" t="s">
        <v>865</v>
      </c>
      <c r="H53" s="92" t="s">
        <v>866</v>
      </c>
      <c r="I53" s="89" t="s">
        <v>867</v>
      </c>
    </row>
    <row r="54" customFormat="false" ht="18" hidden="false" customHeight="true" outlineLevel="0" collapsed="false">
      <c r="A54" s="80" t="s">
        <v>868</v>
      </c>
      <c r="B54" s="81" t="s">
        <v>196</v>
      </c>
      <c r="C54" s="81" t="s">
        <v>248</v>
      </c>
      <c r="D54" s="80" t="s">
        <v>869</v>
      </c>
      <c r="E54" s="82" t="s">
        <v>870</v>
      </c>
      <c r="F54" s="81" t="s">
        <v>591</v>
      </c>
      <c r="G54" s="81" t="s">
        <v>871</v>
      </c>
      <c r="H54" s="83" t="s">
        <v>872</v>
      </c>
      <c r="I54" s="80" t="s">
        <v>873</v>
      </c>
    </row>
    <row r="55" customFormat="false" ht="18" hidden="false" customHeight="true" outlineLevel="0" collapsed="false">
      <c r="A55" s="80" t="s">
        <v>874</v>
      </c>
      <c r="B55" s="81" t="s">
        <v>196</v>
      </c>
      <c r="C55" s="81" t="s">
        <v>248</v>
      </c>
      <c r="D55" s="80" t="s">
        <v>875</v>
      </c>
      <c r="E55" s="82" t="s">
        <v>876</v>
      </c>
      <c r="F55" s="81" t="s">
        <v>591</v>
      </c>
      <c r="G55" s="81" t="s">
        <v>704</v>
      </c>
      <c r="H55" s="83" t="s">
        <v>877</v>
      </c>
      <c r="I55" s="80" t="s">
        <v>878</v>
      </c>
    </row>
    <row r="56" customFormat="false" ht="18" hidden="false" customHeight="true" outlineLevel="0" collapsed="false">
      <c r="A56" s="80" t="s">
        <v>879</v>
      </c>
      <c r="B56" s="81" t="s">
        <v>196</v>
      </c>
      <c r="C56" s="81" t="s">
        <v>249</v>
      </c>
      <c r="D56" s="80" t="s">
        <v>880</v>
      </c>
      <c r="E56" s="82" t="s">
        <v>881</v>
      </c>
      <c r="F56" s="81" t="s">
        <v>591</v>
      </c>
      <c r="G56" s="81" t="s">
        <v>704</v>
      </c>
      <c r="H56" s="83" t="s">
        <v>882</v>
      </c>
      <c r="I56" s="80" t="s">
        <v>883</v>
      </c>
    </row>
    <row r="57" customFormat="false" ht="18" hidden="false" customHeight="true" outlineLevel="0" collapsed="false">
      <c r="A57" s="80" t="s">
        <v>884</v>
      </c>
      <c r="B57" s="81" t="s">
        <v>196</v>
      </c>
      <c r="C57" s="81" t="s">
        <v>249</v>
      </c>
      <c r="D57" s="80" t="s">
        <v>885</v>
      </c>
      <c r="E57" s="82" t="s">
        <v>886</v>
      </c>
      <c r="F57" s="81" t="s">
        <v>591</v>
      </c>
      <c r="G57" s="81" t="s">
        <v>887</v>
      </c>
      <c r="H57" s="83" t="s">
        <v>888</v>
      </c>
      <c r="I57" s="80" t="s">
        <v>889</v>
      </c>
    </row>
    <row r="58" customFormat="false" ht="18" hidden="false" customHeight="true" outlineLevel="0" collapsed="false">
      <c r="A58" s="80" t="s">
        <v>890</v>
      </c>
      <c r="B58" s="81" t="s">
        <v>196</v>
      </c>
      <c r="C58" s="81" t="s">
        <v>249</v>
      </c>
      <c r="D58" s="80" t="s">
        <v>891</v>
      </c>
      <c r="E58" s="82" t="s">
        <v>892</v>
      </c>
      <c r="F58" s="81" t="s">
        <v>591</v>
      </c>
      <c r="G58" s="81" t="s">
        <v>893</v>
      </c>
      <c r="H58" s="83" t="s">
        <v>894</v>
      </c>
      <c r="I58" s="80" t="s">
        <v>895</v>
      </c>
    </row>
    <row r="59" customFormat="false" ht="18" hidden="false" customHeight="true" outlineLevel="0" collapsed="false">
      <c r="A59" s="76" t="s">
        <v>896</v>
      </c>
      <c r="B59" s="77" t="s">
        <v>196</v>
      </c>
      <c r="C59" s="77" t="s">
        <v>248</v>
      </c>
      <c r="D59" s="76" t="s">
        <v>897</v>
      </c>
      <c r="E59" s="78" t="s">
        <v>898</v>
      </c>
      <c r="F59" s="77" t="s">
        <v>584</v>
      </c>
      <c r="G59" s="77" t="s">
        <v>603</v>
      </c>
      <c r="H59" s="93" t="s">
        <v>899</v>
      </c>
      <c r="I59" s="76" t="s">
        <v>900</v>
      </c>
    </row>
    <row r="60" customFormat="false" ht="18" hidden="false" customHeight="true" outlineLevel="0" collapsed="false">
      <c r="A60" s="84" t="s">
        <v>901</v>
      </c>
      <c r="B60" s="85" t="s">
        <v>196</v>
      </c>
      <c r="C60" s="85" t="s">
        <v>248</v>
      </c>
      <c r="D60" s="84" t="s">
        <v>902</v>
      </c>
      <c r="E60" s="86" t="s">
        <v>903</v>
      </c>
      <c r="F60" s="85" t="s">
        <v>638</v>
      </c>
      <c r="G60" s="85" t="s">
        <v>904</v>
      </c>
      <c r="H60" s="87" t="s">
        <v>905</v>
      </c>
      <c r="I60" s="84" t="s">
        <v>906</v>
      </c>
    </row>
    <row r="61" customFormat="false" ht="18" hidden="false" customHeight="true" outlineLevel="0" collapsed="false">
      <c r="A61" s="80" t="s">
        <v>907</v>
      </c>
      <c r="B61" s="81" t="s">
        <v>908</v>
      </c>
      <c r="C61" s="81" t="s">
        <v>249</v>
      </c>
      <c r="D61" s="80" t="s">
        <v>909</v>
      </c>
      <c r="E61" s="82" t="s">
        <v>910</v>
      </c>
      <c r="F61" s="81" t="s">
        <v>591</v>
      </c>
      <c r="G61" s="81" t="s">
        <v>911</v>
      </c>
      <c r="H61" s="83" t="s">
        <v>912</v>
      </c>
      <c r="I61" s="80" t="s">
        <v>913</v>
      </c>
    </row>
    <row r="62" customFormat="false" ht="18" hidden="false" customHeight="true" outlineLevel="0" collapsed="false">
      <c r="A62" s="80" t="s">
        <v>914</v>
      </c>
      <c r="B62" s="81" t="s">
        <v>908</v>
      </c>
      <c r="C62" s="81" t="s">
        <v>249</v>
      </c>
      <c r="D62" s="80" t="s">
        <v>915</v>
      </c>
      <c r="E62" s="82" t="s">
        <v>916</v>
      </c>
      <c r="F62" s="81" t="s">
        <v>591</v>
      </c>
      <c r="G62" s="81" t="s">
        <v>615</v>
      </c>
      <c r="H62" s="83" t="s">
        <v>917</v>
      </c>
      <c r="I62" s="80" t="s">
        <v>918</v>
      </c>
    </row>
    <row r="63" customFormat="false" ht="18" hidden="false" customHeight="true" outlineLevel="0" collapsed="false">
      <c r="A63" s="80" t="s">
        <v>919</v>
      </c>
      <c r="B63" s="81" t="s">
        <v>908</v>
      </c>
      <c r="C63" s="81" t="s">
        <v>249</v>
      </c>
      <c r="D63" s="80" t="s">
        <v>920</v>
      </c>
      <c r="E63" s="82" t="s">
        <v>921</v>
      </c>
      <c r="F63" s="81" t="s">
        <v>591</v>
      </c>
      <c r="G63" s="81" t="s">
        <v>922</v>
      </c>
      <c r="H63" s="83" t="s">
        <v>923</v>
      </c>
      <c r="I63" s="80" t="s">
        <v>924</v>
      </c>
    </row>
    <row r="64" customFormat="false" ht="18" hidden="false" customHeight="true" outlineLevel="0" collapsed="false">
      <c r="A64" s="76" t="s">
        <v>925</v>
      </c>
      <c r="B64" s="77" t="s">
        <v>908</v>
      </c>
      <c r="C64" s="77" t="s">
        <v>249</v>
      </c>
      <c r="D64" s="76" t="s">
        <v>926</v>
      </c>
      <c r="E64" s="78" t="s">
        <v>927</v>
      </c>
      <c r="F64" s="77" t="s">
        <v>584</v>
      </c>
      <c r="G64" s="77" t="s">
        <v>928</v>
      </c>
      <c r="H64" s="79" t="s">
        <v>929</v>
      </c>
      <c r="I64" s="76" t="s">
        <v>930</v>
      </c>
    </row>
    <row r="65" customFormat="false" ht="18" hidden="false" customHeight="true" outlineLevel="0" collapsed="false">
      <c r="A65" s="94" t="s">
        <v>931</v>
      </c>
      <c r="B65" s="95" t="s">
        <v>908</v>
      </c>
      <c r="C65" s="95" t="s">
        <v>248</v>
      </c>
      <c r="D65" s="94" t="s">
        <v>932</v>
      </c>
      <c r="E65" s="96" t="s">
        <v>933</v>
      </c>
      <c r="F65" s="95" t="s">
        <v>934</v>
      </c>
      <c r="G65" s="95" t="s">
        <v>935</v>
      </c>
      <c r="H65" s="97" t="s">
        <v>936</v>
      </c>
      <c r="I65" s="94" t="s">
        <v>937</v>
      </c>
    </row>
    <row r="66" customFormat="false" ht="18" hidden="false" customHeight="true" outlineLevel="0" collapsed="false">
      <c r="A66" s="84" t="s">
        <v>938</v>
      </c>
      <c r="B66" s="85" t="s">
        <v>908</v>
      </c>
      <c r="C66" s="85" t="s">
        <v>249</v>
      </c>
      <c r="D66" s="84" t="s">
        <v>939</v>
      </c>
      <c r="E66" s="86" t="s">
        <v>940</v>
      </c>
      <c r="F66" s="85" t="s">
        <v>638</v>
      </c>
      <c r="G66" s="85" t="s">
        <v>941</v>
      </c>
      <c r="H66" s="88" t="s">
        <v>942</v>
      </c>
      <c r="I66" s="84" t="s">
        <v>943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"/>
    <col collapsed="false" customWidth="true" hidden="false" outlineLevel="0" max="3" min="3" style="1" width="18"/>
    <col collapsed="false" customWidth="true" hidden="false" outlineLevel="0" max="4" min="4" style="1" width="9"/>
    <col collapsed="false" customWidth="true" hidden="false" outlineLevel="0" max="13" min="5" style="1" width="13"/>
  </cols>
  <sheetData>
    <row r="1" customFormat="false" ht="25.5" hidden="false" customHeight="true" outlineLevel="0" collapsed="false">
      <c r="A1" s="35" t="s">
        <v>944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customFormat="false" ht="15" hidden="false" customHeight="true" outlineLevel="0" collapsed="false">
      <c r="A2" s="44" t="s">
        <v>945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customFormat="false" ht="31.5" hidden="false" customHeight="true" outlineLevel="0" collapsed="false">
      <c r="A3" s="14" t="s">
        <v>233</v>
      </c>
      <c r="B3" s="14" t="s">
        <v>284</v>
      </c>
      <c r="C3" s="14" t="s">
        <v>235</v>
      </c>
      <c r="D3" s="14" t="s">
        <v>236</v>
      </c>
      <c r="E3" s="49" t="s">
        <v>946</v>
      </c>
      <c r="F3" s="45" t="s">
        <v>947</v>
      </c>
      <c r="G3" s="45" t="s">
        <v>948</v>
      </c>
      <c r="H3" s="45" t="s">
        <v>949</v>
      </c>
      <c r="I3" s="45" t="s">
        <v>950</v>
      </c>
      <c r="J3" s="45" t="s">
        <v>951</v>
      </c>
      <c r="K3" s="45" t="s">
        <v>952</v>
      </c>
      <c r="L3" s="45" t="s">
        <v>953</v>
      </c>
      <c r="M3" s="45" t="s">
        <v>954</v>
      </c>
    </row>
    <row r="4" customFormat="false" ht="15" hidden="false" customHeight="false" outlineLevel="0" collapsed="false">
      <c r="A4" s="37" t="n">
        <v>1</v>
      </c>
      <c r="B4" s="32" t="s">
        <v>246</v>
      </c>
      <c r="C4" s="32" t="s">
        <v>247</v>
      </c>
      <c r="D4" s="62" t="s">
        <v>248</v>
      </c>
      <c r="E4" s="63" t="n">
        <f aca="false">3_Calc_From_Gross!E6</f>
        <v>1500</v>
      </c>
      <c r="F4" s="57" t="n">
        <f aca="false">3_Calc_From_Gross!T6</f>
        <v>3825</v>
      </c>
      <c r="G4" s="57" t="n">
        <f aca="false">3_Calc_From_Gross!AI6</f>
        <v>5292</v>
      </c>
      <c r="H4" s="57" t="n">
        <f aca="false">3_Calc_From_Gross!AX6</f>
        <v>11000</v>
      </c>
      <c r="I4" s="57" t="n">
        <f aca="false">3_Calc_From_Gross!BM6</f>
        <v>5726</v>
      </c>
      <c r="J4" s="57" t="n">
        <f aca="false">3_Calc_From_Gross!CB6</f>
        <v>6404</v>
      </c>
      <c r="K4" s="57" t="n">
        <f aca="false">3_Calc_From_Gross!CQ6</f>
        <v>3095</v>
      </c>
      <c r="L4" s="57" t="n">
        <f aca="false">3_Calc_From_Gross!DF6</f>
        <v>3955</v>
      </c>
      <c r="M4" s="57" t="n">
        <f aca="false">3_Calc_From_Gross!DU6</f>
        <v>2500</v>
      </c>
    </row>
    <row r="5" customFormat="false" ht="15" hidden="false" customHeight="false" outlineLevel="0" collapsed="false">
      <c r="A5" s="41" t="n">
        <v>2</v>
      </c>
      <c r="B5" s="28" t="s">
        <v>246</v>
      </c>
      <c r="C5" s="8" t="s">
        <v>247</v>
      </c>
      <c r="D5" s="65" t="s">
        <v>249</v>
      </c>
      <c r="E5" s="63" t="n">
        <f aca="false">3_Calc_From_Gross!E7</f>
        <v>4750</v>
      </c>
      <c r="F5" s="60" t="n">
        <f aca="false">3_Calc_From_Gross!T7</f>
        <v>6375</v>
      </c>
      <c r="G5" s="60" t="n">
        <f aca="false">3_Calc_From_Gross!AI7</f>
        <v>7938</v>
      </c>
      <c r="H5" s="60" t="n">
        <f aca="false">3_Calc_From_Gross!AX7</f>
        <v>14025</v>
      </c>
      <c r="I5" s="60" t="n">
        <f aca="false">3_Calc_From_Gross!BM7</f>
        <v>8193</v>
      </c>
      <c r="J5" s="60" t="n">
        <f aca="false">3_Calc_From_Gross!CB7</f>
        <v>9417</v>
      </c>
      <c r="K5" s="60" t="n">
        <f aca="false">3_Calc_From_Gross!CQ7</f>
        <v>5009</v>
      </c>
      <c r="L5" s="60" t="n">
        <f aca="false">3_Calc_From_Gross!DF7</f>
        <v>6215</v>
      </c>
      <c r="M5" s="60" t="n">
        <f aca="false">3_Calc_From_Gross!DU7</f>
        <v>4200</v>
      </c>
    </row>
    <row r="6" customFormat="false" ht="15" hidden="false" customHeight="false" outlineLevel="0" collapsed="false">
      <c r="A6" s="37" t="n">
        <v>3</v>
      </c>
      <c r="B6" s="32" t="s">
        <v>246</v>
      </c>
      <c r="C6" s="32" t="s">
        <v>250</v>
      </c>
      <c r="D6" s="62" t="s">
        <v>248</v>
      </c>
      <c r="E6" s="63" t="n">
        <f aca="false">3_Calc_From_Gross!E8</f>
        <v>1600</v>
      </c>
      <c r="F6" s="57" t="n">
        <f aca="false">3_Calc_From_Gross!T8</f>
        <v>3825</v>
      </c>
      <c r="G6" s="57" t="n">
        <f aca="false">3_Calc_From_Gross!AI8</f>
        <v>5292</v>
      </c>
      <c r="H6" s="57" t="n">
        <f aca="false">3_Calc_From_Gross!AX8</f>
        <v>11000</v>
      </c>
      <c r="I6" s="57" t="n">
        <f aca="false">3_Calc_From_Gross!BM8</f>
        <v>5650</v>
      </c>
      <c r="J6" s="57" t="n">
        <f aca="false">3_Calc_From_Gross!CB8</f>
        <v>6121</v>
      </c>
      <c r="K6" s="57" t="n">
        <f aca="false">3_Calc_From_Gross!CQ8</f>
        <v>2935</v>
      </c>
      <c r="L6" s="57" t="n">
        <f aca="false">3_Calc_From_Gross!DF8</f>
        <v>3766</v>
      </c>
      <c r="M6" s="57" t="n">
        <f aca="false">3_Calc_From_Gross!DU8</f>
        <v>2500</v>
      </c>
    </row>
    <row r="7" customFormat="false" ht="15" hidden="false" customHeight="false" outlineLevel="0" collapsed="false">
      <c r="A7" s="41" t="n">
        <v>4</v>
      </c>
      <c r="B7" s="28" t="s">
        <v>246</v>
      </c>
      <c r="C7" s="8" t="s">
        <v>250</v>
      </c>
      <c r="D7" s="65" t="s">
        <v>249</v>
      </c>
      <c r="E7" s="63" t="n">
        <f aca="false">3_Calc_From_Gross!E9</f>
        <v>4500</v>
      </c>
      <c r="F7" s="60" t="n">
        <f aca="false">3_Calc_From_Gross!T9</f>
        <v>6375</v>
      </c>
      <c r="G7" s="60" t="n">
        <f aca="false">3_Calc_From_Gross!AI9</f>
        <v>7407</v>
      </c>
      <c r="H7" s="60" t="n">
        <f aca="false">3_Calc_From_Gross!AX9</f>
        <v>13600</v>
      </c>
      <c r="I7" s="60" t="n">
        <f aca="false">3_Calc_From_Gross!BM9</f>
        <v>7910</v>
      </c>
      <c r="J7" s="60" t="n">
        <f aca="false">3_Calc_From_Gross!CB9</f>
        <v>9040</v>
      </c>
      <c r="K7" s="60" t="n">
        <f aca="false">3_Calc_From_Gross!CQ9</f>
        <v>4731</v>
      </c>
      <c r="L7" s="60" t="n">
        <f aca="false">3_Calc_From_Gross!DF9</f>
        <v>5839</v>
      </c>
      <c r="M7" s="60" t="n">
        <f aca="false">3_Calc_From_Gross!DU9</f>
        <v>3920</v>
      </c>
    </row>
    <row r="8" customFormat="false" ht="15" hidden="false" customHeight="false" outlineLevel="0" collapsed="false">
      <c r="A8" s="37" t="n">
        <v>5</v>
      </c>
      <c r="B8" s="32" t="s">
        <v>246</v>
      </c>
      <c r="C8" s="32" t="s">
        <v>251</v>
      </c>
      <c r="D8" s="62" t="s">
        <v>248</v>
      </c>
      <c r="E8" s="63" t="n">
        <f aca="false">3_Calc_From_Gross!E10</f>
        <v>1488</v>
      </c>
      <c r="F8" s="57" t="n">
        <f aca="false">3_Calc_From_Gross!T10</f>
        <v>3825</v>
      </c>
      <c r="G8" s="57" t="n">
        <f aca="false">3_Calc_From_Gross!AI10</f>
        <v>5820</v>
      </c>
      <c r="H8" s="57" t="n">
        <f aca="false">3_Calc_From_Gross!AX10</f>
        <v>11500</v>
      </c>
      <c r="I8" s="57" t="n">
        <f aca="false">3_Calc_From_Gross!BM10</f>
        <v>5744</v>
      </c>
      <c r="J8" s="57" t="n">
        <f aca="false">3_Calc_From_Gross!CB10</f>
        <v>6215</v>
      </c>
      <c r="K8" s="57" t="n">
        <f aca="false">3_Calc_From_Gross!CQ10</f>
        <v>2988</v>
      </c>
      <c r="L8" s="57" t="n">
        <f aca="false">3_Calc_From_Gross!DF10</f>
        <v>3955</v>
      </c>
      <c r="M8" s="57" t="n">
        <f aca="false">3_Calc_From_Gross!DU10</f>
        <v>2500</v>
      </c>
    </row>
    <row r="9" customFormat="false" ht="15" hidden="false" customHeight="false" outlineLevel="0" collapsed="false">
      <c r="A9" s="41" t="n">
        <v>6</v>
      </c>
      <c r="B9" s="28" t="s">
        <v>246</v>
      </c>
      <c r="C9" s="8" t="s">
        <v>251</v>
      </c>
      <c r="D9" s="65" t="s">
        <v>249</v>
      </c>
      <c r="E9" s="63" t="n">
        <f aca="false">3_Calc_From_Gross!E11</f>
        <v>4500</v>
      </c>
      <c r="F9" s="60" t="n">
        <f aca="false">3_Calc_From_Gross!T11</f>
        <v>6375</v>
      </c>
      <c r="G9" s="60" t="n">
        <f aca="false">3_Calc_From_Gross!AI11</f>
        <v>8467</v>
      </c>
      <c r="H9" s="60" t="n">
        <f aca="false">3_Calc_From_Gross!AX11</f>
        <v>14450</v>
      </c>
      <c r="I9" s="60" t="n">
        <f aca="false">3_Calc_From_Gross!BM11</f>
        <v>8286</v>
      </c>
      <c r="J9" s="60" t="n">
        <f aca="false">3_Calc_From_Gross!CB11</f>
        <v>9229</v>
      </c>
      <c r="K9" s="60" t="n">
        <f aca="false">3_Calc_From_Gross!CQ11</f>
        <v>4731</v>
      </c>
      <c r="L9" s="60" t="n">
        <f aca="false">3_Calc_From_Gross!DF11</f>
        <v>6215</v>
      </c>
      <c r="M9" s="60" t="n">
        <f aca="false">3_Calc_From_Gross!DU11</f>
        <v>4200</v>
      </c>
    </row>
    <row r="10" customFormat="false" ht="15" hidden="false" customHeight="false" outlineLevel="0" collapsed="false">
      <c r="A10" s="37" t="n">
        <v>7</v>
      </c>
      <c r="B10" s="32" t="s">
        <v>246</v>
      </c>
      <c r="C10" s="32" t="s">
        <v>252</v>
      </c>
      <c r="D10" s="62" t="s">
        <v>248</v>
      </c>
      <c r="E10" s="63" t="n">
        <f aca="false">3_Calc_From_Gross!E12</f>
        <v>1500</v>
      </c>
      <c r="F10" s="57" t="n">
        <f aca="false">3_Calc_From_Gross!T12</f>
        <v>3825</v>
      </c>
      <c r="G10" s="57" t="n">
        <f aca="false">3_Calc_From_Gross!AI12</f>
        <v>5292</v>
      </c>
      <c r="H10" s="57" t="n">
        <f aca="false">3_Calc_From_Gross!AX12</f>
        <v>11000</v>
      </c>
      <c r="I10" s="57" t="n">
        <f aca="false">3_Calc_From_Gross!BM12</f>
        <v>5726</v>
      </c>
      <c r="J10" s="57" t="n">
        <f aca="false">3_Calc_From_Gross!CB12</f>
        <v>6404</v>
      </c>
      <c r="K10" s="57" t="n">
        <f aca="false">3_Calc_From_Gross!CQ12</f>
        <v>3095</v>
      </c>
      <c r="L10" s="57" t="n">
        <f aca="false">3_Calc_From_Gross!DF12</f>
        <v>3955</v>
      </c>
      <c r="M10" s="57" t="n">
        <f aca="false">3_Calc_From_Gross!DU12</f>
        <v>2500</v>
      </c>
    </row>
    <row r="11" customFormat="false" ht="15" hidden="false" customHeight="false" outlineLevel="0" collapsed="false">
      <c r="A11" s="41" t="n">
        <v>8</v>
      </c>
      <c r="B11" s="28" t="s">
        <v>246</v>
      </c>
      <c r="C11" s="8" t="s">
        <v>252</v>
      </c>
      <c r="D11" s="65" t="s">
        <v>249</v>
      </c>
      <c r="E11" s="63" t="n">
        <f aca="false">3_Calc_From_Gross!E13</f>
        <v>4750</v>
      </c>
      <c r="F11" s="60" t="n">
        <f aca="false">3_Calc_From_Gross!T13</f>
        <v>6375</v>
      </c>
      <c r="G11" s="60" t="n">
        <f aca="false">3_Calc_From_Gross!AI13</f>
        <v>7938</v>
      </c>
      <c r="H11" s="60" t="n">
        <f aca="false">3_Calc_From_Gross!AX13</f>
        <v>14025</v>
      </c>
      <c r="I11" s="60" t="n">
        <f aca="false">3_Calc_From_Gross!BM13</f>
        <v>8193</v>
      </c>
      <c r="J11" s="60" t="n">
        <f aca="false">3_Calc_From_Gross!CB13</f>
        <v>9417</v>
      </c>
      <c r="K11" s="60" t="n">
        <f aca="false">3_Calc_From_Gross!CQ13</f>
        <v>5009</v>
      </c>
      <c r="L11" s="60" t="n">
        <f aca="false">3_Calc_From_Gross!DF13</f>
        <v>6215</v>
      </c>
      <c r="M11" s="60" t="n">
        <f aca="false">3_Calc_From_Gross!DU13</f>
        <v>4200</v>
      </c>
    </row>
    <row r="12" customFormat="false" ht="15" hidden="false" customHeight="false" outlineLevel="0" collapsed="false">
      <c r="A12" s="37" t="n">
        <v>9</v>
      </c>
      <c r="B12" s="32" t="s">
        <v>253</v>
      </c>
      <c r="C12" s="32" t="s">
        <v>254</v>
      </c>
      <c r="D12" s="62" t="s">
        <v>248</v>
      </c>
      <c r="E12" s="63" t="n">
        <f aca="false">3_Calc_From_Gross!E14</f>
        <v>1500</v>
      </c>
      <c r="F12" s="57" t="n">
        <f aca="false">3_Calc_From_Gross!T14</f>
        <v>3825</v>
      </c>
      <c r="G12" s="57" t="n">
        <f aca="false">3_Calc_From_Gross!AI14</f>
        <v>5292</v>
      </c>
      <c r="H12" s="57" t="n">
        <f aca="false">3_Calc_From_Gross!AX14</f>
        <v>11500</v>
      </c>
      <c r="I12" s="57" t="n">
        <f aca="false">3_Calc_From_Gross!BM14</f>
        <v>5726</v>
      </c>
      <c r="J12" s="57" t="n">
        <f aca="false">3_Calc_From_Gross!CB14</f>
        <v>6404</v>
      </c>
      <c r="K12" s="57" t="n">
        <f aca="false">3_Calc_From_Gross!CQ14</f>
        <v>3095</v>
      </c>
      <c r="L12" s="57" t="n">
        <f aca="false">3_Calc_From_Gross!DF14</f>
        <v>3955</v>
      </c>
      <c r="M12" s="57" t="n">
        <f aca="false">3_Calc_From_Gross!DU14</f>
        <v>2500</v>
      </c>
    </row>
    <row r="13" customFormat="false" ht="15" hidden="false" customHeight="false" outlineLevel="0" collapsed="false">
      <c r="A13" s="41" t="n">
        <v>10</v>
      </c>
      <c r="B13" s="28" t="s">
        <v>253</v>
      </c>
      <c r="C13" s="8" t="s">
        <v>254</v>
      </c>
      <c r="D13" s="65" t="s">
        <v>249</v>
      </c>
      <c r="E13" s="63" t="n">
        <f aca="false">3_Calc_From_Gross!E15</f>
        <v>4750</v>
      </c>
      <c r="F13" s="60" t="n">
        <f aca="false">3_Calc_From_Gross!T15</f>
        <v>6375</v>
      </c>
      <c r="G13" s="60" t="n">
        <f aca="false">3_Calc_From_Gross!AI15</f>
        <v>7938</v>
      </c>
      <c r="H13" s="60" t="n">
        <f aca="false">3_Calc_From_Gross!AX15</f>
        <v>14450</v>
      </c>
      <c r="I13" s="60" t="n">
        <f aca="false">3_Calc_From_Gross!BM15</f>
        <v>8193</v>
      </c>
      <c r="J13" s="60" t="n">
        <f aca="false">3_Calc_From_Gross!CB15</f>
        <v>9417</v>
      </c>
      <c r="K13" s="60" t="n">
        <f aca="false">3_Calc_From_Gross!CQ15</f>
        <v>5009</v>
      </c>
      <c r="L13" s="60" t="n">
        <f aca="false">3_Calc_From_Gross!DF15</f>
        <v>6215</v>
      </c>
      <c r="M13" s="60" t="n">
        <f aca="false">3_Calc_From_Gross!DU15</f>
        <v>4200</v>
      </c>
    </row>
    <row r="14" customFormat="false" ht="15" hidden="false" customHeight="false" outlineLevel="0" collapsed="false">
      <c r="A14" s="37" t="n">
        <v>11</v>
      </c>
      <c r="B14" s="32" t="s">
        <v>253</v>
      </c>
      <c r="C14" s="32" t="s">
        <v>255</v>
      </c>
      <c r="D14" s="62" t="s">
        <v>248</v>
      </c>
      <c r="E14" s="63" t="n">
        <f aca="false">3_Calc_From_Gross!E16</f>
        <v>1600</v>
      </c>
      <c r="F14" s="57" t="n">
        <f aca="false">3_Calc_From_Gross!T16</f>
        <v>3570</v>
      </c>
      <c r="G14" s="57" t="n">
        <f aca="false">3_Calc_From_Gross!AI16</f>
        <v>4763</v>
      </c>
      <c r="H14" s="57" t="n">
        <f aca="false">3_Calc_From_Gross!AX16</f>
        <v>11000</v>
      </c>
      <c r="I14" s="57" t="n">
        <f aca="false">3_Calc_From_Gross!BM16</f>
        <v>5556</v>
      </c>
      <c r="J14" s="57" t="n">
        <f aca="false">3_Calc_From_Gross!CB16</f>
        <v>6121</v>
      </c>
      <c r="K14" s="57" t="n">
        <f aca="false">3_Calc_From_Gross!CQ16</f>
        <v>2881</v>
      </c>
      <c r="L14" s="57" t="n">
        <f aca="false">3_Calc_From_Gross!DF16</f>
        <v>3766</v>
      </c>
      <c r="M14" s="57" t="n">
        <f aca="false">3_Calc_From_Gross!DU16</f>
        <v>2333</v>
      </c>
    </row>
    <row r="15" customFormat="false" ht="15" hidden="false" customHeight="false" outlineLevel="0" collapsed="false">
      <c r="A15" s="41" t="n">
        <v>12</v>
      </c>
      <c r="B15" s="28" t="s">
        <v>253</v>
      </c>
      <c r="C15" s="8" t="s">
        <v>255</v>
      </c>
      <c r="D15" s="65" t="s">
        <v>249</v>
      </c>
      <c r="E15" s="63" t="n">
        <f aca="false">3_Calc_From_Gross!E17</f>
        <v>4500</v>
      </c>
      <c r="F15" s="60" t="n">
        <f aca="false">3_Calc_From_Gross!T17</f>
        <v>6120</v>
      </c>
      <c r="G15" s="60" t="n">
        <f aca="false">3_Calc_From_Gross!AI17</f>
        <v>6879</v>
      </c>
      <c r="H15" s="60" t="n">
        <f aca="false">3_Calc_From_Gross!AX17</f>
        <v>13175</v>
      </c>
      <c r="I15" s="60" t="n">
        <f aca="false">3_Calc_From_Gross!BM17</f>
        <v>7628</v>
      </c>
      <c r="J15" s="60" t="n">
        <f aca="false">3_Calc_From_Gross!CB17</f>
        <v>8663</v>
      </c>
      <c r="K15" s="60" t="n">
        <f aca="false">3_Calc_From_Gross!CQ17</f>
        <v>4564</v>
      </c>
      <c r="L15" s="60" t="n">
        <f aca="false">3_Calc_From_Gross!DF17</f>
        <v>5650</v>
      </c>
      <c r="M15" s="60" t="n">
        <f aca="false">3_Calc_From_Gross!DU17</f>
        <v>3733</v>
      </c>
    </row>
    <row r="16" customFormat="false" ht="15" hidden="false" customHeight="false" outlineLevel="0" collapsed="false">
      <c r="A16" s="37" t="n">
        <v>13</v>
      </c>
      <c r="B16" s="32" t="s">
        <v>253</v>
      </c>
      <c r="C16" s="32" t="s">
        <v>256</v>
      </c>
      <c r="D16" s="62" t="s">
        <v>248</v>
      </c>
      <c r="E16" s="63" t="n">
        <f aca="false">3_Calc_From_Gross!E18</f>
        <v>1250</v>
      </c>
      <c r="F16" s="57" t="n">
        <f aca="false">3_Calc_From_Gross!T18</f>
        <v>3315</v>
      </c>
      <c r="G16" s="57" t="n">
        <f aca="false">3_Calc_From_Gross!AI18</f>
        <v>4498</v>
      </c>
      <c r="H16" s="57" t="n">
        <f aca="false">3_Calc_From_Gross!AX18</f>
        <v>9000</v>
      </c>
      <c r="I16" s="57" t="n">
        <f aca="false">3_Calc_From_Gross!BM18</f>
        <v>4991</v>
      </c>
      <c r="J16" s="57" t="n">
        <f aca="false">3_Calc_From_Gross!CB18</f>
        <v>5461</v>
      </c>
      <c r="K16" s="57" t="n">
        <f aca="false">3_Calc_From_Gross!CQ18</f>
        <v>2561</v>
      </c>
      <c r="L16" s="57" t="n">
        <f aca="false">3_Calc_From_Gross!DF18</f>
        <v>3390</v>
      </c>
      <c r="M16" s="57" t="n">
        <f aca="false">3_Calc_From_Gross!DU18</f>
        <v>2083</v>
      </c>
    </row>
    <row r="17" customFormat="false" ht="15" hidden="false" customHeight="false" outlineLevel="0" collapsed="false">
      <c r="A17" s="41" t="n">
        <v>14</v>
      </c>
      <c r="B17" s="28" t="s">
        <v>253</v>
      </c>
      <c r="C17" s="8" t="s">
        <v>256</v>
      </c>
      <c r="D17" s="65" t="s">
        <v>249</v>
      </c>
      <c r="E17" s="63" t="n">
        <f aca="false">3_Calc_From_Gross!E19</f>
        <v>3250</v>
      </c>
      <c r="F17" s="60" t="n">
        <f aca="false">3_Calc_From_Gross!T19</f>
        <v>5100</v>
      </c>
      <c r="G17" s="60" t="n">
        <f aca="false">3_Calc_From_Gross!AI19</f>
        <v>6350</v>
      </c>
      <c r="H17" s="60" t="n">
        <f aca="false">3_Calc_From_Gross!AX19</f>
        <v>11050</v>
      </c>
      <c r="I17" s="60" t="n">
        <f aca="false">3_Calc_From_Gross!BM19</f>
        <v>7063</v>
      </c>
      <c r="J17" s="60" t="n">
        <f aca="false">3_Calc_From_Gross!CB19</f>
        <v>7721</v>
      </c>
      <c r="K17" s="60" t="n">
        <f aca="false">3_Calc_From_Gross!CQ19</f>
        <v>4008</v>
      </c>
      <c r="L17" s="60" t="n">
        <f aca="false">3_Calc_From_Gross!DF19</f>
        <v>5085</v>
      </c>
      <c r="M17" s="60" t="n">
        <f aca="false">3_Calc_From_Gross!DU19</f>
        <v>3360</v>
      </c>
    </row>
    <row r="18" customFormat="false" ht="15" hidden="false" customHeight="false" outlineLevel="0" collapsed="false">
      <c r="A18" s="37" t="n">
        <v>15</v>
      </c>
      <c r="B18" s="32" t="s">
        <v>253</v>
      </c>
      <c r="C18" s="32" t="s">
        <v>257</v>
      </c>
      <c r="D18" s="62" t="s">
        <v>248</v>
      </c>
      <c r="E18" s="63" t="n">
        <f aca="false">3_Calc_From_Gross!E20</f>
        <v>1450</v>
      </c>
      <c r="F18" s="57" t="n">
        <f aca="false">3_Calc_From_Gross!T20</f>
        <v>3698</v>
      </c>
      <c r="G18" s="57" t="n">
        <f aca="false">3_Calc_From_Gross!AI20</f>
        <v>5292</v>
      </c>
      <c r="H18" s="57" t="n">
        <f aca="false">3_Calc_From_Gross!AX20</f>
        <v>11000</v>
      </c>
      <c r="I18" s="57" t="n">
        <f aca="false">3_Calc_From_Gross!BM20</f>
        <v>5556</v>
      </c>
      <c r="J18" s="57" t="n">
        <f aca="false">3_Calc_From_Gross!CB20</f>
        <v>6026</v>
      </c>
      <c r="K18" s="57" t="n">
        <f aca="false">3_Calc_From_Gross!CQ20</f>
        <v>2935</v>
      </c>
      <c r="L18" s="57" t="n">
        <f aca="false">3_Calc_From_Gross!DF20</f>
        <v>3766</v>
      </c>
      <c r="M18" s="57" t="n">
        <f aca="false">3_Calc_From_Gross!DU20</f>
        <v>2333</v>
      </c>
    </row>
    <row r="19" customFormat="false" ht="15" hidden="false" customHeight="false" outlineLevel="0" collapsed="false">
      <c r="A19" s="41" t="n">
        <v>16</v>
      </c>
      <c r="B19" s="28" t="s">
        <v>253</v>
      </c>
      <c r="C19" s="8" t="s">
        <v>257</v>
      </c>
      <c r="D19" s="65" t="s">
        <v>249</v>
      </c>
      <c r="E19" s="63" t="n">
        <f aca="false">3_Calc_From_Gross!E21</f>
        <v>4450</v>
      </c>
      <c r="F19" s="60" t="n">
        <f aca="false">3_Calc_From_Gross!T21</f>
        <v>6120</v>
      </c>
      <c r="G19" s="60" t="n">
        <f aca="false">3_Calc_From_Gross!AI21</f>
        <v>7938</v>
      </c>
      <c r="H19" s="60" t="n">
        <f aca="false">3_Calc_From_Gross!AX21</f>
        <v>13600</v>
      </c>
      <c r="I19" s="60" t="n">
        <f aca="false">3_Calc_From_Gross!BM21</f>
        <v>7910</v>
      </c>
      <c r="J19" s="60" t="n">
        <f aca="false">3_Calc_From_Gross!CB21</f>
        <v>8946</v>
      </c>
      <c r="K19" s="60" t="n">
        <f aca="false">3_Calc_From_Gross!CQ21</f>
        <v>4731</v>
      </c>
      <c r="L19" s="60" t="n">
        <f aca="false">3_Calc_From_Gross!DF21</f>
        <v>5839</v>
      </c>
      <c r="M19" s="60" t="n">
        <f aca="false">3_Calc_From_Gross!DU21</f>
        <v>3733</v>
      </c>
    </row>
    <row r="20" customFormat="false" ht="15" hidden="false" customHeight="false" outlineLevel="0" collapsed="false">
      <c r="A20" s="37" t="n">
        <v>17</v>
      </c>
      <c r="B20" s="32" t="s">
        <v>253</v>
      </c>
      <c r="C20" s="32" t="s">
        <v>258</v>
      </c>
      <c r="D20" s="62" t="s">
        <v>248</v>
      </c>
      <c r="E20" s="63" t="n">
        <f aca="false">3_Calc_From_Gross!E22</f>
        <v>1488</v>
      </c>
      <c r="F20" s="57" t="n">
        <f aca="false">3_Calc_From_Gross!T22</f>
        <v>3698</v>
      </c>
      <c r="G20" s="57" t="n">
        <f aca="false">3_Calc_From_Gross!AI22</f>
        <v>5820</v>
      </c>
      <c r="H20" s="57" t="n">
        <f aca="false">3_Calc_From_Gross!AX22</f>
        <v>11500</v>
      </c>
      <c r="I20" s="57" t="n">
        <f aca="false">3_Calc_From_Gross!BM22</f>
        <v>5744</v>
      </c>
      <c r="J20" s="57" t="n">
        <f aca="false">3_Calc_From_Gross!CB22</f>
        <v>6215</v>
      </c>
      <c r="K20" s="57" t="n">
        <f aca="false">3_Calc_From_Gross!CQ22</f>
        <v>2988</v>
      </c>
      <c r="L20" s="57" t="n">
        <f aca="false">3_Calc_From_Gross!DF22</f>
        <v>3955</v>
      </c>
      <c r="M20" s="57" t="n">
        <f aca="false">3_Calc_From_Gross!DU22</f>
        <v>2500</v>
      </c>
    </row>
    <row r="21" customFormat="false" ht="15" hidden="false" customHeight="false" outlineLevel="0" collapsed="false">
      <c r="A21" s="41" t="n">
        <v>18</v>
      </c>
      <c r="B21" s="28" t="s">
        <v>253</v>
      </c>
      <c r="C21" s="8" t="s">
        <v>258</v>
      </c>
      <c r="D21" s="65" t="s">
        <v>249</v>
      </c>
      <c r="E21" s="63" t="n">
        <f aca="false">3_Calc_From_Gross!E23</f>
        <v>4500</v>
      </c>
      <c r="F21" s="60" t="n">
        <f aca="false">3_Calc_From_Gross!T23</f>
        <v>6248</v>
      </c>
      <c r="G21" s="60" t="n">
        <f aca="false">3_Calc_From_Gross!AI23</f>
        <v>8467</v>
      </c>
      <c r="H21" s="60" t="n">
        <f aca="false">3_Calc_From_Gross!AX23</f>
        <v>14450</v>
      </c>
      <c r="I21" s="60" t="n">
        <f aca="false">3_Calc_From_Gross!BM23</f>
        <v>8286</v>
      </c>
      <c r="J21" s="60" t="n">
        <f aca="false">3_Calc_From_Gross!CB23</f>
        <v>9229</v>
      </c>
      <c r="K21" s="60" t="n">
        <f aca="false">3_Calc_From_Gross!CQ23</f>
        <v>4731</v>
      </c>
      <c r="L21" s="60" t="n">
        <f aca="false">3_Calc_From_Gross!DF23</f>
        <v>6215</v>
      </c>
      <c r="M21" s="60" t="n">
        <f aca="false">3_Calc_From_Gross!DU23</f>
        <v>4200</v>
      </c>
    </row>
    <row r="22" customFormat="false" ht="15" hidden="false" customHeight="false" outlineLevel="0" collapsed="false">
      <c r="A22" s="37" t="n">
        <v>19</v>
      </c>
      <c r="B22" s="32" t="s">
        <v>259</v>
      </c>
      <c r="C22" s="32" t="s">
        <v>260</v>
      </c>
      <c r="D22" s="62" t="s">
        <v>248</v>
      </c>
      <c r="E22" s="63" t="n">
        <f aca="false">3_Calc_From_Gross!E24</f>
        <v>1231</v>
      </c>
      <c r="F22" s="57" t="n">
        <f aca="false">3_Calc_From_Gross!T24</f>
        <v>3188</v>
      </c>
      <c r="G22" s="57" t="n">
        <f aca="false">3_Calc_From_Gross!AI24</f>
        <v>4233</v>
      </c>
      <c r="H22" s="57" t="n">
        <f aca="false">3_Calc_From_Gross!AX24</f>
        <v>9500</v>
      </c>
      <c r="I22" s="57" t="n">
        <f aca="false">3_Calc_From_Gross!BM24</f>
        <v>4803</v>
      </c>
      <c r="J22" s="57" t="n">
        <f aca="false">3_Calc_From_Gross!CB24</f>
        <v>5650</v>
      </c>
      <c r="K22" s="57" t="n">
        <f aca="false">3_Calc_From_Gross!CQ24</f>
        <v>2561</v>
      </c>
      <c r="L22" s="57" t="n">
        <f aca="false">3_Calc_From_Gross!DF24</f>
        <v>3390</v>
      </c>
      <c r="M22" s="57" t="n">
        <f aca="false">3_Calc_From_Gross!DU24</f>
        <v>2083</v>
      </c>
    </row>
    <row r="23" customFormat="false" ht="15" hidden="false" customHeight="false" outlineLevel="0" collapsed="false">
      <c r="A23" s="41" t="n">
        <v>20</v>
      </c>
      <c r="B23" s="28" t="s">
        <v>259</v>
      </c>
      <c r="C23" s="8" t="s">
        <v>260</v>
      </c>
      <c r="D23" s="65" t="s">
        <v>249</v>
      </c>
      <c r="E23" s="63" t="n">
        <f aca="false">3_Calc_From_Gross!E25</f>
        <v>4000</v>
      </c>
      <c r="F23" s="60" t="n">
        <f aca="false">3_Calc_From_Gross!T25</f>
        <v>5100</v>
      </c>
      <c r="G23" s="60" t="n">
        <f aca="false">3_Calc_From_Gross!AI25</f>
        <v>6350</v>
      </c>
      <c r="H23" s="60" t="n">
        <f aca="false">3_Calc_From_Gross!AX25</f>
        <v>11900</v>
      </c>
      <c r="I23" s="60" t="n">
        <f aca="false">3_Calc_From_Gross!BM25</f>
        <v>6780</v>
      </c>
      <c r="J23" s="60" t="n">
        <f aca="false">3_Calc_From_Gross!CB25</f>
        <v>8475</v>
      </c>
      <c r="K23" s="60" t="n">
        <f aca="false">3_Calc_From_Gross!CQ25</f>
        <v>3896</v>
      </c>
      <c r="L23" s="60" t="n">
        <f aca="false">3_Calc_From_Gross!DF25</f>
        <v>5179</v>
      </c>
      <c r="M23" s="60" t="n">
        <f aca="false">3_Calc_From_Gross!DU25</f>
        <v>3360</v>
      </c>
    </row>
    <row r="24" customFormat="false" ht="15" hidden="false" customHeight="false" outlineLevel="0" collapsed="false">
      <c r="A24" s="37" t="n">
        <v>21</v>
      </c>
      <c r="B24" s="32" t="s">
        <v>259</v>
      </c>
      <c r="C24" s="32" t="s">
        <v>261</v>
      </c>
      <c r="D24" s="62" t="s">
        <v>248</v>
      </c>
      <c r="E24" s="63" t="n">
        <f aca="false">3_Calc_From_Gross!E26</f>
        <v>1500</v>
      </c>
      <c r="F24" s="57" t="n">
        <f aca="false">3_Calc_From_Gross!T26</f>
        <v>3570</v>
      </c>
      <c r="G24" s="57" t="n">
        <f aca="false">3_Calc_From_Gross!AI26</f>
        <v>4763</v>
      </c>
      <c r="H24" s="57" t="n">
        <f aca="false">3_Calc_From_Gross!AX26</f>
        <v>11000</v>
      </c>
      <c r="I24" s="57" t="n">
        <f aca="false">3_Calc_From_Gross!BM26</f>
        <v>5556</v>
      </c>
      <c r="J24" s="57" t="n">
        <f aca="false">3_Calc_From_Gross!CB26</f>
        <v>6026</v>
      </c>
      <c r="K24" s="57" t="n">
        <f aca="false">3_Calc_From_Gross!CQ26</f>
        <v>2881</v>
      </c>
      <c r="L24" s="57" t="n">
        <f aca="false">3_Calc_From_Gross!DF26</f>
        <v>3766</v>
      </c>
      <c r="M24" s="57" t="n">
        <f aca="false">3_Calc_From_Gross!DU26</f>
        <v>2333</v>
      </c>
    </row>
    <row r="25" customFormat="false" ht="15" hidden="false" customHeight="false" outlineLevel="0" collapsed="false">
      <c r="A25" s="41" t="n">
        <v>22</v>
      </c>
      <c r="B25" s="28" t="s">
        <v>259</v>
      </c>
      <c r="C25" s="8" t="s">
        <v>261</v>
      </c>
      <c r="D25" s="65" t="s">
        <v>249</v>
      </c>
      <c r="E25" s="63" t="n">
        <f aca="false">3_Calc_From_Gross!E27</f>
        <v>4750</v>
      </c>
      <c r="F25" s="60" t="n">
        <f aca="false">3_Calc_From_Gross!T27</f>
        <v>5865</v>
      </c>
      <c r="G25" s="60" t="n">
        <f aca="false">3_Calc_From_Gross!AI27</f>
        <v>7407</v>
      </c>
      <c r="H25" s="60" t="n">
        <f aca="false">3_Calc_From_Gross!AX27</f>
        <v>13600</v>
      </c>
      <c r="I25" s="60" t="n">
        <f aca="false">3_Calc_From_Gross!BM27</f>
        <v>7628</v>
      </c>
      <c r="J25" s="60" t="n">
        <f aca="false">3_Calc_From_Gross!CB27</f>
        <v>8946</v>
      </c>
      <c r="K25" s="60" t="n">
        <f aca="false">3_Calc_From_Gross!CQ27</f>
        <v>4564</v>
      </c>
      <c r="L25" s="60" t="n">
        <f aca="false">3_Calc_From_Gross!DF27</f>
        <v>5650</v>
      </c>
      <c r="M25" s="60" t="n">
        <f aca="false">3_Calc_From_Gross!DU27</f>
        <v>3733</v>
      </c>
    </row>
    <row r="26" customFormat="false" ht="15" hidden="false" customHeight="false" outlineLevel="0" collapsed="false">
      <c r="A26" s="37" t="n">
        <v>23</v>
      </c>
      <c r="B26" s="32" t="s">
        <v>259</v>
      </c>
      <c r="C26" s="32" t="s">
        <v>262</v>
      </c>
      <c r="D26" s="62" t="s">
        <v>248</v>
      </c>
      <c r="E26" s="63" t="n">
        <f aca="false">3_Calc_From_Gross!E28</f>
        <v>1500</v>
      </c>
      <c r="F26" s="57" t="n">
        <f aca="false">3_Calc_From_Gross!T28</f>
        <v>3570</v>
      </c>
      <c r="G26" s="57" t="n">
        <f aca="false">3_Calc_From_Gross!AI28</f>
        <v>4763</v>
      </c>
      <c r="H26" s="57" t="n">
        <f aca="false">3_Calc_From_Gross!AX28</f>
        <v>11000</v>
      </c>
      <c r="I26" s="57" t="n">
        <f aca="false">3_Calc_From_Gross!BM28</f>
        <v>5556</v>
      </c>
      <c r="J26" s="57" t="n">
        <f aca="false">3_Calc_From_Gross!CB28</f>
        <v>6026</v>
      </c>
      <c r="K26" s="57" t="n">
        <f aca="false">3_Calc_From_Gross!CQ28</f>
        <v>2881</v>
      </c>
      <c r="L26" s="57" t="n">
        <f aca="false">3_Calc_From_Gross!DF28</f>
        <v>3766</v>
      </c>
      <c r="M26" s="57" t="n">
        <f aca="false">3_Calc_From_Gross!DU28</f>
        <v>2333</v>
      </c>
    </row>
    <row r="27" customFormat="false" ht="15" hidden="false" customHeight="false" outlineLevel="0" collapsed="false">
      <c r="A27" s="41" t="n">
        <v>24</v>
      </c>
      <c r="B27" s="28" t="s">
        <v>259</v>
      </c>
      <c r="C27" s="8" t="s">
        <v>262</v>
      </c>
      <c r="D27" s="65" t="s">
        <v>249</v>
      </c>
      <c r="E27" s="63" t="n">
        <f aca="false">3_Calc_From_Gross!E29</f>
        <v>4750</v>
      </c>
      <c r="F27" s="60" t="n">
        <f aca="false">3_Calc_From_Gross!T29</f>
        <v>5865</v>
      </c>
      <c r="G27" s="60" t="n">
        <f aca="false">3_Calc_From_Gross!AI29</f>
        <v>7407</v>
      </c>
      <c r="H27" s="60" t="n">
        <f aca="false">3_Calc_From_Gross!AX29</f>
        <v>13600</v>
      </c>
      <c r="I27" s="60" t="n">
        <f aca="false">3_Calc_From_Gross!BM29</f>
        <v>7628</v>
      </c>
      <c r="J27" s="60" t="n">
        <f aca="false">3_Calc_From_Gross!CB29</f>
        <v>8946</v>
      </c>
      <c r="K27" s="60" t="n">
        <f aca="false">3_Calc_From_Gross!CQ29</f>
        <v>4564</v>
      </c>
      <c r="L27" s="60" t="n">
        <f aca="false">3_Calc_From_Gross!DF29</f>
        <v>5650</v>
      </c>
      <c r="M27" s="60" t="n">
        <f aca="false">3_Calc_From_Gross!DU29</f>
        <v>3733</v>
      </c>
    </row>
    <row r="28" customFormat="false" ht="15" hidden="false" customHeight="false" outlineLevel="0" collapsed="false">
      <c r="A28" s="37" t="n">
        <v>25</v>
      </c>
      <c r="B28" s="32" t="s">
        <v>259</v>
      </c>
      <c r="C28" s="32" t="s">
        <v>263</v>
      </c>
      <c r="D28" s="62" t="s">
        <v>248</v>
      </c>
      <c r="E28" s="63" t="n">
        <f aca="false">3_Calc_From_Gross!E30</f>
        <v>1231</v>
      </c>
      <c r="F28" s="57" t="n">
        <f aca="false">3_Calc_From_Gross!T30</f>
        <v>3188</v>
      </c>
      <c r="G28" s="57" t="n">
        <f aca="false">3_Calc_From_Gross!AI30</f>
        <v>4233</v>
      </c>
      <c r="H28" s="57" t="n">
        <f aca="false">3_Calc_From_Gross!AX30</f>
        <v>9500</v>
      </c>
      <c r="I28" s="57" t="n">
        <f aca="false">3_Calc_From_Gross!BM30</f>
        <v>4803</v>
      </c>
      <c r="J28" s="57" t="n">
        <f aca="false">3_Calc_From_Gross!CB30</f>
        <v>5650</v>
      </c>
      <c r="K28" s="57" t="n">
        <f aca="false">3_Calc_From_Gross!CQ30</f>
        <v>2561</v>
      </c>
      <c r="L28" s="57" t="n">
        <f aca="false">3_Calc_From_Gross!DF30</f>
        <v>3390</v>
      </c>
      <c r="M28" s="57" t="n">
        <f aca="false">3_Calc_From_Gross!DU30</f>
        <v>2083</v>
      </c>
    </row>
    <row r="29" customFormat="false" ht="15" hidden="false" customHeight="false" outlineLevel="0" collapsed="false">
      <c r="A29" s="41" t="n">
        <v>26</v>
      </c>
      <c r="B29" s="28" t="s">
        <v>259</v>
      </c>
      <c r="C29" s="8" t="s">
        <v>263</v>
      </c>
      <c r="D29" s="65" t="s">
        <v>249</v>
      </c>
      <c r="E29" s="63" t="n">
        <f aca="false">3_Calc_From_Gross!E31</f>
        <v>4000</v>
      </c>
      <c r="F29" s="60" t="n">
        <f aca="false">3_Calc_From_Gross!T31</f>
        <v>5100</v>
      </c>
      <c r="G29" s="60" t="n">
        <f aca="false">3_Calc_From_Gross!AI31</f>
        <v>6350</v>
      </c>
      <c r="H29" s="60" t="n">
        <f aca="false">3_Calc_From_Gross!AX31</f>
        <v>11900</v>
      </c>
      <c r="I29" s="60" t="n">
        <f aca="false">3_Calc_From_Gross!BM31</f>
        <v>6780</v>
      </c>
      <c r="J29" s="60" t="n">
        <f aca="false">3_Calc_From_Gross!CB31</f>
        <v>8475</v>
      </c>
      <c r="K29" s="60" t="n">
        <f aca="false">3_Calc_From_Gross!CQ31</f>
        <v>3896</v>
      </c>
      <c r="L29" s="60" t="n">
        <f aca="false">3_Calc_From_Gross!DF31</f>
        <v>5179</v>
      </c>
      <c r="M29" s="60" t="n">
        <f aca="false">3_Calc_From_Gross!DU31</f>
        <v>3360</v>
      </c>
    </row>
    <row r="30" customFormat="false" ht="15" hidden="false" customHeight="false" outlineLevel="0" collapsed="false">
      <c r="A30" s="37" t="n">
        <v>27</v>
      </c>
      <c r="B30" s="32" t="s">
        <v>264</v>
      </c>
      <c r="C30" s="32" t="s">
        <v>265</v>
      </c>
      <c r="D30" s="62" t="s">
        <v>248</v>
      </c>
      <c r="E30" s="63" t="n">
        <f aca="false">3_Calc_From_Gross!E32</f>
        <v>1350</v>
      </c>
      <c r="F30" s="57" t="n">
        <f aca="false">3_Calc_From_Gross!T32</f>
        <v>2933</v>
      </c>
      <c r="G30" s="57" t="n">
        <f aca="false">3_Calc_From_Gross!AI32</f>
        <v>4233</v>
      </c>
      <c r="H30" s="57" t="n">
        <f aca="false">3_Calc_From_Gross!AX32</f>
        <v>9000</v>
      </c>
      <c r="I30" s="57" t="n">
        <f aca="false">3_Calc_From_Gross!BM32</f>
        <v>4520</v>
      </c>
      <c r="J30" s="57" t="n">
        <f aca="false">3_Calc_From_Gross!CB32</f>
        <v>5179</v>
      </c>
      <c r="K30" s="57" t="n">
        <f aca="false">3_Calc_From_Gross!CQ32</f>
        <v>2348</v>
      </c>
      <c r="L30" s="57" t="n">
        <f aca="false">3_Calc_From_Gross!DF32</f>
        <v>3296</v>
      </c>
      <c r="M30" s="57" t="n">
        <f aca="false">3_Calc_From_Gross!DU32</f>
        <v>1917</v>
      </c>
    </row>
    <row r="31" customFormat="false" ht="15" hidden="false" customHeight="false" outlineLevel="0" collapsed="false">
      <c r="A31" s="41" t="n">
        <v>28</v>
      </c>
      <c r="B31" s="28" t="s">
        <v>264</v>
      </c>
      <c r="C31" s="8" t="s">
        <v>265</v>
      </c>
      <c r="D31" s="65" t="s">
        <v>249</v>
      </c>
      <c r="E31" s="63" t="n">
        <f aca="false">3_Calc_From_Gross!E33</f>
        <v>3250</v>
      </c>
      <c r="F31" s="60" t="n">
        <f aca="false">3_Calc_From_Gross!T33</f>
        <v>4590</v>
      </c>
      <c r="G31" s="60" t="n">
        <f aca="false">3_Calc_From_Gross!AI33</f>
        <v>6614</v>
      </c>
      <c r="H31" s="60" t="n">
        <f aca="false">3_Calc_From_Gross!AX33</f>
        <v>11050</v>
      </c>
      <c r="I31" s="60" t="n">
        <f aca="false">3_Calc_From_Gross!BM33</f>
        <v>6498</v>
      </c>
      <c r="J31" s="60" t="n">
        <f aca="false">3_Calc_From_Gross!CB33</f>
        <v>7345</v>
      </c>
      <c r="K31" s="60" t="n">
        <f aca="false">3_Calc_From_Gross!CQ33</f>
        <v>3618</v>
      </c>
      <c r="L31" s="60" t="n">
        <f aca="false">3_Calc_From_Gross!DF33</f>
        <v>4896</v>
      </c>
      <c r="M31" s="60" t="n">
        <f aca="false">3_Calc_From_Gross!DU33</f>
        <v>3267</v>
      </c>
    </row>
    <row r="32" customFormat="false" ht="15" hidden="false" customHeight="false" outlineLevel="0" collapsed="false">
      <c r="A32" s="37" t="n">
        <v>29</v>
      </c>
      <c r="B32" s="32" t="s">
        <v>266</v>
      </c>
      <c r="C32" s="32" t="s">
        <v>267</v>
      </c>
      <c r="D32" s="62" t="s">
        <v>248</v>
      </c>
      <c r="E32" s="63" t="n">
        <f aca="false">3_Calc_From_Gross!E34</f>
        <v>1850</v>
      </c>
      <c r="F32" s="57" t="n">
        <f aca="false">3_Calc_From_Gross!T34</f>
        <v>4335</v>
      </c>
      <c r="G32" s="57" t="n">
        <f aca="false">3_Calc_From_Gross!AI34</f>
        <v>6350</v>
      </c>
      <c r="H32" s="57" t="n">
        <f aca="false">3_Calc_From_Gross!AX34</f>
        <v>14080</v>
      </c>
      <c r="I32" s="57" t="n">
        <f aca="false">3_Calc_From_Gross!BM34</f>
        <v>6686</v>
      </c>
      <c r="J32" s="57" t="n">
        <f aca="false">3_Calc_From_Gross!CB34</f>
        <v>7156</v>
      </c>
      <c r="K32" s="57" t="n">
        <f aca="false">3_Calc_From_Gross!CQ34</f>
        <v>3202</v>
      </c>
      <c r="L32" s="57" t="n">
        <f aca="false">3_Calc_From_Gross!DF34</f>
        <v>4520</v>
      </c>
      <c r="M32" s="57" t="n">
        <f aca="false">3_Calc_From_Gross!DU34</f>
        <v>2750</v>
      </c>
    </row>
    <row r="33" customFormat="false" ht="15" hidden="false" customHeight="false" outlineLevel="0" collapsed="false">
      <c r="A33" s="41" t="n">
        <v>30</v>
      </c>
      <c r="B33" s="28" t="s">
        <v>266</v>
      </c>
      <c r="C33" s="8" t="s">
        <v>267</v>
      </c>
      <c r="D33" s="65" t="s">
        <v>249</v>
      </c>
      <c r="E33" s="63" t="n">
        <f aca="false">3_Calc_From_Gross!E35</f>
        <v>4775</v>
      </c>
      <c r="F33" s="60" t="n">
        <f aca="false">3_Calc_From_Gross!T35</f>
        <v>6885</v>
      </c>
      <c r="G33" s="60" t="n">
        <f aca="false">3_Calc_From_Gross!AI35</f>
        <v>9525</v>
      </c>
      <c r="H33" s="60" t="n">
        <f aca="false">3_Calc_From_Gross!AX35</f>
        <v>15725</v>
      </c>
      <c r="I33" s="60" t="n">
        <f aca="false">3_Calc_From_Gross!BM35</f>
        <v>9605</v>
      </c>
      <c r="J33" s="60" t="n">
        <f aca="false">3_Calc_From_Gross!CB35</f>
        <v>10359</v>
      </c>
      <c r="K33" s="60" t="n">
        <f aca="false">3_Calc_From_Gross!CQ35</f>
        <v>5121</v>
      </c>
      <c r="L33" s="60" t="n">
        <f aca="false">3_Calc_From_Gross!DF35</f>
        <v>6780</v>
      </c>
      <c r="M33" s="60" t="n">
        <f aca="false">3_Calc_From_Gross!DU35</f>
        <v>4480</v>
      </c>
    </row>
    <row r="34" customFormat="false" ht="15" hidden="false" customHeight="false" outlineLevel="0" collapsed="false">
      <c r="A34" s="37" t="n">
        <v>31</v>
      </c>
      <c r="B34" s="32" t="s">
        <v>268</v>
      </c>
      <c r="C34" s="32" t="s">
        <v>269</v>
      </c>
      <c r="D34" s="62" t="s">
        <v>248</v>
      </c>
      <c r="E34" s="63" t="n">
        <f aca="false">3_Calc_From_Gross!E36</f>
        <v>1400</v>
      </c>
      <c r="F34" s="57" t="n">
        <f aca="false">3_Calc_From_Gross!T36</f>
        <v>3570</v>
      </c>
      <c r="G34" s="57" t="n">
        <f aca="false">3_Calc_From_Gross!AI36</f>
        <v>4763</v>
      </c>
      <c r="H34" s="57" t="n">
        <f aca="false">3_Calc_From_Gross!AX36</f>
        <v>11000</v>
      </c>
      <c r="I34" s="57" t="n">
        <f aca="false">3_Calc_From_Gross!BM36</f>
        <v>5274</v>
      </c>
      <c r="J34" s="57" t="n">
        <f aca="false">3_Calc_From_Gross!CB36</f>
        <v>6121</v>
      </c>
      <c r="K34" s="57" t="n">
        <f aca="false">3_Calc_From_Gross!CQ36</f>
        <v>2668</v>
      </c>
      <c r="L34" s="57" t="n">
        <f aca="false">3_Calc_From_Gross!DF36</f>
        <v>3579</v>
      </c>
      <c r="M34" s="57" t="n">
        <f aca="false">3_Calc_From_Gross!DU36</f>
        <v>2167</v>
      </c>
    </row>
    <row r="35" customFormat="false" ht="15" hidden="false" customHeight="false" outlineLevel="0" collapsed="false">
      <c r="A35" s="41" t="n">
        <v>32</v>
      </c>
      <c r="B35" s="28" t="s">
        <v>268</v>
      </c>
      <c r="C35" s="8" t="s">
        <v>269</v>
      </c>
      <c r="D35" s="65" t="s">
        <v>249</v>
      </c>
      <c r="E35" s="63" t="n">
        <f aca="false">3_Calc_From_Gross!E37</f>
        <v>3200</v>
      </c>
      <c r="F35" s="60" t="n">
        <f aca="false">3_Calc_From_Gross!T37</f>
        <v>5100</v>
      </c>
      <c r="G35" s="60" t="n">
        <f aca="false">3_Calc_From_Gross!AI37</f>
        <v>6879</v>
      </c>
      <c r="H35" s="60" t="n">
        <f aca="false">3_Calc_From_Gross!AX37</f>
        <v>12750</v>
      </c>
      <c r="I35" s="60" t="n">
        <f aca="false">3_Calc_From_Gross!BM37</f>
        <v>7345</v>
      </c>
      <c r="J35" s="60" t="n">
        <f aca="false">3_Calc_From_Gross!CB37</f>
        <v>8475</v>
      </c>
      <c r="K35" s="60" t="n">
        <f aca="false">3_Calc_From_Gross!CQ37</f>
        <v>4119</v>
      </c>
      <c r="L35" s="60" t="n">
        <f aca="false">3_Calc_From_Gross!DF37</f>
        <v>5461</v>
      </c>
      <c r="M35" s="60" t="n">
        <f aca="false">3_Calc_From_Gross!DU37</f>
        <v>3547</v>
      </c>
    </row>
    <row r="36" customFormat="false" ht="15" hidden="false" customHeight="false" outlineLevel="0" collapsed="false">
      <c r="A36" s="37" t="n">
        <v>33</v>
      </c>
      <c r="B36" s="32" t="s">
        <v>270</v>
      </c>
      <c r="C36" s="32" t="s">
        <v>271</v>
      </c>
      <c r="D36" s="62" t="s">
        <v>248</v>
      </c>
      <c r="E36" s="63" t="n">
        <f aca="false">3_Calc_From_Gross!E38</f>
        <v>1150</v>
      </c>
      <c r="F36" s="57" t="n">
        <f aca="false">3_Calc_From_Gross!T38</f>
        <v>3060</v>
      </c>
      <c r="G36" s="57" t="n">
        <f aca="false">3_Calc_From_Gross!AI38</f>
        <v>4233</v>
      </c>
      <c r="H36" s="57" t="n">
        <f aca="false">3_Calc_From_Gross!AX38</f>
        <v>10000</v>
      </c>
      <c r="I36" s="57" t="n">
        <f aca="false">3_Calc_From_Gross!BM38</f>
        <v>4709</v>
      </c>
      <c r="J36" s="57" t="n">
        <f aca="false">3_Calc_From_Gross!CB38</f>
        <v>5556</v>
      </c>
      <c r="K36" s="57" t="n">
        <f aca="false">3_Calc_From_Gross!CQ38</f>
        <v>2241</v>
      </c>
      <c r="L36" s="57" t="n">
        <f aca="false">3_Calc_From_Gross!DF38</f>
        <v>3296</v>
      </c>
      <c r="M36" s="57" t="n">
        <f aca="false">3_Calc_From_Gross!DU38</f>
        <v>1833</v>
      </c>
    </row>
    <row r="37" customFormat="false" ht="15" hidden="false" customHeight="false" outlineLevel="0" collapsed="false">
      <c r="A37" s="41" t="n">
        <v>34</v>
      </c>
      <c r="B37" s="28" t="s">
        <v>270</v>
      </c>
      <c r="C37" s="8" t="s">
        <v>271</v>
      </c>
      <c r="D37" s="65" t="s">
        <v>249</v>
      </c>
      <c r="E37" s="63" t="n">
        <f aca="false">3_Calc_From_Gross!E39</f>
        <v>2750</v>
      </c>
      <c r="F37" s="60" t="n">
        <f aca="false">3_Calc_From_Gross!T39</f>
        <v>4590</v>
      </c>
      <c r="G37" s="60" t="n">
        <f aca="false">3_Calc_From_Gross!AI39</f>
        <v>5820</v>
      </c>
      <c r="H37" s="60" t="n">
        <f aca="false">3_Calc_From_Gross!AX39</f>
        <v>11475</v>
      </c>
      <c r="I37" s="60" t="n">
        <f aca="false">3_Calc_From_Gross!BM39</f>
        <v>6591</v>
      </c>
      <c r="J37" s="60" t="n">
        <f aca="false">3_Calc_From_Gross!CB39</f>
        <v>7816</v>
      </c>
      <c r="K37" s="60" t="n">
        <f aca="false">3_Calc_From_Gross!CQ39</f>
        <v>3340</v>
      </c>
      <c r="L37" s="60" t="n">
        <f aca="false">3_Calc_From_Gross!DF39</f>
        <v>4709</v>
      </c>
      <c r="M37" s="60" t="n">
        <f aca="false">3_Calc_From_Gross!DU39</f>
        <v>3080</v>
      </c>
    </row>
    <row r="38" customFormat="false" ht="15" hidden="false" customHeight="false" outlineLevel="0" collapsed="false">
      <c r="A38" s="37" t="n">
        <v>35</v>
      </c>
      <c r="B38" s="32" t="s">
        <v>272</v>
      </c>
      <c r="C38" s="32" t="s">
        <v>273</v>
      </c>
      <c r="D38" s="62" t="s">
        <v>248</v>
      </c>
      <c r="E38" s="63" t="n">
        <f aca="false">3_Calc_From_Gross!E40</f>
        <v>1500</v>
      </c>
      <c r="F38" s="57" t="n">
        <f aca="false">3_Calc_From_Gross!T40</f>
        <v>3698</v>
      </c>
      <c r="G38" s="57" t="n">
        <f aca="false">3_Calc_From_Gross!AI40</f>
        <v>5292</v>
      </c>
      <c r="H38" s="57" t="n">
        <f aca="false">3_Calc_From_Gross!AX40</f>
        <v>13500</v>
      </c>
      <c r="I38" s="57" t="n">
        <f aca="false">3_Calc_From_Gross!BM40</f>
        <v>5650</v>
      </c>
      <c r="J38" s="57" t="n">
        <f aca="false">3_Calc_From_Gross!CB40</f>
        <v>6591</v>
      </c>
      <c r="K38" s="57" t="n">
        <f aca="false">3_Calc_From_Gross!CQ40</f>
        <v>2988</v>
      </c>
      <c r="L38" s="57" t="n">
        <f aca="false">3_Calc_From_Gross!DF40</f>
        <v>3955</v>
      </c>
      <c r="M38" s="57" t="n">
        <f aca="false">3_Calc_From_Gross!DU40</f>
        <v>2500</v>
      </c>
    </row>
    <row r="39" customFormat="false" ht="15" hidden="false" customHeight="false" outlineLevel="0" collapsed="false">
      <c r="A39" s="41" t="n">
        <v>36</v>
      </c>
      <c r="B39" s="28" t="s">
        <v>272</v>
      </c>
      <c r="C39" s="8" t="s">
        <v>273</v>
      </c>
      <c r="D39" s="65" t="s">
        <v>249</v>
      </c>
      <c r="E39" s="63" t="n">
        <f aca="false">3_Calc_From_Gross!E41</f>
        <v>4250</v>
      </c>
      <c r="F39" s="60" t="n">
        <f aca="false">3_Calc_From_Gross!T41</f>
        <v>6120</v>
      </c>
      <c r="G39" s="60" t="n">
        <f aca="false">3_Calc_From_Gross!AI41</f>
        <v>7938</v>
      </c>
      <c r="H39" s="60" t="n">
        <f aca="false">3_Calc_From_Gross!AX41</f>
        <v>14450</v>
      </c>
      <c r="I39" s="60" t="n">
        <f aca="false">3_Calc_From_Gross!BM41</f>
        <v>8193</v>
      </c>
      <c r="J39" s="60" t="n">
        <f aca="false">3_Calc_From_Gross!CB41</f>
        <v>9417</v>
      </c>
      <c r="K39" s="60" t="n">
        <f aca="false">3_Calc_From_Gross!CQ41</f>
        <v>4731</v>
      </c>
      <c r="L39" s="60" t="n">
        <f aca="false">3_Calc_From_Gross!DF41</f>
        <v>6215</v>
      </c>
      <c r="M39" s="60" t="n">
        <f aca="false">3_Calc_From_Gross!DU41</f>
        <v>4200</v>
      </c>
    </row>
    <row r="40" customFormat="false" ht="15" hidden="false" customHeight="false" outlineLevel="0" collapsed="false">
      <c r="A40" s="37" t="n">
        <v>37</v>
      </c>
      <c r="B40" s="32" t="s">
        <v>272</v>
      </c>
      <c r="C40" s="32" t="s">
        <v>274</v>
      </c>
      <c r="D40" s="62" t="s">
        <v>248</v>
      </c>
      <c r="E40" s="63" t="n">
        <f aca="false">3_Calc_From_Gross!E42</f>
        <v>1250</v>
      </c>
      <c r="F40" s="57" t="n">
        <f aca="false">3_Calc_From_Gross!T42</f>
        <v>3443</v>
      </c>
      <c r="G40" s="57" t="n">
        <f aca="false">3_Calc_From_Gross!AI42</f>
        <v>4763</v>
      </c>
      <c r="H40" s="57" t="n">
        <f aca="false">3_Calc_From_Gross!AX42</f>
        <v>11000</v>
      </c>
      <c r="I40" s="57" t="n">
        <f aca="false">3_Calc_From_Gross!BM42</f>
        <v>5179</v>
      </c>
      <c r="J40" s="57" t="n">
        <f aca="false">3_Calc_From_Gross!CB42</f>
        <v>6121</v>
      </c>
      <c r="K40" s="57" t="n">
        <f aca="false">3_Calc_From_Gross!CQ42</f>
        <v>2668</v>
      </c>
      <c r="L40" s="57" t="n">
        <f aca="false">3_Calc_From_Gross!DF42</f>
        <v>3579</v>
      </c>
      <c r="M40" s="57" t="n">
        <f aca="false">3_Calc_From_Gross!DU42</f>
        <v>2333</v>
      </c>
    </row>
    <row r="41" customFormat="false" ht="15" hidden="false" customHeight="false" outlineLevel="0" collapsed="false">
      <c r="A41" s="41" t="n">
        <v>38</v>
      </c>
      <c r="B41" s="28" t="s">
        <v>272</v>
      </c>
      <c r="C41" s="8" t="s">
        <v>274</v>
      </c>
      <c r="D41" s="65" t="s">
        <v>249</v>
      </c>
      <c r="E41" s="63" t="n">
        <f aca="false">3_Calc_From_Gross!E43</f>
        <v>4000</v>
      </c>
      <c r="F41" s="60" t="n">
        <f aca="false">3_Calc_From_Gross!T43</f>
        <v>5355</v>
      </c>
      <c r="G41" s="60" t="n">
        <f aca="false">3_Calc_From_Gross!AI43</f>
        <v>6879</v>
      </c>
      <c r="H41" s="60" t="n">
        <f aca="false">3_Calc_From_Gross!AX43</f>
        <v>12750</v>
      </c>
      <c r="I41" s="60" t="n">
        <f aca="false">3_Calc_From_Gross!BM43</f>
        <v>7345</v>
      </c>
      <c r="J41" s="60" t="n">
        <f aca="false">3_Calc_From_Gross!CB43</f>
        <v>8475</v>
      </c>
      <c r="K41" s="60" t="n">
        <f aca="false">3_Calc_From_Gross!CQ43</f>
        <v>4230</v>
      </c>
      <c r="L41" s="60" t="n">
        <f aca="false">3_Calc_From_Gross!DF43</f>
        <v>5650</v>
      </c>
      <c r="M41" s="60" t="n">
        <f aca="false">3_Calc_From_Gross!DU43</f>
        <v>3733</v>
      </c>
    </row>
    <row r="42" customFormat="false" ht="15" hidden="false" customHeight="false" outlineLevel="0" collapsed="false">
      <c r="A42" s="37" t="n">
        <v>39</v>
      </c>
      <c r="B42" s="32" t="s">
        <v>272</v>
      </c>
      <c r="C42" s="32" t="s">
        <v>275</v>
      </c>
      <c r="D42" s="62" t="s">
        <v>248</v>
      </c>
      <c r="E42" s="63" t="n">
        <f aca="false">3_Calc_From_Gross!E44</f>
        <v>1250</v>
      </c>
      <c r="F42" s="57" t="n">
        <f aca="false">3_Calc_From_Gross!T44</f>
        <v>3315</v>
      </c>
      <c r="G42" s="57" t="n">
        <f aca="false">3_Calc_From_Gross!AI44</f>
        <v>4763</v>
      </c>
      <c r="H42" s="57" t="n">
        <f aca="false">3_Calc_From_Gross!AX44</f>
        <v>12000</v>
      </c>
      <c r="I42" s="57" t="n">
        <f aca="false">3_Calc_From_Gross!BM44</f>
        <v>5085</v>
      </c>
      <c r="J42" s="57" t="n">
        <f aca="false">3_Calc_From_Gross!CB44</f>
        <v>5650</v>
      </c>
      <c r="K42" s="57" t="n">
        <f aca="false">3_Calc_From_Gross!CQ44</f>
        <v>2561</v>
      </c>
      <c r="L42" s="57" t="n">
        <f aca="false">3_Calc_From_Gross!DF44</f>
        <v>3390</v>
      </c>
      <c r="M42" s="57" t="n">
        <f aca="false">3_Calc_From_Gross!DU44</f>
        <v>2167</v>
      </c>
    </row>
    <row r="43" customFormat="false" ht="15" hidden="false" customHeight="false" outlineLevel="0" collapsed="false">
      <c r="A43" s="41" t="n">
        <v>40</v>
      </c>
      <c r="B43" s="28" t="s">
        <v>272</v>
      </c>
      <c r="C43" s="8" t="s">
        <v>275</v>
      </c>
      <c r="D43" s="65" t="s">
        <v>249</v>
      </c>
      <c r="E43" s="63" t="n">
        <f aca="false">3_Calc_From_Gross!E45</f>
        <v>4250</v>
      </c>
      <c r="F43" s="60" t="n">
        <f aca="false">3_Calc_From_Gross!T45</f>
        <v>5610</v>
      </c>
      <c r="G43" s="60" t="n">
        <f aca="false">3_Calc_From_Gross!AI45</f>
        <v>6879</v>
      </c>
      <c r="H43" s="60" t="n">
        <f aca="false">3_Calc_From_Gross!AX45</f>
        <v>13600</v>
      </c>
      <c r="I43" s="60" t="n">
        <f aca="false">3_Calc_From_Gross!BM45</f>
        <v>7628</v>
      </c>
      <c r="J43" s="60" t="n">
        <f aca="false">3_Calc_From_Gross!CB45</f>
        <v>8475</v>
      </c>
      <c r="K43" s="60" t="n">
        <f aca="false">3_Calc_From_Gross!CQ45</f>
        <v>4341</v>
      </c>
      <c r="L43" s="60" t="n">
        <f aca="false">3_Calc_From_Gross!DF45</f>
        <v>5650</v>
      </c>
      <c r="M43" s="60" t="n">
        <f aca="false">3_Calc_From_Gross!DU45</f>
        <v>3547</v>
      </c>
    </row>
    <row r="44" customFormat="false" ht="15" hidden="false" customHeight="false" outlineLevel="0" collapsed="false">
      <c r="A44" s="37" t="n">
        <v>41</v>
      </c>
      <c r="B44" s="32" t="s">
        <v>276</v>
      </c>
      <c r="C44" s="32" t="s">
        <v>277</v>
      </c>
      <c r="D44" s="62" t="s">
        <v>248</v>
      </c>
      <c r="E44" s="63" t="n">
        <f aca="false">3_Calc_From_Gross!E46</f>
        <v>2000</v>
      </c>
      <c r="F44" s="57" t="n">
        <f aca="false">3_Calc_From_Gross!T46</f>
        <v>4335</v>
      </c>
      <c r="G44" s="57" t="n">
        <f aca="false">3_Calc_From_Gross!AI46</f>
        <v>6350</v>
      </c>
      <c r="H44" s="57" t="n">
        <f aca="false">3_Calc_From_Gross!AX46</f>
        <v>16000</v>
      </c>
      <c r="I44" s="57" t="n">
        <f aca="false">3_Calc_From_Gross!BM46</f>
        <v>6591</v>
      </c>
      <c r="J44" s="57" t="n">
        <f aca="false">3_Calc_From_Gross!CB46</f>
        <v>7439</v>
      </c>
      <c r="K44" s="57" t="n">
        <f aca="false">3_Calc_From_Gross!CQ46</f>
        <v>3308</v>
      </c>
      <c r="L44" s="57" t="n">
        <f aca="false">3_Calc_From_Gross!DF46</f>
        <v>4709</v>
      </c>
      <c r="M44" s="57" t="n">
        <f aca="false">3_Calc_From_Gross!DU46</f>
        <v>2917</v>
      </c>
    </row>
    <row r="45" customFormat="false" ht="15" hidden="false" customHeight="false" outlineLevel="0" collapsed="false">
      <c r="A45" s="41" t="n">
        <v>42</v>
      </c>
      <c r="B45" s="28" t="s">
        <v>276</v>
      </c>
      <c r="C45" s="8" t="s">
        <v>277</v>
      </c>
      <c r="D45" s="65" t="s">
        <v>249</v>
      </c>
      <c r="E45" s="63" t="n">
        <f aca="false">3_Calc_From_Gross!E47</f>
        <v>5500</v>
      </c>
      <c r="F45" s="60" t="n">
        <f aca="false">3_Calc_From_Gross!T47</f>
        <v>6885</v>
      </c>
      <c r="G45" s="60" t="n">
        <f aca="false">3_Calc_From_Gross!AI47</f>
        <v>10053</v>
      </c>
      <c r="H45" s="60" t="n">
        <f aca="false">3_Calc_From_Gross!AX47</f>
        <v>19975</v>
      </c>
      <c r="I45" s="60" t="n">
        <f aca="false">3_Calc_From_Gross!BM47</f>
        <v>9605</v>
      </c>
      <c r="J45" s="60" t="n">
        <f aca="false">3_Calc_From_Gross!CB47</f>
        <v>11300</v>
      </c>
      <c r="K45" s="60" t="n">
        <f aca="false">3_Calc_From_Gross!CQ47</f>
        <v>5288</v>
      </c>
      <c r="L45" s="60" t="n">
        <f aca="false">3_Calc_From_Gross!DF47</f>
        <v>7345</v>
      </c>
      <c r="M45" s="60" t="n">
        <f aca="false">3_Calc_From_Gross!DU47</f>
        <v>4853</v>
      </c>
    </row>
    <row r="46" customFormat="false" ht="15" hidden="false" customHeight="false" outlineLevel="0" collapsed="false">
      <c r="A46" s="37" t="n">
        <v>43</v>
      </c>
      <c r="B46" s="32" t="s">
        <v>278</v>
      </c>
      <c r="C46" s="32" t="s">
        <v>279</v>
      </c>
      <c r="D46" s="62" t="s">
        <v>248</v>
      </c>
      <c r="E46" s="63" t="n">
        <f aca="false">3_Calc_From_Gross!E48</f>
        <v>1875</v>
      </c>
      <c r="F46" s="57" t="n">
        <f aca="false">3_Calc_From_Gross!T48</f>
        <v>4080</v>
      </c>
      <c r="G46" s="57" t="n">
        <f aca="false">3_Calc_From_Gross!AI48</f>
        <v>5292</v>
      </c>
      <c r="H46" s="57" t="n">
        <f aca="false">3_Calc_From_Gross!AX48</f>
        <v>14000</v>
      </c>
      <c r="I46" s="57" t="n">
        <f aca="false">3_Calc_From_Gross!BM48</f>
        <v>6121</v>
      </c>
      <c r="J46" s="57" t="n">
        <f aca="false">3_Calc_From_Gross!CB48</f>
        <v>6591</v>
      </c>
      <c r="K46" s="57" t="n">
        <f aca="false">3_Calc_From_Gross!CQ48</f>
        <v>3202</v>
      </c>
      <c r="L46" s="57" t="n">
        <f aca="false">3_Calc_From_Gross!DF48</f>
        <v>4144</v>
      </c>
      <c r="M46" s="57" t="n">
        <f aca="false">3_Calc_From_Gross!DU48</f>
        <v>2750</v>
      </c>
    </row>
    <row r="47" customFormat="false" ht="15" hidden="false" customHeight="false" outlineLevel="0" collapsed="false">
      <c r="A47" s="41" t="n">
        <v>44</v>
      </c>
      <c r="B47" s="28" t="s">
        <v>278</v>
      </c>
      <c r="C47" s="8" t="s">
        <v>279</v>
      </c>
      <c r="D47" s="65" t="s">
        <v>249</v>
      </c>
      <c r="E47" s="63" t="n">
        <f aca="false">3_Calc_From_Gross!E49</f>
        <v>4600</v>
      </c>
      <c r="F47" s="60" t="n">
        <f aca="false">3_Calc_From_Gross!T49</f>
        <v>6630</v>
      </c>
      <c r="G47" s="60" t="n">
        <f aca="false">3_Calc_From_Gross!AI49</f>
        <v>7938</v>
      </c>
      <c r="H47" s="60" t="n">
        <f aca="false">3_Calc_From_Gross!AX49</f>
        <v>16150</v>
      </c>
      <c r="I47" s="60" t="n">
        <f aca="false">3_Calc_From_Gross!BM49</f>
        <v>8475</v>
      </c>
      <c r="J47" s="60" t="n">
        <f aca="false">3_Calc_From_Gross!CB49</f>
        <v>9511</v>
      </c>
      <c r="K47" s="60" t="n">
        <f aca="false">3_Calc_From_Gross!CQ49</f>
        <v>5009</v>
      </c>
      <c r="L47" s="60" t="n">
        <f aca="false">3_Calc_From_Gross!DF49</f>
        <v>6404</v>
      </c>
      <c r="M47" s="60" t="n">
        <f aca="false">3_Calc_From_Gross!DU49</f>
        <v>4480</v>
      </c>
    </row>
    <row r="48" customFormat="false" ht="15" hidden="false" customHeight="false" outlineLevel="0" collapsed="false">
      <c r="A48" s="37" t="n">
        <v>45</v>
      </c>
      <c r="B48" s="32" t="s">
        <v>280</v>
      </c>
      <c r="C48" s="32" t="s">
        <v>281</v>
      </c>
      <c r="D48" s="62" t="s">
        <v>248</v>
      </c>
      <c r="E48" s="63" t="n">
        <f aca="false">3_Calc_From_Gross!E50</f>
        <v>1725</v>
      </c>
      <c r="F48" s="57" t="n">
        <f aca="false">3_Calc_From_Gross!T50</f>
        <v>3825</v>
      </c>
      <c r="G48" s="57" t="n">
        <f aca="false">3_Calc_From_Gross!AI50</f>
        <v>5820</v>
      </c>
      <c r="H48" s="57" t="n">
        <f aca="false">3_Calc_From_Gross!AX50</f>
        <v>15000</v>
      </c>
      <c r="I48" s="57" t="n">
        <f aca="false">3_Calc_From_Gross!BM50</f>
        <v>5744</v>
      </c>
      <c r="J48" s="57" t="n">
        <f aca="false">3_Calc_From_Gross!CB50</f>
        <v>6404</v>
      </c>
      <c r="K48" s="57" t="n">
        <f aca="false">3_Calc_From_Gross!CQ50</f>
        <v>3095</v>
      </c>
      <c r="L48" s="57" t="n">
        <f aca="false">3_Calc_From_Gross!DF50</f>
        <v>3955</v>
      </c>
      <c r="M48" s="57" t="n">
        <f aca="false">3_Calc_From_Gross!DU50</f>
        <v>2583</v>
      </c>
    </row>
    <row r="49" customFormat="false" ht="15" hidden="false" customHeight="false" outlineLevel="0" collapsed="false">
      <c r="A49" s="41" t="n">
        <v>46</v>
      </c>
      <c r="B49" s="28" t="s">
        <v>280</v>
      </c>
      <c r="C49" s="8" t="s">
        <v>281</v>
      </c>
      <c r="D49" s="65" t="s">
        <v>249</v>
      </c>
      <c r="E49" s="63" t="n">
        <f aca="false">3_Calc_From_Gross!E51</f>
        <v>4250</v>
      </c>
      <c r="F49" s="60" t="n">
        <f aca="false">3_Calc_From_Gross!T51</f>
        <v>6375</v>
      </c>
      <c r="G49" s="60" t="n">
        <f aca="false">3_Calc_From_Gross!AI51</f>
        <v>8467</v>
      </c>
      <c r="H49" s="60" t="n">
        <f aca="false">3_Calc_From_Gross!AX51</f>
        <v>17850</v>
      </c>
      <c r="I49" s="60" t="n">
        <f aca="false">3_Calc_From_Gross!BM51</f>
        <v>7910</v>
      </c>
      <c r="J49" s="60" t="n">
        <f aca="false">3_Calc_From_Gross!CB51</f>
        <v>9417</v>
      </c>
      <c r="K49" s="60" t="n">
        <f aca="false">3_Calc_From_Gross!CQ51</f>
        <v>4898</v>
      </c>
      <c r="L49" s="60" t="n">
        <f aca="false">3_Calc_From_Gross!DF51</f>
        <v>6215</v>
      </c>
      <c r="M49" s="60" t="n">
        <f aca="false">3_Calc_From_Gross!DU51</f>
        <v>4293</v>
      </c>
    </row>
    <row r="50" customFormat="false" ht="18" hidden="false" customHeight="true" outlineLevel="0" collapsed="false">
      <c r="A50" s="98" t="s">
        <v>955</v>
      </c>
      <c r="B50" s="98"/>
      <c r="C50" s="98"/>
      <c r="D50" s="98"/>
      <c r="E50" s="99" t="n">
        <f aca="false">AVERAGE(E4:E49)</f>
        <v>2879.63043478261</v>
      </c>
      <c r="F50" s="99" t="n">
        <f aca="false">AVERAGE(F4:F49)</f>
        <v>4761.9347826087</v>
      </c>
      <c r="G50" s="99" t="n">
        <f aca="false">AVERAGE(G4:G49)</f>
        <v>6326.95652173913</v>
      </c>
      <c r="H50" s="99" t="n">
        <f aca="false">AVERAGE(H4:H49)</f>
        <v>12710.4347826087</v>
      </c>
      <c r="I50" s="99" t="n">
        <f aca="false">AVERAGE(I4:I49)</f>
        <v>6660.19565217391</v>
      </c>
      <c r="J50" s="99" t="n">
        <f aca="false">AVERAGE(J4:J49)</f>
        <v>7566.13043478261</v>
      </c>
      <c r="K50" s="99" t="n">
        <f aca="false">AVERAGE(K4:K49)</f>
        <v>3692.95652173913</v>
      </c>
      <c r="L50" s="99" t="n">
        <f aca="false">AVERAGE(L4:L49)</f>
        <v>4818.89130434783</v>
      </c>
      <c r="M50" s="99" t="n">
        <f aca="false">AVERAGE(M4:M49)</f>
        <v>3128.47826086957</v>
      </c>
    </row>
  </sheetData>
  <mergeCells count="3">
    <mergeCell ref="A1:M1"/>
    <mergeCell ref="A2:M2"/>
    <mergeCell ref="A50:D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"/>
    <col collapsed="false" customWidth="true" hidden="false" outlineLevel="0" max="3" min="3" style="1" width="18"/>
    <col collapsed="false" customWidth="true" hidden="false" outlineLevel="0" max="4" min="4" style="1" width="9"/>
    <col collapsed="false" customWidth="true" hidden="false" outlineLevel="0" max="13" min="5" style="1" width="13"/>
  </cols>
  <sheetData>
    <row r="1" customFormat="false" ht="25.5" hidden="false" customHeight="true" outlineLevel="0" collapsed="false">
      <c r="A1" s="35" t="s">
        <v>956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customFormat="false" ht="15" hidden="false" customHeight="true" outlineLevel="0" collapsed="false">
      <c r="A2" s="44" t="s">
        <v>957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customFormat="false" ht="31.5" hidden="false" customHeight="true" outlineLevel="0" collapsed="false">
      <c r="A3" s="14" t="s">
        <v>233</v>
      </c>
      <c r="B3" s="14" t="s">
        <v>284</v>
      </c>
      <c r="C3" s="14" t="s">
        <v>235</v>
      </c>
      <c r="D3" s="14" t="s">
        <v>236</v>
      </c>
      <c r="E3" s="49" t="s">
        <v>946</v>
      </c>
      <c r="F3" s="45" t="s">
        <v>947</v>
      </c>
      <c r="G3" s="45" t="s">
        <v>948</v>
      </c>
      <c r="H3" s="45" t="s">
        <v>949</v>
      </c>
      <c r="I3" s="45" t="s">
        <v>950</v>
      </c>
      <c r="J3" s="45" t="s">
        <v>951</v>
      </c>
      <c r="K3" s="45" t="s">
        <v>952</v>
      </c>
      <c r="L3" s="45" t="s">
        <v>953</v>
      </c>
      <c r="M3" s="45" t="s">
        <v>954</v>
      </c>
    </row>
    <row r="4" customFormat="false" ht="15" hidden="false" customHeight="false" outlineLevel="0" collapsed="false">
      <c r="A4" s="37" t="n">
        <v>1</v>
      </c>
      <c r="B4" s="32" t="s">
        <v>246</v>
      </c>
      <c r="C4" s="32" t="s">
        <v>247</v>
      </c>
      <c r="D4" s="62" t="s">
        <v>248</v>
      </c>
      <c r="E4" s="63" t="n">
        <f aca="false">3_Calc_From_Gross!F6</f>
        <v>1402.5</v>
      </c>
      <c r="F4" s="57" t="n">
        <f aca="false">3_Calc_From_Gross!U6</f>
        <v>2841.5925</v>
      </c>
      <c r="G4" s="57" t="n">
        <f aca="false">3_Calc_From_Gross!AJ6</f>
        <v>3810.24</v>
      </c>
      <c r="H4" s="57" t="n">
        <f aca="false">3_Calc_From_Gross!AY6</f>
        <v>7738.5</v>
      </c>
      <c r="I4" s="57" t="n">
        <f aca="false">3_Calc_From_Gross!BN6</f>
        <v>2986.109</v>
      </c>
      <c r="J4" s="57" t="n">
        <f aca="false">3_Calc_From_Gross!CC6</f>
        <v>4036.4412</v>
      </c>
      <c r="K4" s="57" t="n">
        <f aca="false">3_Calc_From_Gross!CR6</f>
        <v>2290.3</v>
      </c>
      <c r="L4" s="57" t="n">
        <f aca="false">3_Calc_From_Gross!DG6</f>
        <v>2610.3</v>
      </c>
      <c r="M4" s="57" t="n">
        <f aca="false">3_Calc_From_Gross!DV6</f>
        <v>1625</v>
      </c>
    </row>
    <row r="5" customFormat="false" ht="15" hidden="false" customHeight="false" outlineLevel="0" collapsed="false">
      <c r="A5" s="41" t="n">
        <v>2</v>
      </c>
      <c r="B5" s="28" t="s">
        <v>246</v>
      </c>
      <c r="C5" s="8" t="s">
        <v>247</v>
      </c>
      <c r="D5" s="65" t="s">
        <v>249</v>
      </c>
      <c r="E5" s="63" t="n">
        <f aca="false">3_Calc_From_Gross!F7</f>
        <v>4441.25</v>
      </c>
      <c r="F5" s="60" t="n">
        <f aca="false">3_Calc_From_Gross!U7</f>
        <v>4735.9875</v>
      </c>
      <c r="G5" s="60" t="n">
        <f aca="false">3_Calc_From_Gross!AJ7</f>
        <v>5715.36</v>
      </c>
      <c r="H5" s="60" t="n">
        <f aca="false">3_Calc_From_Gross!AY7</f>
        <v>9866.5875</v>
      </c>
      <c r="I5" s="60" t="n">
        <f aca="false">3_Calc_From_Gross!BN7</f>
        <v>4272.6495</v>
      </c>
      <c r="J5" s="60" t="n">
        <f aca="false">3_Calc_From_Gross!CC7</f>
        <v>5935.5351</v>
      </c>
      <c r="K5" s="60" t="n">
        <f aca="false">3_Calc_From_Gross!CR7</f>
        <v>3706.66</v>
      </c>
      <c r="L5" s="60" t="n">
        <f aca="false">3_Calc_From_Gross!DG7</f>
        <v>4101.9</v>
      </c>
      <c r="M5" s="60" t="n">
        <f aca="false">3_Calc_From_Gross!DV7</f>
        <v>2730</v>
      </c>
    </row>
    <row r="6" customFormat="false" ht="15" hidden="false" customHeight="false" outlineLevel="0" collapsed="false">
      <c r="A6" s="37" t="n">
        <v>3</v>
      </c>
      <c r="B6" s="32" t="s">
        <v>246</v>
      </c>
      <c r="C6" s="32" t="s">
        <v>250</v>
      </c>
      <c r="D6" s="62" t="s">
        <v>248</v>
      </c>
      <c r="E6" s="63" t="n">
        <f aca="false">3_Calc_From_Gross!F8</f>
        <v>1496</v>
      </c>
      <c r="F6" s="57" t="n">
        <f aca="false">3_Calc_From_Gross!U8</f>
        <v>2841.5925</v>
      </c>
      <c r="G6" s="57" t="n">
        <f aca="false">3_Calc_From_Gross!AJ8</f>
        <v>3810.24</v>
      </c>
      <c r="H6" s="57" t="n">
        <f aca="false">3_Calc_From_Gross!AY8</f>
        <v>7738.5</v>
      </c>
      <c r="I6" s="57" t="n">
        <f aca="false">3_Calc_From_Gross!BN8</f>
        <v>2946.475</v>
      </c>
      <c r="J6" s="57" t="n">
        <f aca="false">3_Calc_From_Gross!CC8</f>
        <v>3858.0663</v>
      </c>
      <c r="K6" s="57" t="n">
        <f aca="false">3_Calc_From_Gross!CR8</f>
        <v>2171.9</v>
      </c>
      <c r="L6" s="57" t="n">
        <f aca="false">3_Calc_From_Gross!DG8</f>
        <v>2485.56</v>
      </c>
      <c r="M6" s="57" t="n">
        <f aca="false">3_Calc_From_Gross!DV8</f>
        <v>1625</v>
      </c>
    </row>
    <row r="7" customFormat="false" ht="15" hidden="false" customHeight="false" outlineLevel="0" collapsed="false">
      <c r="A7" s="41" t="n">
        <v>4</v>
      </c>
      <c r="B7" s="28" t="s">
        <v>246</v>
      </c>
      <c r="C7" s="8" t="s">
        <v>250</v>
      </c>
      <c r="D7" s="65" t="s">
        <v>249</v>
      </c>
      <c r="E7" s="63" t="n">
        <f aca="false">3_Calc_From_Gross!F9</f>
        <v>4207.5</v>
      </c>
      <c r="F7" s="60" t="n">
        <f aca="false">3_Calc_From_Gross!U9</f>
        <v>4735.9875</v>
      </c>
      <c r="G7" s="60" t="n">
        <f aca="false">3_Calc_From_Gross!AJ9</f>
        <v>5333.04</v>
      </c>
      <c r="H7" s="60" t="n">
        <f aca="false">3_Calc_From_Gross!AY9</f>
        <v>9567.6</v>
      </c>
      <c r="I7" s="60" t="n">
        <f aca="false">3_Calc_From_Gross!BN9</f>
        <v>4125.065</v>
      </c>
      <c r="J7" s="60" t="n">
        <f aca="false">3_Calc_From_Gross!CC9</f>
        <v>5697.912</v>
      </c>
      <c r="K7" s="60" t="n">
        <f aca="false">3_Calc_From_Gross!CR9</f>
        <v>3500.94</v>
      </c>
      <c r="L7" s="60" t="n">
        <f aca="false">3_Calc_From_Gross!DG9</f>
        <v>3853.74</v>
      </c>
      <c r="M7" s="60" t="n">
        <f aca="false">3_Calc_From_Gross!DV9</f>
        <v>2548</v>
      </c>
    </row>
    <row r="8" customFormat="false" ht="15" hidden="false" customHeight="false" outlineLevel="0" collapsed="false">
      <c r="A8" s="37" t="n">
        <v>5</v>
      </c>
      <c r="B8" s="32" t="s">
        <v>246</v>
      </c>
      <c r="C8" s="32" t="s">
        <v>251</v>
      </c>
      <c r="D8" s="62" t="s">
        <v>248</v>
      </c>
      <c r="E8" s="63" t="n">
        <f aca="false">3_Calc_From_Gross!F10</f>
        <v>1391.28</v>
      </c>
      <c r="F8" s="57" t="n">
        <f aca="false">3_Calc_From_Gross!U10</f>
        <v>2841.5925</v>
      </c>
      <c r="G8" s="57" t="n">
        <f aca="false">3_Calc_From_Gross!AJ10</f>
        <v>4190.4</v>
      </c>
      <c r="H8" s="57" t="n">
        <f aca="false">3_Calc_From_Gross!AY10</f>
        <v>8090.25</v>
      </c>
      <c r="I8" s="57" t="n">
        <f aca="false">3_Calc_From_Gross!BN10</f>
        <v>2995.496</v>
      </c>
      <c r="J8" s="57" t="n">
        <f aca="false">3_Calc_From_Gross!CC10</f>
        <v>3917.3145</v>
      </c>
      <c r="K8" s="57" t="n">
        <f aca="false">3_Calc_From_Gross!CR10</f>
        <v>2211.12</v>
      </c>
      <c r="L8" s="57" t="n">
        <f aca="false">3_Calc_From_Gross!DG10</f>
        <v>2610.3</v>
      </c>
      <c r="M8" s="57" t="n">
        <f aca="false">3_Calc_From_Gross!DV10</f>
        <v>1625</v>
      </c>
    </row>
    <row r="9" customFormat="false" ht="15" hidden="false" customHeight="false" outlineLevel="0" collapsed="false">
      <c r="A9" s="41" t="n">
        <v>6</v>
      </c>
      <c r="B9" s="28" t="s">
        <v>246</v>
      </c>
      <c r="C9" s="8" t="s">
        <v>251</v>
      </c>
      <c r="D9" s="65" t="s">
        <v>249</v>
      </c>
      <c r="E9" s="63" t="n">
        <f aca="false">3_Calc_From_Gross!F11</f>
        <v>4207.5</v>
      </c>
      <c r="F9" s="60" t="n">
        <f aca="false">3_Calc_From_Gross!U11</f>
        <v>4735.9875</v>
      </c>
      <c r="G9" s="60" t="n">
        <f aca="false">3_Calc_From_Gross!AJ11</f>
        <v>6096.24</v>
      </c>
      <c r="H9" s="60" t="n">
        <f aca="false">3_Calc_From_Gross!AY11</f>
        <v>10165.575</v>
      </c>
      <c r="I9" s="60" t="n">
        <f aca="false">3_Calc_From_Gross!BN11</f>
        <v>4321.149</v>
      </c>
      <c r="J9" s="60" t="n">
        <f aca="false">3_Calc_From_Gross!CC11</f>
        <v>5817.0387</v>
      </c>
      <c r="K9" s="60" t="n">
        <f aca="false">3_Calc_From_Gross!CR11</f>
        <v>3500.94</v>
      </c>
      <c r="L9" s="60" t="n">
        <f aca="false">3_Calc_From_Gross!DG11</f>
        <v>4101.9</v>
      </c>
      <c r="M9" s="60" t="n">
        <f aca="false">3_Calc_From_Gross!DV11</f>
        <v>2730</v>
      </c>
    </row>
    <row r="10" customFormat="false" ht="15" hidden="false" customHeight="false" outlineLevel="0" collapsed="false">
      <c r="A10" s="37" t="n">
        <v>7</v>
      </c>
      <c r="B10" s="32" t="s">
        <v>246</v>
      </c>
      <c r="C10" s="32" t="s">
        <v>252</v>
      </c>
      <c r="D10" s="62" t="s">
        <v>248</v>
      </c>
      <c r="E10" s="63" t="n">
        <f aca="false">3_Calc_From_Gross!F12</f>
        <v>1402.5</v>
      </c>
      <c r="F10" s="57" t="n">
        <f aca="false">3_Calc_From_Gross!U12</f>
        <v>2841.5925</v>
      </c>
      <c r="G10" s="57" t="n">
        <f aca="false">3_Calc_From_Gross!AJ12</f>
        <v>3810.24</v>
      </c>
      <c r="H10" s="57" t="n">
        <f aca="false">3_Calc_From_Gross!AY12</f>
        <v>7738.5</v>
      </c>
      <c r="I10" s="57" t="n">
        <f aca="false">3_Calc_From_Gross!BN12</f>
        <v>2986.109</v>
      </c>
      <c r="J10" s="57" t="n">
        <f aca="false">3_Calc_From_Gross!CC12</f>
        <v>4036.4412</v>
      </c>
      <c r="K10" s="57" t="n">
        <f aca="false">3_Calc_From_Gross!CR12</f>
        <v>2290.3</v>
      </c>
      <c r="L10" s="57" t="n">
        <f aca="false">3_Calc_From_Gross!DG12</f>
        <v>2610.3</v>
      </c>
      <c r="M10" s="57" t="n">
        <f aca="false">3_Calc_From_Gross!DV12</f>
        <v>1625</v>
      </c>
    </row>
    <row r="11" customFormat="false" ht="15" hidden="false" customHeight="false" outlineLevel="0" collapsed="false">
      <c r="A11" s="41" t="n">
        <v>8</v>
      </c>
      <c r="B11" s="28" t="s">
        <v>246</v>
      </c>
      <c r="C11" s="8" t="s">
        <v>252</v>
      </c>
      <c r="D11" s="65" t="s">
        <v>249</v>
      </c>
      <c r="E11" s="63" t="n">
        <f aca="false">3_Calc_From_Gross!F13</f>
        <v>4441.25</v>
      </c>
      <c r="F11" s="60" t="n">
        <f aca="false">3_Calc_From_Gross!U13</f>
        <v>4735.9875</v>
      </c>
      <c r="G11" s="60" t="n">
        <f aca="false">3_Calc_From_Gross!AJ13</f>
        <v>5715.36</v>
      </c>
      <c r="H11" s="60" t="n">
        <f aca="false">3_Calc_From_Gross!AY13</f>
        <v>9866.5875</v>
      </c>
      <c r="I11" s="60" t="n">
        <f aca="false">3_Calc_From_Gross!BN13</f>
        <v>4272.6495</v>
      </c>
      <c r="J11" s="60" t="n">
        <f aca="false">3_Calc_From_Gross!CC13</f>
        <v>5935.5351</v>
      </c>
      <c r="K11" s="60" t="n">
        <f aca="false">3_Calc_From_Gross!CR13</f>
        <v>3706.66</v>
      </c>
      <c r="L11" s="60" t="n">
        <f aca="false">3_Calc_From_Gross!DG13</f>
        <v>4101.9</v>
      </c>
      <c r="M11" s="60" t="n">
        <f aca="false">3_Calc_From_Gross!DV13</f>
        <v>2730</v>
      </c>
    </row>
    <row r="12" customFormat="false" ht="15" hidden="false" customHeight="false" outlineLevel="0" collapsed="false">
      <c r="A12" s="37" t="n">
        <v>9</v>
      </c>
      <c r="B12" s="32" t="s">
        <v>253</v>
      </c>
      <c r="C12" s="32" t="s">
        <v>254</v>
      </c>
      <c r="D12" s="62" t="s">
        <v>248</v>
      </c>
      <c r="E12" s="63" t="n">
        <f aca="false">3_Calc_From_Gross!F14</f>
        <v>1402.5</v>
      </c>
      <c r="F12" s="57" t="n">
        <f aca="false">3_Calc_From_Gross!U14</f>
        <v>2841.5925</v>
      </c>
      <c r="G12" s="57" t="n">
        <f aca="false">3_Calc_From_Gross!AJ14</f>
        <v>3810.24</v>
      </c>
      <c r="H12" s="57" t="n">
        <f aca="false">3_Calc_From_Gross!AY14</f>
        <v>8090.25</v>
      </c>
      <c r="I12" s="57" t="n">
        <f aca="false">3_Calc_From_Gross!BN14</f>
        <v>2986.109</v>
      </c>
      <c r="J12" s="57" t="n">
        <f aca="false">3_Calc_From_Gross!CC14</f>
        <v>4036.4412</v>
      </c>
      <c r="K12" s="57" t="n">
        <f aca="false">3_Calc_From_Gross!CR14</f>
        <v>2290.3</v>
      </c>
      <c r="L12" s="57" t="n">
        <f aca="false">3_Calc_From_Gross!DG14</f>
        <v>2610.3</v>
      </c>
      <c r="M12" s="57" t="n">
        <f aca="false">3_Calc_From_Gross!DV14</f>
        <v>1625</v>
      </c>
    </row>
    <row r="13" customFormat="false" ht="15" hidden="false" customHeight="false" outlineLevel="0" collapsed="false">
      <c r="A13" s="41" t="n">
        <v>10</v>
      </c>
      <c r="B13" s="28" t="s">
        <v>253</v>
      </c>
      <c r="C13" s="8" t="s">
        <v>254</v>
      </c>
      <c r="D13" s="65" t="s">
        <v>249</v>
      </c>
      <c r="E13" s="63" t="n">
        <f aca="false">3_Calc_From_Gross!F15</f>
        <v>4441.25</v>
      </c>
      <c r="F13" s="60" t="n">
        <f aca="false">3_Calc_From_Gross!U15</f>
        <v>4735.9875</v>
      </c>
      <c r="G13" s="60" t="n">
        <f aca="false">3_Calc_From_Gross!AJ15</f>
        <v>5715.36</v>
      </c>
      <c r="H13" s="60" t="n">
        <f aca="false">3_Calc_From_Gross!AY15</f>
        <v>10165.575</v>
      </c>
      <c r="I13" s="60" t="n">
        <f aca="false">3_Calc_From_Gross!BN15</f>
        <v>4272.6495</v>
      </c>
      <c r="J13" s="60" t="n">
        <f aca="false">3_Calc_From_Gross!CC15</f>
        <v>5935.5351</v>
      </c>
      <c r="K13" s="60" t="n">
        <f aca="false">3_Calc_From_Gross!CR15</f>
        <v>3706.66</v>
      </c>
      <c r="L13" s="60" t="n">
        <f aca="false">3_Calc_From_Gross!DG15</f>
        <v>4101.9</v>
      </c>
      <c r="M13" s="60" t="n">
        <f aca="false">3_Calc_From_Gross!DV15</f>
        <v>2730</v>
      </c>
    </row>
    <row r="14" customFormat="false" ht="15" hidden="false" customHeight="false" outlineLevel="0" collapsed="false">
      <c r="A14" s="37" t="n">
        <v>11</v>
      </c>
      <c r="B14" s="32" t="s">
        <v>253</v>
      </c>
      <c r="C14" s="32" t="s">
        <v>255</v>
      </c>
      <c r="D14" s="62" t="s">
        <v>248</v>
      </c>
      <c r="E14" s="63" t="n">
        <f aca="false">3_Calc_From_Gross!F16</f>
        <v>1496</v>
      </c>
      <c r="F14" s="57" t="n">
        <f aca="false">3_Calc_From_Gross!U16</f>
        <v>2652.153</v>
      </c>
      <c r="G14" s="57" t="n">
        <f aca="false">3_Calc_From_Gross!AJ16</f>
        <v>3429.36</v>
      </c>
      <c r="H14" s="57" t="n">
        <f aca="false">3_Calc_From_Gross!AY16</f>
        <v>7738.5</v>
      </c>
      <c r="I14" s="57" t="n">
        <f aca="false">3_Calc_From_Gross!BN16</f>
        <v>2897.454</v>
      </c>
      <c r="J14" s="57" t="n">
        <f aca="false">3_Calc_From_Gross!CC16</f>
        <v>3858.0663</v>
      </c>
      <c r="K14" s="57" t="n">
        <f aca="false">3_Calc_From_Gross!CR16</f>
        <v>2131.94</v>
      </c>
      <c r="L14" s="57" t="n">
        <f aca="false">3_Calc_From_Gross!DG16</f>
        <v>2485.56</v>
      </c>
      <c r="M14" s="57" t="n">
        <f aca="false">3_Calc_From_Gross!DV16</f>
        <v>1516.45</v>
      </c>
    </row>
    <row r="15" customFormat="false" ht="15" hidden="false" customHeight="false" outlineLevel="0" collapsed="false">
      <c r="A15" s="41" t="n">
        <v>12</v>
      </c>
      <c r="B15" s="28" t="s">
        <v>253</v>
      </c>
      <c r="C15" s="8" t="s">
        <v>255</v>
      </c>
      <c r="D15" s="65" t="s">
        <v>249</v>
      </c>
      <c r="E15" s="63" t="n">
        <f aca="false">3_Calc_From_Gross!F17</f>
        <v>4207.5</v>
      </c>
      <c r="F15" s="60" t="n">
        <f aca="false">3_Calc_From_Gross!U17</f>
        <v>4546.548</v>
      </c>
      <c r="G15" s="60" t="n">
        <f aca="false">3_Calc_From_Gross!AJ17</f>
        <v>4952.88</v>
      </c>
      <c r="H15" s="60" t="n">
        <f aca="false">3_Calc_From_Gross!AY17</f>
        <v>9268.6125</v>
      </c>
      <c r="I15" s="60" t="n">
        <f aca="false">3_Calc_From_Gross!BN17</f>
        <v>3978.002</v>
      </c>
      <c r="J15" s="60" t="n">
        <f aca="false">3_Calc_From_Gross!CC17</f>
        <v>5460.2889</v>
      </c>
      <c r="K15" s="60" t="n">
        <f aca="false">3_Calc_From_Gross!CR17</f>
        <v>3377.36</v>
      </c>
      <c r="L15" s="60" t="n">
        <f aca="false">3_Calc_From_Gross!DG17</f>
        <v>3729</v>
      </c>
      <c r="M15" s="60" t="n">
        <f aca="false">3_Calc_From_Gross!DV17</f>
        <v>2426.45</v>
      </c>
    </row>
    <row r="16" customFormat="false" ht="15" hidden="false" customHeight="false" outlineLevel="0" collapsed="false">
      <c r="A16" s="37" t="n">
        <v>13</v>
      </c>
      <c r="B16" s="32" t="s">
        <v>253</v>
      </c>
      <c r="C16" s="32" t="s">
        <v>256</v>
      </c>
      <c r="D16" s="62" t="s">
        <v>248</v>
      </c>
      <c r="E16" s="63" t="n">
        <f aca="false">3_Calc_From_Gross!F18</f>
        <v>1168.75</v>
      </c>
      <c r="F16" s="57" t="n">
        <f aca="false">3_Calc_From_Gross!U18</f>
        <v>2462.7135</v>
      </c>
      <c r="G16" s="57" t="n">
        <f aca="false">3_Calc_From_Gross!AJ18</f>
        <v>3238.56</v>
      </c>
      <c r="H16" s="57" t="n">
        <f aca="false">3_Calc_From_Gross!AY18</f>
        <v>6331.5</v>
      </c>
      <c r="I16" s="57" t="n">
        <f aca="false">3_Calc_From_Gross!BN18</f>
        <v>2602.8065</v>
      </c>
      <c r="J16" s="57" t="n">
        <f aca="false">3_Calc_From_Gross!CC18</f>
        <v>3442.0683</v>
      </c>
      <c r="K16" s="57" t="n">
        <f aca="false">3_Calc_From_Gross!CR18</f>
        <v>1895.14</v>
      </c>
      <c r="L16" s="57" t="n">
        <f aca="false">3_Calc_From_Gross!DG18</f>
        <v>2237.4</v>
      </c>
      <c r="M16" s="57" t="n">
        <f aca="false">3_Calc_From_Gross!DV18</f>
        <v>1353.95</v>
      </c>
    </row>
    <row r="17" customFormat="false" ht="15" hidden="false" customHeight="false" outlineLevel="0" collapsed="false">
      <c r="A17" s="41" t="n">
        <v>14</v>
      </c>
      <c r="B17" s="28" t="s">
        <v>253</v>
      </c>
      <c r="C17" s="8" t="s">
        <v>256</v>
      </c>
      <c r="D17" s="65" t="s">
        <v>249</v>
      </c>
      <c r="E17" s="63" t="n">
        <f aca="false">3_Calc_From_Gross!F19</f>
        <v>3038.75</v>
      </c>
      <c r="F17" s="60" t="n">
        <f aca="false">3_Calc_From_Gross!U19</f>
        <v>3788.79</v>
      </c>
      <c r="G17" s="60" t="n">
        <f aca="false">3_Calc_From_Gross!AJ19</f>
        <v>4572</v>
      </c>
      <c r="H17" s="60" t="n">
        <f aca="false">3_Calc_From_Gross!AY19</f>
        <v>7773.675</v>
      </c>
      <c r="I17" s="60" t="n">
        <f aca="false">3_Calc_From_Gross!BN19</f>
        <v>3683.3545</v>
      </c>
      <c r="J17" s="60" t="n">
        <f aca="false">3_Calc_From_Gross!CC19</f>
        <v>4866.5463</v>
      </c>
      <c r="K17" s="60" t="n">
        <f aca="false">3_Calc_From_Gross!CR19</f>
        <v>2965.92</v>
      </c>
      <c r="L17" s="60" t="n">
        <f aca="false">3_Calc_From_Gross!DG19</f>
        <v>3356.1</v>
      </c>
      <c r="M17" s="60" t="n">
        <f aca="false">3_Calc_From_Gross!DV19</f>
        <v>2184</v>
      </c>
    </row>
    <row r="18" customFormat="false" ht="15" hidden="false" customHeight="false" outlineLevel="0" collapsed="false">
      <c r="A18" s="37" t="n">
        <v>15</v>
      </c>
      <c r="B18" s="32" t="s">
        <v>253</v>
      </c>
      <c r="C18" s="32" t="s">
        <v>257</v>
      </c>
      <c r="D18" s="62" t="s">
        <v>248</v>
      </c>
      <c r="E18" s="63" t="n">
        <f aca="false">3_Calc_From_Gross!F20</f>
        <v>1355.75</v>
      </c>
      <c r="F18" s="57" t="n">
        <f aca="false">3_Calc_From_Gross!U20</f>
        <v>2747.2442</v>
      </c>
      <c r="G18" s="57" t="n">
        <f aca="false">3_Calc_From_Gross!AJ20</f>
        <v>3810.24</v>
      </c>
      <c r="H18" s="57" t="n">
        <f aca="false">3_Calc_From_Gross!AY20</f>
        <v>7738.5</v>
      </c>
      <c r="I18" s="57" t="n">
        <f aca="false">3_Calc_From_Gross!BN20</f>
        <v>2897.454</v>
      </c>
      <c r="J18" s="57" t="n">
        <f aca="false">3_Calc_From_Gross!CC20</f>
        <v>3798.1878</v>
      </c>
      <c r="K18" s="57" t="n">
        <f aca="false">3_Calc_From_Gross!CR20</f>
        <v>2171.9</v>
      </c>
      <c r="L18" s="57" t="n">
        <f aca="false">3_Calc_From_Gross!DG20</f>
        <v>2485.56</v>
      </c>
      <c r="M18" s="57" t="n">
        <f aca="false">3_Calc_From_Gross!DV20</f>
        <v>1516.45</v>
      </c>
    </row>
    <row r="19" customFormat="false" ht="15" hidden="false" customHeight="false" outlineLevel="0" collapsed="false">
      <c r="A19" s="41" t="n">
        <v>16</v>
      </c>
      <c r="B19" s="28" t="s">
        <v>253</v>
      </c>
      <c r="C19" s="8" t="s">
        <v>257</v>
      </c>
      <c r="D19" s="65" t="s">
        <v>249</v>
      </c>
      <c r="E19" s="63" t="n">
        <f aca="false">3_Calc_From_Gross!F21</f>
        <v>4160.75</v>
      </c>
      <c r="F19" s="60" t="n">
        <f aca="false">3_Calc_From_Gross!U21</f>
        <v>4546.548</v>
      </c>
      <c r="G19" s="60" t="n">
        <f aca="false">3_Calc_From_Gross!AJ21</f>
        <v>5715.36</v>
      </c>
      <c r="H19" s="60" t="n">
        <f aca="false">3_Calc_From_Gross!AY21</f>
        <v>9567.6</v>
      </c>
      <c r="I19" s="60" t="n">
        <f aca="false">3_Calc_From_Gross!BN21</f>
        <v>4125.065</v>
      </c>
      <c r="J19" s="60" t="n">
        <f aca="false">3_Calc_From_Gross!CC21</f>
        <v>5638.6638</v>
      </c>
      <c r="K19" s="60" t="n">
        <f aca="false">3_Calc_From_Gross!CR21</f>
        <v>3500.94</v>
      </c>
      <c r="L19" s="60" t="n">
        <f aca="false">3_Calc_From_Gross!DG21</f>
        <v>3853.74</v>
      </c>
      <c r="M19" s="60" t="n">
        <f aca="false">3_Calc_From_Gross!DV21</f>
        <v>2426.45</v>
      </c>
    </row>
    <row r="20" customFormat="false" ht="15" hidden="false" customHeight="false" outlineLevel="0" collapsed="false">
      <c r="A20" s="37" t="n">
        <v>17</v>
      </c>
      <c r="B20" s="32" t="s">
        <v>253</v>
      </c>
      <c r="C20" s="32" t="s">
        <v>258</v>
      </c>
      <c r="D20" s="62" t="s">
        <v>248</v>
      </c>
      <c r="E20" s="63" t="n">
        <f aca="false">3_Calc_From_Gross!F22</f>
        <v>1391.28</v>
      </c>
      <c r="F20" s="57" t="n">
        <f aca="false">3_Calc_From_Gross!U22</f>
        <v>2747.2442</v>
      </c>
      <c r="G20" s="57" t="n">
        <f aca="false">3_Calc_From_Gross!AJ22</f>
        <v>4190.4</v>
      </c>
      <c r="H20" s="57" t="n">
        <f aca="false">3_Calc_From_Gross!AY22</f>
        <v>8090.25</v>
      </c>
      <c r="I20" s="57" t="n">
        <f aca="false">3_Calc_From_Gross!BN22</f>
        <v>2995.496</v>
      </c>
      <c r="J20" s="57" t="n">
        <f aca="false">3_Calc_From_Gross!CC22</f>
        <v>3917.3145</v>
      </c>
      <c r="K20" s="57" t="n">
        <f aca="false">3_Calc_From_Gross!CR22</f>
        <v>2211.12</v>
      </c>
      <c r="L20" s="57" t="n">
        <f aca="false">3_Calc_From_Gross!DG22</f>
        <v>2610.3</v>
      </c>
      <c r="M20" s="57" t="n">
        <f aca="false">3_Calc_From_Gross!DV22</f>
        <v>1625</v>
      </c>
    </row>
    <row r="21" customFormat="false" ht="15" hidden="false" customHeight="false" outlineLevel="0" collapsed="false">
      <c r="A21" s="41" t="n">
        <v>18</v>
      </c>
      <c r="B21" s="28" t="s">
        <v>253</v>
      </c>
      <c r="C21" s="8" t="s">
        <v>258</v>
      </c>
      <c r="D21" s="65" t="s">
        <v>249</v>
      </c>
      <c r="E21" s="63" t="n">
        <f aca="false">3_Calc_From_Gross!F23</f>
        <v>4207.5</v>
      </c>
      <c r="F21" s="60" t="n">
        <f aca="false">3_Calc_From_Gross!U23</f>
        <v>4641.6392</v>
      </c>
      <c r="G21" s="60" t="n">
        <f aca="false">3_Calc_From_Gross!AJ23</f>
        <v>6096.24</v>
      </c>
      <c r="H21" s="60" t="n">
        <f aca="false">3_Calc_From_Gross!AY23</f>
        <v>10165.575</v>
      </c>
      <c r="I21" s="60" t="n">
        <f aca="false">3_Calc_From_Gross!BN23</f>
        <v>4321.149</v>
      </c>
      <c r="J21" s="60" t="n">
        <f aca="false">3_Calc_From_Gross!CC23</f>
        <v>5817.0387</v>
      </c>
      <c r="K21" s="60" t="n">
        <f aca="false">3_Calc_From_Gross!CR23</f>
        <v>3500.94</v>
      </c>
      <c r="L21" s="60" t="n">
        <f aca="false">3_Calc_From_Gross!DG23</f>
        <v>4101.9</v>
      </c>
      <c r="M21" s="60" t="n">
        <f aca="false">3_Calc_From_Gross!DV23</f>
        <v>2730</v>
      </c>
    </row>
    <row r="22" customFormat="false" ht="15" hidden="false" customHeight="false" outlineLevel="0" collapsed="false">
      <c r="A22" s="37" t="n">
        <v>19</v>
      </c>
      <c r="B22" s="32" t="s">
        <v>259</v>
      </c>
      <c r="C22" s="32" t="s">
        <v>260</v>
      </c>
      <c r="D22" s="62" t="s">
        <v>248</v>
      </c>
      <c r="E22" s="63" t="n">
        <f aca="false">3_Calc_From_Gross!F24</f>
        <v>1150.985</v>
      </c>
      <c r="F22" s="57" t="n">
        <f aca="false">3_Calc_From_Gross!U24</f>
        <v>2368.3652</v>
      </c>
      <c r="G22" s="57" t="n">
        <f aca="false">3_Calc_From_Gross!AJ24</f>
        <v>3047.76</v>
      </c>
      <c r="H22" s="57" t="n">
        <f aca="false">3_Calc_From_Gross!AY24</f>
        <v>6683.25</v>
      </c>
      <c r="I22" s="57" t="n">
        <f aca="false">3_Calc_From_Gross!BN24</f>
        <v>2504.7645</v>
      </c>
      <c r="J22" s="57" t="n">
        <f aca="false">3_Calc_From_Gross!CC24</f>
        <v>3561.195</v>
      </c>
      <c r="K22" s="57" t="n">
        <f aca="false">3_Calc_From_Gross!CR24</f>
        <v>1895.14</v>
      </c>
      <c r="L22" s="57" t="n">
        <f aca="false">3_Calc_From_Gross!DG24</f>
        <v>2237.4</v>
      </c>
      <c r="M22" s="57" t="n">
        <f aca="false">3_Calc_From_Gross!DV24</f>
        <v>1353.95</v>
      </c>
    </row>
    <row r="23" customFormat="false" ht="15" hidden="false" customHeight="false" outlineLevel="0" collapsed="false">
      <c r="A23" s="41" t="n">
        <v>20</v>
      </c>
      <c r="B23" s="28" t="s">
        <v>259</v>
      </c>
      <c r="C23" s="8" t="s">
        <v>260</v>
      </c>
      <c r="D23" s="65" t="s">
        <v>249</v>
      </c>
      <c r="E23" s="63" t="n">
        <f aca="false">3_Calc_From_Gross!F25</f>
        <v>3740</v>
      </c>
      <c r="F23" s="60" t="n">
        <f aca="false">3_Calc_From_Gross!U25</f>
        <v>3788.79</v>
      </c>
      <c r="G23" s="60" t="n">
        <f aca="false">3_Calc_From_Gross!AJ25</f>
        <v>4572</v>
      </c>
      <c r="H23" s="60" t="n">
        <f aca="false">3_Calc_From_Gross!AY25</f>
        <v>8371.65</v>
      </c>
      <c r="I23" s="60" t="n">
        <f aca="false">3_Calc_From_Gross!BN25</f>
        <v>3535.77</v>
      </c>
      <c r="J23" s="60" t="n">
        <f aca="false">3_Calc_From_Gross!CC25</f>
        <v>5341.7925</v>
      </c>
      <c r="K23" s="60" t="n">
        <f aca="false">3_Calc_From_Gross!CR25</f>
        <v>2883.04</v>
      </c>
      <c r="L23" s="60" t="n">
        <f aca="false">3_Calc_From_Gross!DG25</f>
        <v>3418.14</v>
      </c>
      <c r="M23" s="60" t="n">
        <f aca="false">3_Calc_From_Gross!DV25</f>
        <v>2184</v>
      </c>
    </row>
    <row r="24" customFormat="false" ht="15" hidden="false" customHeight="false" outlineLevel="0" collapsed="false">
      <c r="A24" s="37" t="n">
        <v>21</v>
      </c>
      <c r="B24" s="32" t="s">
        <v>259</v>
      </c>
      <c r="C24" s="32" t="s">
        <v>261</v>
      </c>
      <c r="D24" s="62" t="s">
        <v>248</v>
      </c>
      <c r="E24" s="63" t="n">
        <f aca="false">3_Calc_From_Gross!F26</f>
        <v>1402.5</v>
      </c>
      <c r="F24" s="57" t="n">
        <f aca="false">3_Calc_From_Gross!U26</f>
        <v>2652.153</v>
      </c>
      <c r="G24" s="57" t="n">
        <f aca="false">3_Calc_From_Gross!AJ26</f>
        <v>3429.36</v>
      </c>
      <c r="H24" s="57" t="n">
        <f aca="false">3_Calc_From_Gross!AY26</f>
        <v>7738.5</v>
      </c>
      <c r="I24" s="57" t="n">
        <f aca="false">3_Calc_From_Gross!BN26</f>
        <v>2897.454</v>
      </c>
      <c r="J24" s="57" t="n">
        <f aca="false">3_Calc_From_Gross!CC26</f>
        <v>3798.1878</v>
      </c>
      <c r="K24" s="57" t="n">
        <f aca="false">3_Calc_From_Gross!CR26</f>
        <v>2131.94</v>
      </c>
      <c r="L24" s="57" t="n">
        <f aca="false">3_Calc_From_Gross!DG26</f>
        <v>2485.56</v>
      </c>
      <c r="M24" s="57" t="n">
        <f aca="false">3_Calc_From_Gross!DV26</f>
        <v>1516.45</v>
      </c>
    </row>
    <row r="25" customFormat="false" ht="15" hidden="false" customHeight="false" outlineLevel="0" collapsed="false">
      <c r="A25" s="41" t="n">
        <v>22</v>
      </c>
      <c r="B25" s="28" t="s">
        <v>259</v>
      </c>
      <c r="C25" s="8" t="s">
        <v>261</v>
      </c>
      <c r="D25" s="65" t="s">
        <v>249</v>
      </c>
      <c r="E25" s="63" t="n">
        <f aca="false">3_Calc_From_Gross!F27</f>
        <v>4441.25</v>
      </c>
      <c r="F25" s="60" t="n">
        <f aca="false">3_Calc_From_Gross!U27</f>
        <v>4357.1085</v>
      </c>
      <c r="G25" s="60" t="n">
        <f aca="false">3_Calc_From_Gross!AJ27</f>
        <v>5333.04</v>
      </c>
      <c r="H25" s="60" t="n">
        <f aca="false">3_Calc_From_Gross!AY27</f>
        <v>9567.6</v>
      </c>
      <c r="I25" s="60" t="n">
        <f aca="false">3_Calc_From_Gross!BN27</f>
        <v>3978.002</v>
      </c>
      <c r="J25" s="60" t="n">
        <f aca="false">3_Calc_From_Gross!CC27</f>
        <v>5638.6638</v>
      </c>
      <c r="K25" s="60" t="n">
        <f aca="false">3_Calc_From_Gross!CR27</f>
        <v>3377.36</v>
      </c>
      <c r="L25" s="60" t="n">
        <f aca="false">3_Calc_From_Gross!DG27</f>
        <v>3729</v>
      </c>
      <c r="M25" s="60" t="n">
        <f aca="false">3_Calc_From_Gross!DV27</f>
        <v>2426.45</v>
      </c>
    </row>
    <row r="26" customFormat="false" ht="15" hidden="false" customHeight="false" outlineLevel="0" collapsed="false">
      <c r="A26" s="37" t="n">
        <v>23</v>
      </c>
      <c r="B26" s="32" t="s">
        <v>259</v>
      </c>
      <c r="C26" s="32" t="s">
        <v>262</v>
      </c>
      <c r="D26" s="62" t="s">
        <v>248</v>
      </c>
      <c r="E26" s="63" t="n">
        <f aca="false">3_Calc_From_Gross!F28</f>
        <v>1402.5</v>
      </c>
      <c r="F26" s="57" t="n">
        <f aca="false">3_Calc_From_Gross!U28</f>
        <v>2652.153</v>
      </c>
      <c r="G26" s="57" t="n">
        <f aca="false">3_Calc_From_Gross!AJ28</f>
        <v>3429.36</v>
      </c>
      <c r="H26" s="57" t="n">
        <f aca="false">3_Calc_From_Gross!AY28</f>
        <v>7738.5</v>
      </c>
      <c r="I26" s="57" t="n">
        <f aca="false">3_Calc_From_Gross!BN28</f>
        <v>2897.454</v>
      </c>
      <c r="J26" s="57" t="n">
        <f aca="false">3_Calc_From_Gross!CC28</f>
        <v>3798.1878</v>
      </c>
      <c r="K26" s="57" t="n">
        <f aca="false">3_Calc_From_Gross!CR28</f>
        <v>2131.94</v>
      </c>
      <c r="L26" s="57" t="n">
        <f aca="false">3_Calc_From_Gross!DG28</f>
        <v>2485.56</v>
      </c>
      <c r="M26" s="57" t="n">
        <f aca="false">3_Calc_From_Gross!DV28</f>
        <v>1516.45</v>
      </c>
    </row>
    <row r="27" customFormat="false" ht="15" hidden="false" customHeight="false" outlineLevel="0" collapsed="false">
      <c r="A27" s="41" t="n">
        <v>24</v>
      </c>
      <c r="B27" s="28" t="s">
        <v>259</v>
      </c>
      <c r="C27" s="8" t="s">
        <v>262</v>
      </c>
      <c r="D27" s="65" t="s">
        <v>249</v>
      </c>
      <c r="E27" s="63" t="n">
        <f aca="false">3_Calc_From_Gross!F29</f>
        <v>4441.25</v>
      </c>
      <c r="F27" s="60" t="n">
        <f aca="false">3_Calc_From_Gross!U29</f>
        <v>4357.1085</v>
      </c>
      <c r="G27" s="60" t="n">
        <f aca="false">3_Calc_From_Gross!AJ29</f>
        <v>5333.04</v>
      </c>
      <c r="H27" s="60" t="n">
        <f aca="false">3_Calc_From_Gross!AY29</f>
        <v>9567.6</v>
      </c>
      <c r="I27" s="60" t="n">
        <f aca="false">3_Calc_From_Gross!BN29</f>
        <v>3978.002</v>
      </c>
      <c r="J27" s="60" t="n">
        <f aca="false">3_Calc_From_Gross!CC29</f>
        <v>5638.6638</v>
      </c>
      <c r="K27" s="60" t="n">
        <f aca="false">3_Calc_From_Gross!CR29</f>
        <v>3377.36</v>
      </c>
      <c r="L27" s="60" t="n">
        <f aca="false">3_Calc_From_Gross!DG29</f>
        <v>3729</v>
      </c>
      <c r="M27" s="60" t="n">
        <f aca="false">3_Calc_From_Gross!DV29</f>
        <v>2426.45</v>
      </c>
    </row>
    <row r="28" customFormat="false" ht="15" hidden="false" customHeight="false" outlineLevel="0" collapsed="false">
      <c r="A28" s="37" t="n">
        <v>25</v>
      </c>
      <c r="B28" s="32" t="s">
        <v>259</v>
      </c>
      <c r="C28" s="32" t="s">
        <v>263</v>
      </c>
      <c r="D28" s="62" t="s">
        <v>248</v>
      </c>
      <c r="E28" s="63" t="n">
        <f aca="false">3_Calc_From_Gross!F30</f>
        <v>1150.985</v>
      </c>
      <c r="F28" s="57" t="n">
        <f aca="false">3_Calc_From_Gross!U30</f>
        <v>2368.3652</v>
      </c>
      <c r="G28" s="57" t="n">
        <f aca="false">3_Calc_From_Gross!AJ30</f>
        <v>3047.76</v>
      </c>
      <c r="H28" s="57" t="n">
        <f aca="false">3_Calc_From_Gross!AY30</f>
        <v>6683.25</v>
      </c>
      <c r="I28" s="57" t="n">
        <f aca="false">3_Calc_From_Gross!BN30</f>
        <v>2504.7645</v>
      </c>
      <c r="J28" s="57" t="n">
        <f aca="false">3_Calc_From_Gross!CC30</f>
        <v>3561.195</v>
      </c>
      <c r="K28" s="57" t="n">
        <f aca="false">3_Calc_From_Gross!CR30</f>
        <v>1895.14</v>
      </c>
      <c r="L28" s="57" t="n">
        <f aca="false">3_Calc_From_Gross!DG30</f>
        <v>2237.4</v>
      </c>
      <c r="M28" s="57" t="n">
        <f aca="false">3_Calc_From_Gross!DV30</f>
        <v>1353.95</v>
      </c>
    </row>
    <row r="29" customFormat="false" ht="15" hidden="false" customHeight="false" outlineLevel="0" collapsed="false">
      <c r="A29" s="41" t="n">
        <v>26</v>
      </c>
      <c r="B29" s="28" t="s">
        <v>259</v>
      </c>
      <c r="C29" s="8" t="s">
        <v>263</v>
      </c>
      <c r="D29" s="65" t="s">
        <v>249</v>
      </c>
      <c r="E29" s="63" t="n">
        <f aca="false">3_Calc_From_Gross!F31</f>
        <v>3740</v>
      </c>
      <c r="F29" s="60" t="n">
        <f aca="false">3_Calc_From_Gross!U31</f>
        <v>3788.79</v>
      </c>
      <c r="G29" s="60" t="n">
        <f aca="false">3_Calc_From_Gross!AJ31</f>
        <v>4572</v>
      </c>
      <c r="H29" s="60" t="n">
        <f aca="false">3_Calc_From_Gross!AY31</f>
        <v>8371.65</v>
      </c>
      <c r="I29" s="60" t="n">
        <f aca="false">3_Calc_From_Gross!BN31</f>
        <v>3535.77</v>
      </c>
      <c r="J29" s="60" t="n">
        <f aca="false">3_Calc_From_Gross!CC31</f>
        <v>5341.7925</v>
      </c>
      <c r="K29" s="60" t="n">
        <f aca="false">3_Calc_From_Gross!CR31</f>
        <v>2883.04</v>
      </c>
      <c r="L29" s="60" t="n">
        <f aca="false">3_Calc_From_Gross!DG31</f>
        <v>3418.14</v>
      </c>
      <c r="M29" s="60" t="n">
        <f aca="false">3_Calc_From_Gross!DV31</f>
        <v>2184</v>
      </c>
    </row>
    <row r="30" customFormat="false" ht="15" hidden="false" customHeight="false" outlineLevel="0" collapsed="false">
      <c r="A30" s="37" t="n">
        <v>27</v>
      </c>
      <c r="B30" s="32" t="s">
        <v>264</v>
      </c>
      <c r="C30" s="32" t="s">
        <v>265</v>
      </c>
      <c r="D30" s="62" t="s">
        <v>248</v>
      </c>
      <c r="E30" s="63" t="n">
        <f aca="false">3_Calc_From_Gross!F32</f>
        <v>1262.25</v>
      </c>
      <c r="F30" s="57" t="n">
        <f aca="false">3_Calc_From_Gross!U32</f>
        <v>2178.9257</v>
      </c>
      <c r="G30" s="57" t="n">
        <f aca="false">3_Calc_From_Gross!AJ32</f>
        <v>3047.76</v>
      </c>
      <c r="H30" s="57" t="n">
        <f aca="false">3_Calc_From_Gross!AY32</f>
        <v>6331.5</v>
      </c>
      <c r="I30" s="57" t="n">
        <f aca="false">3_Calc_From_Gross!BN32</f>
        <v>2357.18</v>
      </c>
      <c r="J30" s="57" t="n">
        <f aca="false">3_Calc_From_Gross!CC32</f>
        <v>3264.3237</v>
      </c>
      <c r="K30" s="57" t="n">
        <f aca="false">3_Calc_From_Gross!CR32</f>
        <v>1737.52</v>
      </c>
      <c r="L30" s="57" t="n">
        <f aca="false">3_Calc_From_Gross!DG32</f>
        <v>2175.36</v>
      </c>
      <c r="M30" s="57" t="n">
        <f aca="false">3_Calc_From_Gross!DV32</f>
        <v>1246.05</v>
      </c>
    </row>
    <row r="31" customFormat="false" ht="15" hidden="false" customHeight="false" outlineLevel="0" collapsed="false">
      <c r="A31" s="41" t="n">
        <v>28</v>
      </c>
      <c r="B31" s="28" t="s">
        <v>264</v>
      </c>
      <c r="C31" s="8" t="s">
        <v>265</v>
      </c>
      <c r="D31" s="65" t="s">
        <v>249</v>
      </c>
      <c r="E31" s="63" t="n">
        <f aca="false">3_Calc_From_Gross!F33</f>
        <v>3038.75</v>
      </c>
      <c r="F31" s="60" t="n">
        <f aca="false">3_Calc_From_Gross!U33</f>
        <v>3409.911</v>
      </c>
      <c r="G31" s="60" t="n">
        <f aca="false">3_Calc_From_Gross!AJ33</f>
        <v>4762.08</v>
      </c>
      <c r="H31" s="60" t="n">
        <f aca="false">3_Calc_From_Gross!AY33</f>
        <v>7773.675</v>
      </c>
      <c r="I31" s="60" t="n">
        <f aca="false">3_Calc_From_Gross!BN33</f>
        <v>3388.707</v>
      </c>
      <c r="J31" s="60" t="n">
        <f aca="false">3_Calc_From_Gross!CC33</f>
        <v>4629.5535</v>
      </c>
      <c r="K31" s="60" t="n">
        <f aca="false">3_Calc_From_Gross!CR33</f>
        <v>2677.32</v>
      </c>
      <c r="L31" s="60" t="n">
        <f aca="false">3_Calc_From_Gross!DG33</f>
        <v>3231.36</v>
      </c>
      <c r="M31" s="60" t="n">
        <f aca="false">3_Calc_From_Gross!DV33</f>
        <v>2123.55</v>
      </c>
    </row>
    <row r="32" customFormat="false" ht="15" hidden="false" customHeight="false" outlineLevel="0" collapsed="false">
      <c r="A32" s="37" t="n">
        <v>29</v>
      </c>
      <c r="B32" s="32" t="s">
        <v>266</v>
      </c>
      <c r="C32" s="32" t="s">
        <v>267</v>
      </c>
      <c r="D32" s="62" t="s">
        <v>248</v>
      </c>
      <c r="E32" s="63" t="n">
        <f aca="false">3_Calc_From_Gross!F34</f>
        <v>1729.75</v>
      </c>
      <c r="F32" s="57" t="n">
        <f aca="false">3_Calc_From_Gross!U34</f>
        <v>3220.4715</v>
      </c>
      <c r="G32" s="57" t="n">
        <f aca="false">3_Calc_From_Gross!AJ34</f>
        <v>4572</v>
      </c>
      <c r="H32" s="57" t="n">
        <f aca="false">3_Calc_From_Gross!AY34</f>
        <v>9905.28</v>
      </c>
      <c r="I32" s="57" t="n">
        <f aca="false">3_Calc_From_Gross!BN34</f>
        <v>3486.749</v>
      </c>
      <c r="J32" s="57" t="n">
        <f aca="false">3_Calc_From_Gross!CC34</f>
        <v>4510.4268</v>
      </c>
      <c r="K32" s="57" t="n">
        <f aca="false">3_Calc_From_Gross!CR34</f>
        <v>2369.48</v>
      </c>
      <c r="L32" s="57" t="n">
        <f aca="false">3_Calc_From_Gross!DG34</f>
        <v>2983.2</v>
      </c>
      <c r="M32" s="57" t="n">
        <f aca="false">3_Calc_From_Gross!DV34</f>
        <v>1787.5</v>
      </c>
    </row>
    <row r="33" customFormat="false" ht="15" hidden="false" customHeight="false" outlineLevel="0" collapsed="false">
      <c r="A33" s="41" t="n">
        <v>30</v>
      </c>
      <c r="B33" s="28" t="s">
        <v>266</v>
      </c>
      <c r="C33" s="8" t="s">
        <v>267</v>
      </c>
      <c r="D33" s="65" t="s">
        <v>249</v>
      </c>
      <c r="E33" s="63" t="n">
        <f aca="false">3_Calc_From_Gross!F35</f>
        <v>4464.625</v>
      </c>
      <c r="F33" s="60" t="n">
        <f aca="false">3_Calc_From_Gross!U35</f>
        <v>5114.8665</v>
      </c>
      <c r="G33" s="60" t="n">
        <f aca="false">3_Calc_From_Gross!AJ35</f>
        <v>6858</v>
      </c>
      <c r="H33" s="60" t="n">
        <f aca="false">3_Calc_From_Gross!AY35</f>
        <v>11062.5375</v>
      </c>
      <c r="I33" s="60" t="n">
        <f aca="false">3_Calc_From_Gross!BN35</f>
        <v>5009.0075</v>
      </c>
      <c r="J33" s="60" t="n">
        <f aca="false">3_Calc_From_Gross!CC35</f>
        <v>6529.2777</v>
      </c>
      <c r="K33" s="60" t="n">
        <f aca="false">3_Calc_From_Gross!CR35</f>
        <v>3789.54</v>
      </c>
      <c r="L33" s="60" t="n">
        <f aca="false">3_Calc_From_Gross!DG35</f>
        <v>4474.8</v>
      </c>
      <c r="M33" s="60" t="n">
        <f aca="false">3_Calc_From_Gross!DV35</f>
        <v>2912</v>
      </c>
    </row>
    <row r="34" customFormat="false" ht="15" hidden="false" customHeight="false" outlineLevel="0" collapsed="false">
      <c r="A34" s="37" t="n">
        <v>31</v>
      </c>
      <c r="B34" s="32" t="s">
        <v>268</v>
      </c>
      <c r="C34" s="32" t="s">
        <v>269</v>
      </c>
      <c r="D34" s="62" t="s">
        <v>248</v>
      </c>
      <c r="E34" s="63" t="n">
        <f aca="false">3_Calc_From_Gross!F36</f>
        <v>1309</v>
      </c>
      <c r="F34" s="57" t="n">
        <f aca="false">3_Calc_From_Gross!U36</f>
        <v>2652.153</v>
      </c>
      <c r="G34" s="57" t="n">
        <f aca="false">3_Calc_From_Gross!AJ36</f>
        <v>3429.36</v>
      </c>
      <c r="H34" s="57" t="n">
        <f aca="false">3_Calc_From_Gross!AY36</f>
        <v>7738.5</v>
      </c>
      <c r="I34" s="57" t="n">
        <f aca="false">3_Calc_From_Gross!BN36</f>
        <v>2750.391</v>
      </c>
      <c r="J34" s="57" t="n">
        <f aca="false">3_Calc_From_Gross!CC36</f>
        <v>3858.0663</v>
      </c>
      <c r="K34" s="57" t="n">
        <f aca="false">3_Calc_From_Gross!CR36</f>
        <v>1974.32</v>
      </c>
      <c r="L34" s="57" t="n">
        <f aca="false">3_Calc_From_Gross!DG36</f>
        <v>2362.14</v>
      </c>
      <c r="M34" s="57" t="n">
        <f aca="false">3_Calc_From_Gross!DV36</f>
        <v>1408.55</v>
      </c>
    </row>
    <row r="35" customFormat="false" ht="15" hidden="false" customHeight="false" outlineLevel="0" collapsed="false">
      <c r="A35" s="41" t="n">
        <v>32</v>
      </c>
      <c r="B35" s="28" t="s">
        <v>268</v>
      </c>
      <c r="C35" s="8" t="s">
        <v>269</v>
      </c>
      <c r="D35" s="65" t="s">
        <v>249</v>
      </c>
      <c r="E35" s="63" t="n">
        <f aca="false">3_Calc_From_Gross!F37</f>
        <v>2992</v>
      </c>
      <c r="F35" s="60" t="n">
        <f aca="false">3_Calc_From_Gross!U37</f>
        <v>3788.79</v>
      </c>
      <c r="G35" s="60" t="n">
        <f aca="false">3_Calc_From_Gross!AJ37</f>
        <v>4952.88</v>
      </c>
      <c r="H35" s="60" t="n">
        <f aca="false">3_Calc_From_Gross!AY37</f>
        <v>8969.625</v>
      </c>
      <c r="I35" s="60" t="n">
        <f aca="false">3_Calc_From_Gross!BN37</f>
        <v>3830.4175</v>
      </c>
      <c r="J35" s="60" t="n">
        <f aca="false">3_Calc_From_Gross!CC37</f>
        <v>5341.7925</v>
      </c>
      <c r="K35" s="60" t="n">
        <f aca="false">3_Calc_From_Gross!CR37</f>
        <v>3048.06</v>
      </c>
      <c r="L35" s="60" t="n">
        <f aca="false">3_Calc_From_Gross!DG37</f>
        <v>3604.26</v>
      </c>
      <c r="M35" s="60" t="n">
        <f aca="false">3_Calc_From_Gross!DV37</f>
        <v>2305.55</v>
      </c>
    </row>
    <row r="36" customFormat="false" ht="15" hidden="false" customHeight="false" outlineLevel="0" collapsed="false">
      <c r="A36" s="37" t="n">
        <v>33</v>
      </c>
      <c r="B36" s="32" t="s">
        <v>270</v>
      </c>
      <c r="C36" s="32" t="s">
        <v>271</v>
      </c>
      <c r="D36" s="62" t="s">
        <v>248</v>
      </c>
      <c r="E36" s="63" t="n">
        <f aca="false">3_Calc_From_Gross!F38</f>
        <v>1075.25</v>
      </c>
      <c r="F36" s="57" t="n">
        <f aca="false">3_Calc_From_Gross!U38</f>
        <v>2273.274</v>
      </c>
      <c r="G36" s="57" t="n">
        <f aca="false">3_Calc_From_Gross!AJ38</f>
        <v>3047.76</v>
      </c>
      <c r="H36" s="57" t="n">
        <f aca="false">3_Calc_From_Gross!AY38</f>
        <v>7035</v>
      </c>
      <c r="I36" s="57" t="n">
        <f aca="false">3_Calc_From_Gross!BN38</f>
        <v>2455.7435</v>
      </c>
      <c r="J36" s="57" t="n">
        <f aca="false">3_Calc_From_Gross!CC38</f>
        <v>3501.9468</v>
      </c>
      <c r="K36" s="57" t="n">
        <f aca="false">3_Calc_From_Gross!CR38</f>
        <v>1658.34</v>
      </c>
      <c r="L36" s="57" t="n">
        <f aca="false">3_Calc_From_Gross!DG38</f>
        <v>2175.36</v>
      </c>
      <c r="M36" s="57" t="n">
        <f aca="false">3_Calc_From_Gross!DV38</f>
        <v>1191.45</v>
      </c>
    </row>
    <row r="37" customFormat="false" ht="15" hidden="false" customHeight="false" outlineLevel="0" collapsed="false">
      <c r="A37" s="41" t="n">
        <v>34</v>
      </c>
      <c r="B37" s="28" t="s">
        <v>270</v>
      </c>
      <c r="C37" s="8" t="s">
        <v>271</v>
      </c>
      <c r="D37" s="65" t="s">
        <v>249</v>
      </c>
      <c r="E37" s="63" t="n">
        <f aca="false">3_Calc_From_Gross!F39</f>
        <v>2571.25</v>
      </c>
      <c r="F37" s="60" t="n">
        <f aca="false">3_Calc_From_Gross!U39</f>
        <v>3409.911</v>
      </c>
      <c r="G37" s="60" t="n">
        <f aca="false">3_Calc_From_Gross!AJ39</f>
        <v>4190.4</v>
      </c>
      <c r="H37" s="60" t="n">
        <f aca="false">3_Calc_From_Gross!AY39</f>
        <v>8072.6625</v>
      </c>
      <c r="I37" s="60" t="n">
        <f aca="false">3_Calc_From_Gross!BN39</f>
        <v>3437.2065</v>
      </c>
      <c r="J37" s="60" t="n">
        <f aca="false">3_Calc_From_Gross!CC39</f>
        <v>4926.4248</v>
      </c>
      <c r="K37" s="60" t="n">
        <f aca="false">3_Calc_From_Gross!CR39</f>
        <v>2471.6</v>
      </c>
      <c r="L37" s="60" t="n">
        <f aca="false">3_Calc_From_Gross!DG39</f>
        <v>3107.94</v>
      </c>
      <c r="M37" s="60" t="n">
        <f aca="false">3_Calc_From_Gross!DV39</f>
        <v>2002</v>
      </c>
    </row>
    <row r="38" customFormat="false" ht="15" hidden="false" customHeight="false" outlineLevel="0" collapsed="false">
      <c r="A38" s="37" t="n">
        <v>35</v>
      </c>
      <c r="B38" s="32" t="s">
        <v>272</v>
      </c>
      <c r="C38" s="32" t="s">
        <v>273</v>
      </c>
      <c r="D38" s="62" t="s">
        <v>248</v>
      </c>
      <c r="E38" s="63" t="n">
        <f aca="false">3_Calc_From_Gross!F40</f>
        <v>1402.5</v>
      </c>
      <c r="F38" s="57" t="n">
        <f aca="false">3_Calc_From_Gross!U40</f>
        <v>2747.2442</v>
      </c>
      <c r="G38" s="57" t="n">
        <f aca="false">3_Calc_From_Gross!AJ40</f>
        <v>3810.24</v>
      </c>
      <c r="H38" s="57" t="n">
        <f aca="false">3_Calc_From_Gross!AY40</f>
        <v>9497.25</v>
      </c>
      <c r="I38" s="57" t="n">
        <f aca="false">3_Calc_From_Gross!BN40</f>
        <v>2946.475</v>
      </c>
      <c r="J38" s="57" t="n">
        <f aca="false">3_Calc_From_Gross!CC40</f>
        <v>4154.3073</v>
      </c>
      <c r="K38" s="57" t="n">
        <f aca="false">3_Calc_From_Gross!CR40</f>
        <v>2211.12</v>
      </c>
      <c r="L38" s="57" t="n">
        <f aca="false">3_Calc_From_Gross!DG40</f>
        <v>2610.3</v>
      </c>
      <c r="M38" s="57" t="n">
        <f aca="false">3_Calc_From_Gross!DV40</f>
        <v>1625</v>
      </c>
    </row>
    <row r="39" customFormat="false" ht="15" hidden="false" customHeight="false" outlineLevel="0" collapsed="false">
      <c r="A39" s="41" t="n">
        <v>36</v>
      </c>
      <c r="B39" s="28" t="s">
        <v>272</v>
      </c>
      <c r="C39" s="8" t="s">
        <v>273</v>
      </c>
      <c r="D39" s="65" t="s">
        <v>249</v>
      </c>
      <c r="E39" s="63" t="n">
        <f aca="false">3_Calc_From_Gross!F41</f>
        <v>3973.75</v>
      </c>
      <c r="F39" s="60" t="n">
        <f aca="false">3_Calc_From_Gross!U41</f>
        <v>4546.548</v>
      </c>
      <c r="G39" s="60" t="n">
        <f aca="false">3_Calc_From_Gross!AJ41</f>
        <v>5715.36</v>
      </c>
      <c r="H39" s="60" t="n">
        <f aca="false">3_Calc_From_Gross!AY41</f>
        <v>10165.575</v>
      </c>
      <c r="I39" s="60" t="n">
        <f aca="false">3_Calc_From_Gross!BN41</f>
        <v>4272.6495</v>
      </c>
      <c r="J39" s="60" t="n">
        <f aca="false">3_Calc_From_Gross!CC41</f>
        <v>5935.5351</v>
      </c>
      <c r="K39" s="60" t="n">
        <f aca="false">3_Calc_From_Gross!CR41</f>
        <v>3500.94</v>
      </c>
      <c r="L39" s="60" t="n">
        <f aca="false">3_Calc_From_Gross!DG41</f>
        <v>4101.9</v>
      </c>
      <c r="M39" s="60" t="n">
        <f aca="false">3_Calc_From_Gross!DV41</f>
        <v>2730</v>
      </c>
    </row>
    <row r="40" customFormat="false" ht="15" hidden="false" customHeight="false" outlineLevel="0" collapsed="false">
      <c r="A40" s="37" t="n">
        <v>37</v>
      </c>
      <c r="B40" s="32" t="s">
        <v>272</v>
      </c>
      <c r="C40" s="32" t="s">
        <v>274</v>
      </c>
      <c r="D40" s="62" t="s">
        <v>248</v>
      </c>
      <c r="E40" s="63" t="n">
        <f aca="false">3_Calc_From_Gross!F42</f>
        <v>1168.75</v>
      </c>
      <c r="F40" s="57" t="n">
        <f aca="false">3_Calc_From_Gross!U42</f>
        <v>2557.8047</v>
      </c>
      <c r="G40" s="57" t="n">
        <f aca="false">3_Calc_From_Gross!AJ42</f>
        <v>3429.36</v>
      </c>
      <c r="H40" s="57" t="n">
        <f aca="false">3_Calc_From_Gross!AY42</f>
        <v>7738.5</v>
      </c>
      <c r="I40" s="57" t="n">
        <f aca="false">3_Calc_From_Gross!BN42</f>
        <v>2700.8485</v>
      </c>
      <c r="J40" s="57" t="n">
        <f aca="false">3_Calc_From_Gross!CC42</f>
        <v>3858.0663</v>
      </c>
      <c r="K40" s="57" t="n">
        <f aca="false">3_Calc_From_Gross!CR42</f>
        <v>1974.32</v>
      </c>
      <c r="L40" s="57" t="n">
        <f aca="false">3_Calc_From_Gross!DG42</f>
        <v>2362.14</v>
      </c>
      <c r="M40" s="57" t="n">
        <f aca="false">3_Calc_From_Gross!DV42</f>
        <v>1516.45</v>
      </c>
    </row>
    <row r="41" customFormat="false" ht="15" hidden="false" customHeight="false" outlineLevel="0" collapsed="false">
      <c r="A41" s="41" t="n">
        <v>38</v>
      </c>
      <c r="B41" s="28" t="s">
        <v>272</v>
      </c>
      <c r="C41" s="8" t="s">
        <v>274</v>
      </c>
      <c r="D41" s="65" t="s">
        <v>249</v>
      </c>
      <c r="E41" s="63" t="n">
        <f aca="false">3_Calc_From_Gross!F43</f>
        <v>3740</v>
      </c>
      <c r="F41" s="60" t="n">
        <f aca="false">3_Calc_From_Gross!U43</f>
        <v>3978.2295</v>
      </c>
      <c r="G41" s="60" t="n">
        <f aca="false">3_Calc_From_Gross!AJ43</f>
        <v>4952.88</v>
      </c>
      <c r="H41" s="60" t="n">
        <f aca="false">3_Calc_From_Gross!AY43</f>
        <v>8969.625</v>
      </c>
      <c r="I41" s="60" t="n">
        <f aca="false">3_Calc_From_Gross!BN43</f>
        <v>3830.4175</v>
      </c>
      <c r="J41" s="60" t="n">
        <f aca="false">3_Calc_From_Gross!CC43</f>
        <v>5341.7925</v>
      </c>
      <c r="K41" s="60" t="n">
        <f aca="false">3_Calc_From_Gross!CR43</f>
        <v>3130.2</v>
      </c>
      <c r="L41" s="60" t="n">
        <f aca="false">3_Calc_From_Gross!DG43</f>
        <v>3729</v>
      </c>
      <c r="M41" s="60" t="n">
        <f aca="false">3_Calc_From_Gross!DV43</f>
        <v>2426.45</v>
      </c>
    </row>
    <row r="42" customFormat="false" ht="15" hidden="false" customHeight="false" outlineLevel="0" collapsed="false">
      <c r="A42" s="37" t="n">
        <v>39</v>
      </c>
      <c r="B42" s="32" t="s">
        <v>272</v>
      </c>
      <c r="C42" s="32" t="s">
        <v>275</v>
      </c>
      <c r="D42" s="62" t="s">
        <v>248</v>
      </c>
      <c r="E42" s="63" t="n">
        <f aca="false">3_Calc_From_Gross!F44</f>
        <v>1168.75</v>
      </c>
      <c r="F42" s="57" t="n">
        <f aca="false">3_Calc_From_Gross!U44</f>
        <v>2462.7135</v>
      </c>
      <c r="G42" s="57" t="n">
        <f aca="false">3_Calc_From_Gross!AJ44</f>
        <v>3429.36</v>
      </c>
      <c r="H42" s="57" t="n">
        <f aca="false">3_Calc_From_Gross!AY44</f>
        <v>8442</v>
      </c>
      <c r="I42" s="57" t="n">
        <f aca="false">3_Calc_From_Gross!BN44</f>
        <v>2651.8275</v>
      </c>
      <c r="J42" s="57" t="n">
        <f aca="false">3_Calc_From_Gross!CC44</f>
        <v>3561.195</v>
      </c>
      <c r="K42" s="57" t="n">
        <f aca="false">3_Calc_From_Gross!CR44</f>
        <v>1895.14</v>
      </c>
      <c r="L42" s="57" t="n">
        <f aca="false">3_Calc_From_Gross!DG44</f>
        <v>2237.4</v>
      </c>
      <c r="M42" s="57" t="n">
        <f aca="false">3_Calc_From_Gross!DV44</f>
        <v>1408.55</v>
      </c>
    </row>
    <row r="43" customFormat="false" ht="15" hidden="false" customHeight="false" outlineLevel="0" collapsed="false">
      <c r="A43" s="41" t="n">
        <v>40</v>
      </c>
      <c r="B43" s="28" t="s">
        <v>272</v>
      </c>
      <c r="C43" s="8" t="s">
        <v>275</v>
      </c>
      <c r="D43" s="65" t="s">
        <v>249</v>
      </c>
      <c r="E43" s="63" t="n">
        <f aca="false">3_Calc_From_Gross!F45</f>
        <v>3973.75</v>
      </c>
      <c r="F43" s="60" t="n">
        <f aca="false">3_Calc_From_Gross!U45</f>
        <v>4167.669</v>
      </c>
      <c r="G43" s="60" t="n">
        <f aca="false">3_Calc_From_Gross!AJ45</f>
        <v>4952.88</v>
      </c>
      <c r="H43" s="60" t="n">
        <f aca="false">3_Calc_From_Gross!AY45</f>
        <v>9567.6</v>
      </c>
      <c r="I43" s="60" t="n">
        <f aca="false">3_Calc_From_Gross!BN45</f>
        <v>3978.002</v>
      </c>
      <c r="J43" s="60" t="n">
        <f aca="false">3_Calc_From_Gross!CC45</f>
        <v>5341.7925</v>
      </c>
      <c r="K43" s="60" t="n">
        <f aca="false">3_Calc_From_Gross!CR45</f>
        <v>3212.34</v>
      </c>
      <c r="L43" s="60" t="n">
        <f aca="false">3_Calc_From_Gross!DG45</f>
        <v>3729</v>
      </c>
      <c r="M43" s="60" t="n">
        <f aca="false">3_Calc_From_Gross!DV45</f>
        <v>2305.55</v>
      </c>
    </row>
    <row r="44" customFormat="false" ht="15" hidden="false" customHeight="false" outlineLevel="0" collapsed="false">
      <c r="A44" s="37" t="n">
        <v>41</v>
      </c>
      <c r="B44" s="32" t="s">
        <v>276</v>
      </c>
      <c r="C44" s="32" t="s">
        <v>277</v>
      </c>
      <c r="D44" s="62" t="s">
        <v>248</v>
      </c>
      <c r="E44" s="63" t="n">
        <f aca="false">3_Calc_From_Gross!F46</f>
        <v>1870</v>
      </c>
      <c r="F44" s="57" t="n">
        <f aca="false">3_Calc_From_Gross!U46</f>
        <v>3220.4715</v>
      </c>
      <c r="G44" s="57" t="n">
        <f aca="false">3_Calc_From_Gross!AJ46</f>
        <v>4572</v>
      </c>
      <c r="H44" s="57" t="n">
        <f aca="false">3_Calc_From_Gross!AY46</f>
        <v>11256</v>
      </c>
      <c r="I44" s="57" t="n">
        <f aca="false">3_Calc_From_Gross!BN46</f>
        <v>3437.2065</v>
      </c>
      <c r="J44" s="57" t="n">
        <f aca="false">3_Calc_From_Gross!CC46</f>
        <v>4688.8017</v>
      </c>
      <c r="K44" s="57" t="n">
        <f aca="false">3_Calc_From_Gross!CR46</f>
        <v>2447.92</v>
      </c>
      <c r="L44" s="57" t="n">
        <f aca="false">3_Calc_From_Gross!DG46</f>
        <v>3107.94</v>
      </c>
      <c r="M44" s="57" t="n">
        <f aca="false">3_Calc_From_Gross!DV46</f>
        <v>1896.05</v>
      </c>
    </row>
    <row r="45" customFormat="false" ht="15" hidden="false" customHeight="false" outlineLevel="0" collapsed="false">
      <c r="A45" s="41" t="n">
        <v>42</v>
      </c>
      <c r="B45" s="28" t="s">
        <v>276</v>
      </c>
      <c r="C45" s="8" t="s">
        <v>277</v>
      </c>
      <c r="D45" s="65" t="s">
        <v>249</v>
      </c>
      <c r="E45" s="63" t="n">
        <f aca="false">3_Calc_From_Gross!F47</f>
        <v>5142.5</v>
      </c>
      <c r="F45" s="60" t="n">
        <f aca="false">3_Calc_From_Gross!U47</f>
        <v>5114.8665</v>
      </c>
      <c r="G45" s="60" t="n">
        <f aca="false">3_Calc_From_Gross!AJ47</f>
        <v>7238.16</v>
      </c>
      <c r="H45" s="60" t="n">
        <f aca="false">3_Calc_From_Gross!AY47</f>
        <v>14052.4125</v>
      </c>
      <c r="I45" s="60" t="n">
        <f aca="false">3_Calc_From_Gross!BN47</f>
        <v>5009.0075</v>
      </c>
      <c r="J45" s="60" t="n">
        <f aca="false">3_Calc_From_Gross!CC47</f>
        <v>7122.39</v>
      </c>
      <c r="K45" s="60" t="n">
        <f aca="false">3_Calc_From_Gross!CR47</f>
        <v>3913.12</v>
      </c>
      <c r="L45" s="60" t="n">
        <f aca="false">3_Calc_From_Gross!DG47</f>
        <v>4847.7</v>
      </c>
      <c r="M45" s="60" t="n">
        <f aca="false">3_Calc_From_Gross!DV47</f>
        <v>3154.45</v>
      </c>
    </row>
    <row r="46" customFormat="false" ht="15" hidden="false" customHeight="false" outlineLevel="0" collapsed="false">
      <c r="A46" s="37" t="n">
        <v>43</v>
      </c>
      <c r="B46" s="32" t="s">
        <v>278</v>
      </c>
      <c r="C46" s="32" t="s">
        <v>279</v>
      </c>
      <c r="D46" s="62" t="s">
        <v>248</v>
      </c>
      <c r="E46" s="63" t="n">
        <f aca="false">3_Calc_From_Gross!F48</f>
        <v>1753.125</v>
      </c>
      <c r="F46" s="57" t="n">
        <f aca="false">3_Calc_From_Gross!U48</f>
        <v>3031.032</v>
      </c>
      <c r="G46" s="57" t="n">
        <f aca="false">3_Calc_From_Gross!AJ48</f>
        <v>3810.24</v>
      </c>
      <c r="H46" s="57" t="n">
        <f aca="false">3_Calc_From_Gross!AY48</f>
        <v>9849</v>
      </c>
      <c r="I46" s="57" t="n">
        <f aca="false">3_Calc_From_Gross!BN48</f>
        <v>3192.1015</v>
      </c>
      <c r="J46" s="57" t="n">
        <f aca="false">3_Calc_From_Gross!CC48</f>
        <v>4154.3073</v>
      </c>
      <c r="K46" s="57" t="n">
        <f aca="false">3_Calc_From_Gross!CR48</f>
        <v>2369.48</v>
      </c>
      <c r="L46" s="57" t="n">
        <f aca="false">3_Calc_From_Gross!DG48</f>
        <v>2735.04</v>
      </c>
      <c r="M46" s="57" t="n">
        <f aca="false">3_Calc_From_Gross!DV48</f>
        <v>1787.5</v>
      </c>
    </row>
    <row r="47" customFormat="false" ht="15" hidden="false" customHeight="false" outlineLevel="0" collapsed="false">
      <c r="A47" s="41" t="n">
        <v>44</v>
      </c>
      <c r="B47" s="28" t="s">
        <v>278</v>
      </c>
      <c r="C47" s="8" t="s">
        <v>279</v>
      </c>
      <c r="D47" s="65" t="s">
        <v>249</v>
      </c>
      <c r="E47" s="63" t="n">
        <f aca="false">3_Calc_From_Gross!F49</f>
        <v>4301</v>
      </c>
      <c r="F47" s="60" t="n">
        <f aca="false">3_Calc_From_Gross!U49</f>
        <v>4925.427</v>
      </c>
      <c r="G47" s="60" t="n">
        <f aca="false">3_Calc_From_Gross!AJ49</f>
        <v>5715.36</v>
      </c>
      <c r="H47" s="60" t="n">
        <f aca="false">3_Calc_From_Gross!AY49</f>
        <v>11361.525</v>
      </c>
      <c r="I47" s="60" t="n">
        <f aca="false">3_Calc_From_Gross!BN49</f>
        <v>4419.7125</v>
      </c>
      <c r="J47" s="60" t="n">
        <f aca="false">3_Calc_From_Gross!CC49</f>
        <v>5994.7833</v>
      </c>
      <c r="K47" s="60" t="n">
        <f aca="false">3_Calc_From_Gross!CR49</f>
        <v>3706.66</v>
      </c>
      <c r="L47" s="60" t="n">
        <f aca="false">3_Calc_From_Gross!DG49</f>
        <v>4226.64</v>
      </c>
      <c r="M47" s="60" t="n">
        <f aca="false">3_Calc_From_Gross!DV49</f>
        <v>2912</v>
      </c>
    </row>
    <row r="48" customFormat="false" ht="15" hidden="false" customHeight="false" outlineLevel="0" collapsed="false">
      <c r="A48" s="37" t="n">
        <v>45</v>
      </c>
      <c r="B48" s="32" t="s">
        <v>280</v>
      </c>
      <c r="C48" s="32" t="s">
        <v>281</v>
      </c>
      <c r="D48" s="62" t="s">
        <v>248</v>
      </c>
      <c r="E48" s="63" t="n">
        <f aca="false">3_Calc_From_Gross!F50</f>
        <v>1612.875</v>
      </c>
      <c r="F48" s="57" t="n">
        <f aca="false">3_Calc_From_Gross!U50</f>
        <v>2841.5925</v>
      </c>
      <c r="G48" s="57" t="n">
        <f aca="false">3_Calc_From_Gross!AJ50</f>
        <v>4190.4</v>
      </c>
      <c r="H48" s="57" t="n">
        <f aca="false">3_Calc_From_Gross!AY50</f>
        <v>10552.5</v>
      </c>
      <c r="I48" s="57" t="n">
        <f aca="false">3_Calc_From_Gross!BN50</f>
        <v>2995.496</v>
      </c>
      <c r="J48" s="57" t="n">
        <f aca="false">3_Calc_From_Gross!CC50</f>
        <v>4036.4412</v>
      </c>
      <c r="K48" s="57" t="n">
        <f aca="false">3_Calc_From_Gross!CR50</f>
        <v>2290.3</v>
      </c>
      <c r="L48" s="57" t="n">
        <f aca="false">3_Calc_From_Gross!DG50</f>
        <v>2610.3</v>
      </c>
      <c r="M48" s="57" t="n">
        <f aca="false">3_Calc_From_Gross!DV50</f>
        <v>1678.95</v>
      </c>
    </row>
    <row r="49" customFormat="false" ht="15" hidden="false" customHeight="false" outlineLevel="0" collapsed="false">
      <c r="A49" s="41" t="n">
        <v>46</v>
      </c>
      <c r="B49" s="28" t="s">
        <v>280</v>
      </c>
      <c r="C49" s="8" t="s">
        <v>281</v>
      </c>
      <c r="D49" s="65" t="s">
        <v>249</v>
      </c>
      <c r="E49" s="63" t="n">
        <f aca="false">3_Calc_From_Gross!F51</f>
        <v>3973.75</v>
      </c>
      <c r="F49" s="60" t="n">
        <f aca="false">3_Calc_From_Gross!U51</f>
        <v>4735.9875</v>
      </c>
      <c r="G49" s="60" t="n">
        <f aca="false">3_Calc_From_Gross!AJ51</f>
        <v>6096.24</v>
      </c>
      <c r="H49" s="60" t="n">
        <f aca="false">3_Calc_From_Gross!AY51</f>
        <v>12557.475</v>
      </c>
      <c r="I49" s="60" t="n">
        <f aca="false">3_Calc_From_Gross!BN51</f>
        <v>4125.065</v>
      </c>
      <c r="J49" s="60" t="n">
        <f aca="false">3_Calc_From_Gross!CC51</f>
        <v>5935.5351</v>
      </c>
      <c r="K49" s="60" t="n">
        <f aca="false">3_Calc_From_Gross!CR51</f>
        <v>3624.52</v>
      </c>
      <c r="L49" s="60" t="n">
        <f aca="false">3_Calc_From_Gross!DG51</f>
        <v>4101.9</v>
      </c>
      <c r="M49" s="60" t="n">
        <f aca="false">3_Calc_From_Gross!DV51</f>
        <v>2790.45</v>
      </c>
    </row>
    <row r="50" customFormat="false" ht="18" hidden="false" customHeight="true" outlineLevel="0" collapsed="false">
      <c r="A50" s="98" t="s">
        <v>955</v>
      </c>
      <c r="B50" s="98"/>
      <c r="C50" s="98"/>
      <c r="D50" s="98"/>
      <c r="E50" s="99" t="n">
        <f aca="false">AVERAGE(E4:E49)</f>
        <v>2692.45445652174</v>
      </c>
      <c r="F50" s="99" t="n">
        <f aca="false">AVERAGE(F4:F49)</f>
        <v>3537.64135</v>
      </c>
      <c r="G50" s="99" t="n">
        <f aca="false">AVERAGE(G4:G49)</f>
        <v>4555.40869565217</v>
      </c>
      <c r="H50" s="99" t="n">
        <f aca="false">AVERAGE(H4:H49)</f>
        <v>8941.79086956522</v>
      </c>
      <c r="I50" s="99" t="n">
        <f aca="false">AVERAGE(I4:I49)</f>
        <v>3473.2920326087</v>
      </c>
      <c r="J50" s="99" t="n">
        <f aca="false">AVERAGE(J4:J49)</f>
        <v>4768.93201304348</v>
      </c>
      <c r="K50" s="99" t="n">
        <f aca="false">AVERAGE(K4:K49)</f>
        <v>2732.78782608696</v>
      </c>
      <c r="L50" s="99" t="n">
        <f aca="false">AVERAGE(L4:L49)</f>
        <v>3180.46826086957</v>
      </c>
      <c r="M50" s="99" t="n">
        <f aca="false">AVERAGE(M4:M49)</f>
        <v>2033.51086956522</v>
      </c>
    </row>
  </sheetData>
  <mergeCells count="3">
    <mergeCell ref="A1:M1"/>
    <mergeCell ref="A2:M2"/>
    <mergeCell ref="A50:D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"/>
    <col collapsed="false" customWidth="true" hidden="false" outlineLevel="0" max="3" min="3" style="1" width="18"/>
    <col collapsed="false" customWidth="true" hidden="false" outlineLevel="0" max="4" min="4" style="1" width="9"/>
    <col collapsed="false" customWidth="true" hidden="false" outlineLevel="0" max="13" min="5" style="1" width="13"/>
  </cols>
  <sheetData>
    <row r="1" customFormat="false" ht="25.5" hidden="false" customHeight="true" outlineLevel="0" collapsed="false">
      <c r="A1" s="35" t="s">
        <v>958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customFormat="false" ht="15" hidden="false" customHeight="true" outlineLevel="0" collapsed="false">
      <c r="A2" s="44" t="s">
        <v>959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customFormat="false" ht="31.5" hidden="false" customHeight="true" outlineLevel="0" collapsed="false">
      <c r="A3" s="14" t="s">
        <v>233</v>
      </c>
      <c r="B3" s="14" t="s">
        <v>284</v>
      </c>
      <c r="C3" s="14" t="s">
        <v>235</v>
      </c>
      <c r="D3" s="14" t="s">
        <v>236</v>
      </c>
      <c r="E3" s="49" t="s">
        <v>946</v>
      </c>
      <c r="F3" s="45" t="s">
        <v>947</v>
      </c>
      <c r="G3" s="45" t="s">
        <v>948</v>
      </c>
      <c r="H3" s="45" t="s">
        <v>949</v>
      </c>
      <c r="I3" s="45" t="s">
        <v>950</v>
      </c>
      <c r="J3" s="45" t="s">
        <v>951</v>
      </c>
      <c r="K3" s="45" t="s">
        <v>952</v>
      </c>
      <c r="L3" s="45" t="s">
        <v>953</v>
      </c>
      <c r="M3" s="45" t="s">
        <v>954</v>
      </c>
    </row>
    <row r="4" customFormat="false" ht="15" hidden="false" customHeight="false" outlineLevel="0" collapsed="false">
      <c r="A4" s="37" t="n">
        <v>1</v>
      </c>
      <c r="B4" s="32" t="s">
        <v>246</v>
      </c>
      <c r="C4" s="32" t="s">
        <v>247</v>
      </c>
      <c r="D4" s="62" t="s">
        <v>248</v>
      </c>
      <c r="E4" s="63" t="n">
        <f aca="false">3_Calc_From_Gross!H6</f>
        <v>1535</v>
      </c>
      <c r="F4" s="57" t="n">
        <f aca="false">3_Calc_From_Gross!W6</f>
        <v>4604.535</v>
      </c>
      <c r="G4" s="57" t="n">
        <f aca="false">3_Calc_From_Gross!AL6</f>
        <v>6085.8</v>
      </c>
      <c r="H4" s="57" t="n">
        <f aca="false">3_Calc_From_Gross!BA6</f>
        <v>12210</v>
      </c>
      <c r="I4" s="57" t="n">
        <f aca="false">3_Calc_From_Gross!BP6</f>
        <v>6928.46</v>
      </c>
      <c r="J4" s="57" t="n">
        <f aca="false">3_Calc_From_Gross!CE6</f>
        <v>7684.8</v>
      </c>
      <c r="K4" s="57" t="n">
        <f aca="false">3_Calc_From_Gross!CT6</f>
        <v>4141.11</v>
      </c>
      <c r="L4" s="57" t="n">
        <f aca="false">3_Calc_From_Gross!DI6</f>
        <v>4894.3125</v>
      </c>
      <c r="M4" s="57" t="n">
        <f aca="false">3_Calc_From_Gross!DX6</f>
        <v>2556.25</v>
      </c>
    </row>
    <row r="5" customFormat="false" ht="15" hidden="false" customHeight="false" outlineLevel="0" collapsed="false">
      <c r="A5" s="41" t="n">
        <v>2</v>
      </c>
      <c r="B5" s="28" t="s">
        <v>246</v>
      </c>
      <c r="C5" s="8" t="s">
        <v>247</v>
      </c>
      <c r="D5" s="65" t="s">
        <v>249</v>
      </c>
      <c r="E5" s="63" t="n">
        <f aca="false">3_Calc_From_Gross!H7</f>
        <v>4785</v>
      </c>
      <c r="F5" s="60" t="n">
        <f aca="false">3_Calc_From_Gross!W7</f>
        <v>7674.225</v>
      </c>
      <c r="G5" s="60" t="n">
        <f aca="false">3_Calc_From_Gross!AL7</f>
        <v>9128.7</v>
      </c>
      <c r="H5" s="60" t="n">
        <f aca="false">3_Calc_From_Gross!BA7</f>
        <v>15567.75</v>
      </c>
      <c r="I5" s="60" t="n">
        <f aca="false">3_Calc_From_Gross!BP7</f>
        <v>9913.53</v>
      </c>
      <c r="J5" s="60" t="n">
        <f aca="false">3_Calc_From_Gross!CE7</f>
        <v>11300.4</v>
      </c>
      <c r="K5" s="60" t="n">
        <f aca="false">3_Calc_From_Gross!CT7</f>
        <v>6702.042</v>
      </c>
      <c r="L5" s="60" t="n">
        <f aca="false">3_Calc_From_Gross!DI7</f>
        <v>7691.0625</v>
      </c>
      <c r="M5" s="60" t="n">
        <f aca="false">3_Calc_From_Gross!DX7</f>
        <v>4294.5</v>
      </c>
    </row>
    <row r="6" customFormat="false" ht="15" hidden="false" customHeight="false" outlineLevel="0" collapsed="false">
      <c r="A6" s="37" t="n">
        <v>3</v>
      </c>
      <c r="B6" s="32" t="s">
        <v>246</v>
      </c>
      <c r="C6" s="32" t="s">
        <v>250</v>
      </c>
      <c r="D6" s="62" t="s">
        <v>248</v>
      </c>
      <c r="E6" s="63" t="n">
        <f aca="false">3_Calc_From_Gross!H8</f>
        <v>1635</v>
      </c>
      <c r="F6" s="57" t="n">
        <f aca="false">3_Calc_From_Gross!W8</f>
        <v>4604.535</v>
      </c>
      <c r="G6" s="57" t="n">
        <f aca="false">3_Calc_From_Gross!AL8</f>
        <v>6085.8</v>
      </c>
      <c r="H6" s="57" t="n">
        <f aca="false">3_Calc_From_Gross!BA8</f>
        <v>12210</v>
      </c>
      <c r="I6" s="57" t="n">
        <f aca="false">3_Calc_From_Gross!BP8</f>
        <v>6836.5</v>
      </c>
      <c r="J6" s="57" t="n">
        <f aca="false">3_Calc_From_Gross!CE8</f>
        <v>7345.2</v>
      </c>
      <c r="K6" s="57" t="n">
        <f aca="false">3_Calc_From_Gross!CT8</f>
        <v>3927.03</v>
      </c>
      <c r="L6" s="57" t="n">
        <f aca="false">3_Calc_From_Gross!DI8</f>
        <v>4660.425</v>
      </c>
      <c r="M6" s="57" t="n">
        <f aca="false">3_Calc_From_Gross!DX8</f>
        <v>2556.25</v>
      </c>
    </row>
    <row r="7" customFormat="false" ht="15" hidden="false" customHeight="false" outlineLevel="0" collapsed="false">
      <c r="A7" s="41" t="n">
        <v>4</v>
      </c>
      <c r="B7" s="28" t="s">
        <v>246</v>
      </c>
      <c r="C7" s="8" t="s">
        <v>250</v>
      </c>
      <c r="D7" s="65" t="s">
        <v>249</v>
      </c>
      <c r="E7" s="63" t="n">
        <f aca="false">3_Calc_From_Gross!H9</f>
        <v>4535</v>
      </c>
      <c r="F7" s="60" t="n">
        <f aca="false">3_Calc_From_Gross!W9</f>
        <v>7674.225</v>
      </c>
      <c r="G7" s="60" t="n">
        <f aca="false">3_Calc_From_Gross!AL9</f>
        <v>8518.05</v>
      </c>
      <c r="H7" s="60" t="n">
        <f aca="false">3_Calc_From_Gross!BA9</f>
        <v>15096</v>
      </c>
      <c r="I7" s="60" t="n">
        <f aca="false">3_Calc_From_Gross!BP9</f>
        <v>9571.1</v>
      </c>
      <c r="J7" s="60" t="n">
        <f aca="false">3_Calc_From_Gross!CE9</f>
        <v>10848</v>
      </c>
      <c r="K7" s="60" t="n">
        <f aca="false">3_Calc_From_Gross!CT9</f>
        <v>6330.078</v>
      </c>
      <c r="L7" s="60" t="n">
        <f aca="false">3_Calc_From_Gross!DI9</f>
        <v>7225.7625</v>
      </c>
      <c r="M7" s="60" t="n">
        <f aca="false">3_Calc_From_Gross!DX9</f>
        <v>4008.2</v>
      </c>
    </row>
    <row r="8" customFormat="false" ht="15" hidden="false" customHeight="false" outlineLevel="0" collapsed="false">
      <c r="A8" s="37" t="n">
        <v>5</v>
      </c>
      <c r="B8" s="32" t="s">
        <v>246</v>
      </c>
      <c r="C8" s="32" t="s">
        <v>251</v>
      </c>
      <c r="D8" s="62" t="s">
        <v>248</v>
      </c>
      <c r="E8" s="63" t="n">
        <f aca="false">3_Calc_From_Gross!H10</f>
        <v>1523</v>
      </c>
      <c r="F8" s="57" t="n">
        <f aca="false">3_Calc_From_Gross!W10</f>
        <v>4604.535</v>
      </c>
      <c r="G8" s="57" t="n">
        <f aca="false">3_Calc_From_Gross!AL10</f>
        <v>6693</v>
      </c>
      <c r="H8" s="57" t="n">
        <f aca="false">3_Calc_From_Gross!BA10</f>
        <v>12765</v>
      </c>
      <c r="I8" s="57" t="n">
        <f aca="false">3_Calc_From_Gross!BP10</f>
        <v>6950.24</v>
      </c>
      <c r="J8" s="57" t="n">
        <f aca="false">3_Calc_From_Gross!CE10</f>
        <v>7458</v>
      </c>
      <c r="K8" s="57" t="n">
        <f aca="false">3_Calc_From_Gross!CT10</f>
        <v>3997.944</v>
      </c>
      <c r="L8" s="57" t="n">
        <f aca="false">3_Calc_From_Gross!DI10</f>
        <v>4894.3125</v>
      </c>
      <c r="M8" s="57" t="n">
        <f aca="false">3_Calc_From_Gross!DX10</f>
        <v>2556.25</v>
      </c>
    </row>
    <row r="9" customFormat="false" ht="15" hidden="false" customHeight="false" outlineLevel="0" collapsed="false">
      <c r="A9" s="41" t="n">
        <v>6</v>
      </c>
      <c r="B9" s="28" t="s">
        <v>246</v>
      </c>
      <c r="C9" s="8" t="s">
        <v>251</v>
      </c>
      <c r="D9" s="65" t="s">
        <v>249</v>
      </c>
      <c r="E9" s="63" t="n">
        <f aca="false">3_Calc_From_Gross!H11</f>
        <v>4535</v>
      </c>
      <c r="F9" s="60" t="n">
        <f aca="false">3_Calc_From_Gross!W11</f>
        <v>7674.225</v>
      </c>
      <c r="G9" s="60" t="n">
        <f aca="false">3_Calc_From_Gross!AL11</f>
        <v>9737.05</v>
      </c>
      <c r="H9" s="60" t="n">
        <f aca="false">3_Calc_From_Gross!BA11</f>
        <v>16039.5</v>
      </c>
      <c r="I9" s="60" t="n">
        <f aca="false">3_Calc_From_Gross!BP11</f>
        <v>10026.06</v>
      </c>
      <c r="J9" s="60" t="n">
        <f aca="false">3_Calc_From_Gross!CE11</f>
        <v>11074.8</v>
      </c>
      <c r="K9" s="60" t="n">
        <f aca="false">3_Calc_From_Gross!CT11</f>
        <v>6330.078</v>
      </c>
      <c r="L9" s="60" t="n">
        <f aca="false">3_Calc_From_Gross!DI11</f>
        <v>7691.0625</v>
      </c>
      <c r="M9" s="60" t="n">
        <f aca="false">3_Calc_From_Gross!DX11</f>
        <v>4294.5</v>
      </c>
    </row>
    <row r="10" customFormat="false" ht="15" hidden="false" customHeight="false" outlineLevel="0" collapsed="false">
      <c r="A10" s="37" t="n">
        <v>7</v>
      </c>
      <c r="B10" s="32" t="s">
        <v>246</v>
      </c>
      <c r="C10" s="32" t="s">
        <v>252</v>
      </c>
      <c r="D10" s="62" t="s">
        <v>248</v>
      </c>
      <c r="E10" s="63" t="n">
        <f aca="false">3_Calc_From_Gross!H12</f>
        <v>1535</v>
      </c>
      <c r="F10" s="57" t="n">
        <f aca="false">3_Calc_From_Gross!W12</f>
        <v>4604.535</v>
      </c>
      <c r="G10" s="57" t="n">
        <f aca="false">3_Calc_From_Gross!AL12</f>
        <v>6085.8</v>
      </c>
      <c r="H10" s="57" t="n">
        <f aca="false">3_Calc_From_Gross!BA12</f>
        <v>12210</v>
      </c>
      <c r="I10" s="57" t="n">
        <f aca="false">3_Calc_From_Gross!BP12</f>
        <v>6928.46</v>
      </c>
      <c r="J10" s="57" t="n">
        <f aca="false">3_Calc_From_Gross!CE12</f>
        <v>7684.8</v>
      </c>
      <c r="K10" s="57" t="n">
        <f aca="false">3_Calc_From_Gross!CT12</f>
        <v>4141.11</v>
      </c>
      <c r="L10" s="57" t="n">
        <f aca="false">3_Calc_From_Gross!DI12</f>
        <v>4894.3125</v>
      </c>
      <c r="M10" s="57" t="n">
        <f aca="false">3_Calc_From_Gross!DX12</f>
        <v>2556.25</v>
      </c>
    </row>
    <row r="11" customFormat="false" ht="15" hidden="false" customHeight="false" outlineLevel="0" collapsed="false">
      <c r="A11" s="41" t="n">
        <v>8</v>
      </c>
      <c r="B11" s="28" t="s">
        <v>246</v>
      </c>
      <c r="C11" s="8" t="s">
        <v>252</v>
      </c>
      <c r="D11" s="65" t="s">
        <v>249</v>
      </c>
      <c r="E11" s="63" t="n">
        <f aca="false">3_Calc_From_Gross!H13</f>
        <v>4785</v>
      </c>
      <c r="F11" s="60" t="n">
        <f aca="false">3_Calc_From_Gross!W13</f>
        <v>7674.225</v>
      </c>
      <c r="G11" s="60" t="n">
        <f aca="false">3_Calc_From_Gross!AL13</f>
        <v>9128.7</v>
      </c>
      <c r="H11" s="60" t="n">
        <f aca="false">3_Calc_From_Gross!BA13</f>
        <v>15567.75</v>
      </c>
      <c r="I11" s="60" t="n">
        <f aca="false">3_Calc_From_Gross!BP13</f>
        <v>9913.53</v>
      </c>
      <c r="J11" s="60" t="n">
        <f aca="false">3_Calc_From_Gross!CE13</f>
        <v>11300.4</v>
      </c>
      <c r="K11" s="60" t="n">
        <f aca="false">3_Calc_From_Gross!CT13</f>
        <v>6702.042</v>
      </c>
      <c r="L11" s="60" t="n">
        <f aca="false">3_Calc_From_Gross!DI13</f>
        <v>7691.0625</v>
      </c>
      <c r="M11" s="60" t="n">
        <f aca="false">3_Calc_From_Gross!DX13</f>
        <v>4294.5</v>
      </c>
    </row>
    <row r="12" customFormat="false" ht="15" hidden="false" customHeight="false" outlineLevel="0" collapsed="false">
      <c r="A12" s="37" t="n">
        <v>9</v>
      </c>
      <c r="B12" s="32" t="s">
        <v>253</v>
      </c>
      <c r="C12" s="32" t="s">
        <v>254</v>
      </c>
      <c r="D12" s="62" t="s">
        <v>248</v>
      </c>
      <c r="E12" s="63" t="n">
        <f aca="false">3_Calc_From_Gross!H14</f>
        <v>1535</v>
      </c>
      <c r="F12" s="57" t="n">
        <f aca="false">3_Calc_From_Gross!W14</f>
        <v>4604.535</v>
      </c>
      <c r="G12" s="57" t="n">
        <f aca="false">3_Calc_From_Gross!AL14</f>
        <v>6085.8</v>
      </c>
      <c r="H12" s="57" t="n">
        <f aca="false">3_Calc_From_Gross!BA14</f>
        <v>12765</v>
      </c>
      <c r="I12" s="57" t="n">
        <f aca="false">3_Calc_From_Gross!BP14</f>
        <v>6928.46</v>
      </c>
      <c r="J12" s="57" t="n">
        <f aca="false">3_Calc_From_Gross!CE14</f>
        <v>7684.8</v>
      </c>
      <c r="K12" s="57" t="n">
        <f aca="false">3_Calc_From_Gross!CT14</f>
        <v>4141.11</v>
      </c>
      <c r="L12" s="57" t="n">
        <f aca="false">3_Calc_From_Gross!DI14</f>
        <v>4894.3125</v>
      </c>
      <c r="M12" s="57" t="n">
        <f aca="false">3_Calc_From_Gross!DX14</f>
        <v>2556.25</v>
      </c>
    </row>
    <row r="13" customFormat="false" ht="15" hidden="false" customHeight="false" outlineLevel="0" collapsed="false">
      <c r="A13" s="41" t="n">
        <v>10</v>
      </c>
      <c r="B13" s="28" t="s">
        <v>253</v>
      </c>
      <c r="C13" s="8" t="s">
        <v>254</v>
      </c>
      <c r="D13" s="65" t="s">
        <v>249</v>
      </c>
      <c r="E13" s="63" t="n">
        <f aca="false">3_Calc_From_Gross!H15</f>
        <v>4785</v>
      </c>
      <c r="F13" s="60" t="n">
        <f aca="false">3_Calc_From_Gross!W15</f>
        <v>7674.225</v>
      </c>
      <c r="G13" s="60" t="n">
        <f aca="false">3_Calc_From_Gross!AL15</f>
        <v>9128.7</v>
      </c>
      <c r="H13" s="60" t="n">
        <f aca="false">3_Calc_From_Gross!BA15</f>
        <v>16039.5</v>
      </c>
      <c r="I13" s="60" t="n">
        <f aca="false">3_Calc_From_Gross!BP15</f>
        <v>9913.53</v>
      </c>
      <c r="J13" s="60" t="n">
        <f aca="false">3_Calc_From_Gross!CE15</f>
        <v>11300.4</v>
      </c>
      <c r="K13" s="60" t="n">
        <f aca="false">3_Calc_From_Gross!CT15</f>
        <v>6702.042</v>
      </c>
      <c r="L13" s="60" t="n">
        <f aca="false">3_Calc_From_Gross!DI15</f>
        <v>7691.0625</v>
      </c>
      <c r="M13" s="60" t="n">
        <f aca="false">3_Calc_From_Gross!DX15</f>
        <v>4294.5</v>
      </c>
    </row>
    <row r="14" customFormat="false" ht="15" hidden="false" customHeight="false" outlineLevel="0" collapsed="false">
      <c r="A14" s="37" t="n">
        <v>11</v>
      </c>
      <c r="B14" s="32" t="s">
        <v>253</v>
      </c>
      <c r="C14" s="32" t="s">
        <v>255</v>
      </c>
      <c r="D14" s="62" t="s">
        <v>248</v>
      </c>
      <c r="E14" s="63" t="n">
        <f aca="false">3_Calc_From_Gross!H16</f>
        <v>1635</v>
      </c>
      <c r="F14" s="57" t="n">
        <f aca="false">3_Calc_From_Gross!W16</f>
        <v>4297.566</v>
      </c>
      <c r="G14" s="57" t="n">
        <f aca="false">3_Calc_From_Gross!AL16</f>
        <v>5477.45</v>
      </c>
      <c r="H14" s="57" t="n">
        <f aca="false">3_Calc_From_Gross!BA16</f>
        <v>12210</v>
      </c>
      <c r="I14" s="57" t="n">
        <f aca="false">3_Calc_From_Gross!BP16</f>
        <v>6722.76</v>
      </c>
      <c r="J14" s="57" t="n">
        <f aca="false">3_Calc_From_Gross!CE16</f>
        <v>7345.2</v>
      </c>
      <c r="K14" s="57" t="n">
        <f aca="false">3_Calc_From_Gross!CT16</f>
        <v>3854.778</v>
      </c>
      <c r="L14" s="57" t="n">
        <f aca="false">3_Calc_From_Gross!DI16</f>
        <v>4660.425</v>
      </c>
      <c r="M14" s="57" t="n">
        <f aca="false">3_Calc_From_Gross!DX16</f>
        <v>2385.4925</v>
      </c>
    </row>
    <row r="15" customFormat="false" ht="15" hidden="false" customHeight="false" outlineLevel="0" collapsed="false">
      <c r="A15" s="41" t="n">
        <v>12</v>
      </c>
      <c r="B15" s="28" t="s">
        <v>253</v>
      </c>
      <c r="C15" s="8" t="s">
        <v>255</v>
      </c>
      <c r="D15" s="65" t="s">
        <v>249</v>
      </c>
      <c r="E15" s="63" t="n">
        <f aca="false">3_Calc_From_Gross!H17</f>
        <v>4535</v>
      </c>
      <c r="F15" s="60" t="n">
        <f aca="false">3_Calc_From_Gross!W17</f>
        <v>7367.256</v>
      </c>
      <c r="G15" s="60" t="n">
        <f aca="false">3_Calc_From_Gross!AL17</f>
        <v>7910.85</v>
      </c>
      <c r="H15" s="60" t="n">
        <f aca="false">3_Calc_From_Gross!BA17</f>
        <v>14624.25</v>
      </c>
      <c r="I15" s="60" t="n">
        <f aca="false">3_Calc_From_Gross!BP17</f>
        <v>9229.88</v>
      </c>
      <c r="J15" s="60" t="n">
        <f aca="false">3_Calc_From_Gross!CE17</f>
        <v>10395.6</v>
      </c>
      <c r="K15" s="60" t="n">
        <f aca="false">3_Calc_From_Gross!CT17</f>
        <v>6106.632</v>
      </c>
      <c r="L15" s="60" t="n">
        <f aca="false">3_Calc_From_Gross!DI17</f>
        <v>6991.875</v>
      </c>
      <c r="M15" s="60" t="n">
        <f aca="false">3_Calc_From_Gross!DX17</f>
        <v>3816.9925</v>
      </c>
    </row>
    <row r="16" customFormat="false" ht="15" hidden="false" customHeight="false" outlineLevel="0" collapsed="false">
      <c r="A16" s="37" t="n">
        <v>13</v>
      </c>
      <c r="B16" s="32" t="s">
        <v>253</v>
      </c>
      <c r="C16" s="32" t="s">
        <v>256</v>
      </c>
      <c r="D16" s="62" t="s">
        <v>248</v>
      </c>
      <c r="E16" s="63" t="n">
        <f aca="false">3_Calc_From_Gross!H18</f>
        <v>1285</v>
      </c>
      <c r="F16" s="57" t="n">
        <f aca="false">3_Calc_From_Gross!W18</f>
        <v>3990.597</v>
      </c>
      <c r="G16" s="57" t="n">
        <f aca="false">3_Calc_From_Gross!AL18</f>
        <v>5172.7</v>
      </c>
      <c r="H16" s="57" t="n">
        <f aca="false">3_Calc_From_Gross!BA18</f>
        <v>9990</v>
      </c>
      <c r="I16" s="57" t="n">
        <f aca="false">3_Calc_From_Gross!BP18</f>
        <v>6039.11</v>
      </c>
      <c r="J16" s="57" t="n">
        <f aca="false">3_Calc_From_Gross!CE18</f>
        <v>6553.2</v>
      </c>
      <c r="K16" s="57" t="n">
        <f aca="false">3_Calc_From_Gross!CT18</f>
        <v>3426.618</v>
      </c>
      <c r="L16" s="57" t="n">
        <f aca="false">3_Calc_From_Gross!DI18</f>
        <v>4195.125</v>
      </c>
      <c r="M16" s="57" t="n">
        <f aca="false">3_Calc_From_Gross!DX18</f>
        <v>2129.8675</v>
      </c>
    </row>
    <row r="17" customFormat="false" ht="15" hidden="false" customHeight="false" outlineLevel="0" collapsed="false">
      <c r="A17" s="41" t="n">
        <v>14</v>
      </c>
      <c r="B17" s="28" t="s">
        <v>253</v>
      </c>
      <c r="C17" s="8" t="s">
        <v>256</v>
      </c>
      <c r="D17" s="65" t="s">
        <v>249</v>
      </c>
      <c r="E17" s="63" t="n">
        <f aca="false">3_Calc_From_Gross!H19</f>
        <v>3285</v>
      </c>
      <c r="F17" s="60" t="n">
        <f aca="false">3_Calc_From_Gross!W19</f>
        <v>6139.38</v>
      </c>
      <c r="G17" s="60" t="n">
        <f aca="false">3_Calc_From_Gross!AL19</f>
        <v>7302.5</v>
      </c>
      <c r="H17" s="60" t="n">
        <f aca="false">3_Calc_From_Gross!BA19</f>
        <v>12265.5</v>
      </c>
      <c r="I17" s="60" t="n">
        <f aca="false">3_Calc_From_Gross!BP19</f>
        <v>8546.23</v>
      </c>
      <c r="J17" s="60" t="n">
        <f aca="false">3_Calc_From_Gross!CE19</f>
        <v>9265.2</v>
      </c>
      <c r="K17" s="60" t="n">
        <f aca="false">3_Calc_From_Gross!CT19</f>
        <v>5362.704</v>
      </c>
      <c r="L17" s="60" t="n">
        <f aca="false">3_Calc_From_Gross!DI19</f>
        <v>6292.6875</v>
      </c>
      <c r="M17" s="60" t="n">
        <f aca="false">3_Calc_From_Gross!DX19</f>
        <v>3435.6</v>
      </c>
    </row>
    <row r="18" customFormat="false" ht="15" hidden="false" customHeight="false" outlineLevel="0" collapsed="false">
      <c r="A18" s="37" t="n">
        <v>15</v>
      </c>
      <c r="B18" s="32" t="s">
        <v>253</v>
      </c>
      <c r="C18" s="32" t="s">
        <v>257</v>
      </c>
      <c r="D18" s="62" t="s">
        <v>248</v>
      </c>
      <c r="E18" s="63" t="n">
        <f aca="false">3_Calc_From_Gross!H20</f>
        <v>1485</v>
      </c>
      <c r="F18" s="57" t="n">
        <f aca="false">3_Calc_From_Gross!W20</f>
        <v>4451.6524</v>
      </c>
      <c r="G18" s="57" t="n">
        <f aca="false">3_Calc_From_Gross!AL20</f>
        <v>6085.8</v>
      </c>
      <c r="H18" s="57" t="n">
        <f aca="false">3_Calc_From_Gross!BA20</f>
        <v>12210</v>
      </c>
      <c r="I18" s="57" t="n">
        <f aca="false">3_Calc_From_Gross!BP20</f>
        <v>6722.76</v>
      </c>
      <c r="J18" s="57" t="n">
        <f aca="false">3_Calc_From_Gross!CE20</f>
        <v>7231.2</v>
      </c>
      <c r="K18" s="57" t="n">
        <f aca="false">3_Calc_From_Gross!CT20</f>
        <v>3927.03</v>
      </c>
      <c r="L18" s="57" t="n">
        <f aca="false">3_Calc_From_Gross!DI20</f>
        <v>4660.425</v>
      </c>
      <c r="M18" s="57" t="n">
        <f aca="false">3_Calc_From_Gross!DX20</f>
        <v>2385.4925</v>
      </c>
    </row>
    <row r="19" customFormat="false" ht="15" hidden="false" customHeight="false" outlineLevel="0" collapsed="false">
      <c r="A19" s="41" t="n">
        <v>16</v>
      </c>
      <c r="B19" s="28" t="s">
        <v>253</v>
      </c>
      <c r="C19" s="8" t="s">
        <v>257</v>
      </c>
      <c r="D19" s="65" t="s">
        <v>249</v>
      </c>
      <c r="E19" s="63" t="n">
        <f aca="false">3_Calc_From_Gross!H21</f>
        <v>4485</v>
      </c>
      <c r="F19" s="60" t="n">
        <f aca="false">3_Calc_From_Gross!W21</f>
        <v>7367.256</v>
      </c>
      <c r="G19" s="60" t="n">
        <f aca="false">3_Calc_From_Gross!AL21</f>
        <v>9128.7</v>
      </c>
      <c r="H19" s="60" t="n">
        <f aca="false">3_Calc_From_Gross!BA21</f>
        <v>15096</v>
      </c>
      <c r="I19" s="60" t="n">
        <f aca="false">3_Calc_From_Gross!BP21</f>
        <v>9571.1</v>
      </c>
      <c r="J19" s="60" t="n">
        <f aca="false">3_Calc_From_Gross!CE21</f>
        <v>10735.2</v>
      </c>
      <c r="K19" s="60" t="n">
        <f aca="false">3_Calc_From_Gross!CT21</f>
        <v>6330.078</v>
      </c>
      <c r="L19" s="60" t="n">
        <f aca="false">3_Calc_From_Gross!DI21</f>
        <v>7225.7625</v>
      </c>
      <c r="M19" s="60" t="n">
        <f aca="false">3_Calc_From_Gross!DX21</f>
        <v>3816.9925</v>
      </c>
    </row>
    <row r="20" customFormat="false" ht="15" hidden="false" customHeight="false" outlineLevel="0" collapsed="false">
      <c r="A20" s="37" t="n">
        <v>17</v>
      </c>
      <c r="B20" s="32" t="s">
        <v>253</v>
      </c>
      <c r="C20" s="32" t="s">
        <v>258</v>
      </c>
      <c r="D20" s="62" t="s">
        <v>248</v>
      </c>
      <c r="E20" s="63" t="n">
        <f aca="false">3_Calc_From_Gross!H22</f>
        <v>1523</v>
      </c>
      <c r="F20" s="57" t="n">
        <f aca="false">3_Calc_From_Gross!W22</f>
        <v>4451.6524</v>
      </c>
      <c r="G20" s="57" t="n">
        <f aca="false">3_Calc_From_Gross!AL22</f>
        <v>6693</v>
      </c>
      <c r="H20" s="57" t="n">
        <f aca="false">3_Calc_From_Gross!BA22</f>
        <v>12765</v>
      </c>
      <c r="I20" s="57" t="n">
        <f aca="false">3_Calc_From_Gross!BP22</f>
        <v>6950.24</v>
      </c>
      <c r="J20" s="57" t="n">
        <f aca="false">3_Calc_From_Gross!CE22</f>
        <v>7458</v>
      </c>
      <c r="K20" s="57" t="n">
        <f aca="false">3_Calc_From_Gross!CT22</f>
        <v>3997.944</v>
      </c>
      <c r="L20" s="57" t="n">
        <f aca="false">3_Calc_From_Gross!DI22</f>
        <v>4894.3125</v>
      </c>
      <c r="M20" s="57" t="n">
        <f aca="false">3_Calc_From_Gross!DX22</f>
        <v>2556.25</v>
      </c>
    </row>
    <row r="21" customFormat="false" ht="15" hidden="false" customHeight="false" outlineLevel="0" collapsed="false">
      <c r="A21" s="41" t="n">
        <v>18</v>
      </c>
      <c r="B21" s="28" t="s">
        <v>253</v>
      </c>
      <c r="C21" s="8" t="s">
        <v>258</v>
      </c>
      <c r="D21" s="65" t="s">
        <v>249</v>
      </c>
      <c r="E21" s="63" t="n">
        <f aca="false">3_Calc_From_Gross!H23</f>
        <v>4535</v>
      </c>
      <c r="F21" s="60" t="n">
        <f aca="false">3_Calc_From_Gross!W23</f>
        <v>7521.3424</v>
      </c>
      <c r="G21" s="60" t="n">
        <f aca="false">3_Calc_From_Gross!AL23</f>
        <v>9737.05</v>
      </c>
      <c r="H21" s="60" t="n">
        <f aca="false">3_Calc_From_Gross!BA23</f>
        <v>16039.5</v>
      </c>
      <c r="I21" s="60" t="n">
        <f aca="false">3_Calc_From_Gross!BP23</f>
        <v>10026.06</v>
      </c>
      <c r="J21" s="60" t="n">
        <f aca="false">3_Calc_From_Gross!CE23</f>
        <v>11074.8</v>
      </c>
      <c r="K21" s="60" t="n">
        <f aca="false">3_Calc_From_Gross!CT23</f>
        <v>6330.078</v>
      </c>
      <c r="L21" s="60" t="n">
        <f aca="false">3_Calc_From_Gross!DI23</f>
        <v>7691.0625</v>
      </c>
      <c r="M21" s="60" t="n">
        <f aca="false">3_Calc_From_Gross!DX23</f>
        <v>4294.5</v>
      </c>
    </row>
    <row r="22" customFormat="false" ht="15" hidden="false" customHeight="false" outlineLevel="0" collapsed="false">
      <c r="A22" s="37" t="n">
        <v>19</v>
      </c>
      <c r="B22" s="32" t="s">
        <v>259</v>
      </c>
      <c r="C22" s="32" t="s">
        <v>260</v>
      </c>
      <c r="D22" s="62" t="s">
        <v>248</v>
      </c>
      <c r="E22" s="63" t="n">
        <f aca="false">3_Calc_From_Gross!H24</f>
        <v>1266</v>
      </c>
      <c r="F22" s="57" t="n">
        <f aca="false">3_Calc_From_Gross!W24</f>
        <v>3837.7144</v>
      </c>
      <c r="G22" s="57" t="n">
        <f aca="false">3_Calc_From_Gross!AL24</f>
        <v>4867.95</v>
      </c>
      <c r="H22" s="57" t="n">
        <f aca="false">3_Calc_From_Gross!BA24</f>
        <v>10545</v>
      </c>
      <c r="I22" s="57" t="n">
        <f aca="false">3_Calc_From_Gross!BP24</f>
        <v>5811.63</v>
      </c>
      <c r="J22" s="57" t="n">
        <f aca="false">3_Calc_From_Gross!CE24</f>
        <v>6780</v>
      </c>
      <c r="K22" s="57" t="n">
        <f aca="false">3_Calc_From_Gross!CT24</f>
        <v>3426.618</v>
      </c>
      <c r="L22" s="57" t="n">
        <f aca="false">3_Calc_From_Gross!DI24</f>
        <v>4195.125</v>
      </c>
      <c r="M22" s="57" t="n">
        <f aca="false">3_Calc_From_Gross!DX24</f>
        <v>2129.8675</v>
      </c>
    </row>
    <row r="23" customFormat="false" ht="15" hidden="false" customHeight="false" outlineLevel="0" collapsed="false">
      <c r="A23" s="41" t="n">
        <v>20</v>
      </c>
      <c r="B23" s="28" t="s">
        <v>259</v>
      </c>
      <c r="C23" s="8" t="s">
        <v>260</v>
      </c>
      <c r="D23" s="65" t="s">
        <v>249</v>
      </c>
      <c r="E23" s="63" t="n">
        <f aca="false">3_Calc_From_Gross!H25</f>
        <v>4035</v>
      </c>
      <c r="F23" s="60" t="n">
        <f aca="false">3_Calc_From_Gross!W25</f>
        <v>6139.38</v>
      </c>
      <c r="G23" s="60" t="n">
        <f aca="false">3_Calc_From_Gross!AL25</f>
        <v>7302.5</v>
      </c>
      <c r="H23" s="60" t="n">
        <f aca="false">3_Calc_From_Gross!BA25</f>
        <v>13209</v>
      </c>
      <c r="I23" s="60" t="n">
        <f aca="false">3_Calc_From_Gross!BP25</f>
        <v>8203.8</v>
      </c>
      <c r="J23" s="60" t="n">
        <f aca="false">3_Calc_From_Gross!CE25</f>
        <v>10170</v>
      </c>
      <c r="K23" s="60" t="n">
        <f aca="false">3_Calc_From_Gross!CT25</f>
        <v>5212.848</v>
      </c>
      <c r="L23" s="60" t="n">
        <f aca="false">3_Calc_From_Gross!DI25</f>
        <v>6409.0125</v>
      </c>
      <c r="M23" s="60" t="n">
        <f aca="false">3_Calc_From_Gross!DX25</f>
        <v>3435.6</v>
      </c>
    </row>
    <row r="24" customFormat="false" ht="15" hidden="false" customHeight="false" outlineLevel="0" collapsed="false">
      <c r="A24" s="37" t="n">
        <v>21</v>
      </c>
      <c r="B24" s="32" t="s">
        <v>259</v>
      </c>
      <c r="C24" s="32" t="s">
        <v>261</v>
      </c>
      <c r="D24" s="62" t="s">
        <v>248</v>
      </c>
      <c r="E24" s="63" t="n">
        <f aca="false">3_Calc_From_Gross!H26</f>
        <v>1535</v>
      </c>
      <c r="F24" s="57" t="n">
        <f aca="false">3_Calc_From_Gross!W26</f>
        <v>4297.566</v>
      </c>
      <c r="G24" s="57" t="n">
        <f aca="false">3_Calc_From_Gross!AL26</f>
        <v>5477.45</v>
      </c>
      <c r="H24" s="57" t="n">
        <f aca="false">3_Calc_From_Gross!BA26</f>
        <v>12210</v>
      </c>
      <c r="I24" s="57" t="n">
        <f aca="false">3_Calc_From_Gross!BP26</f>
        <v>6722.76</v>
      </c>
      <c r="J24" s="57" t="n">
        <f aca="false">3_Calc_From_Gross!CE26</f>
        <v>7231.2</v>
      </c>
      <c r="K24" s="57" t="n">
        <f aca="false">3_Calc_From_Gross!CT26</f>
        <v>3854.778</v>
      </c>
      <c r="L24" s="57" t="n">
        <f aca="false">3_Calc_From_Gross!DI26</f>
        <v>4660.425</v>
      </c>
      <c r="M24" s="57" t="n">
        <f aca="false">3_Calc_From_Gross!DX26</f>
        <v>2385.4925</v>
      </c>
    </row>
    <row r="25" customFormat="false" ht="15" hidden="false" customHeight="false" outlineLevel="0" collapsed="false">
      <c r="A25" s="41" t="n">
        <v>22</v>
      </c>
      <c r="B25" s="28" t="s">
        <v>259</v>
      </c>
      <c r="C25" s="8" t="s">
        <v>261</v>
      </c>
      <c r="D25" s="65" t="s">
        <v>249</v>
      </c>
      <c r="E25" s="63" t="n">
        <f aca="false">3_Calc_From_Gross!H27</f>
        <v>4785</v>
      </c>
      <c r="F25" s="60" t="n">
        <f aca="false">3_Calc_From_Gross!W27</f>
        <v>7060.287</v>
      </c>
      <c r="G25" s="60" t="n">
        <f aca="false">3_Calc_From_Gross!AL27</f>
        <v>8518.05</v>
      </c>
      <c r="H25" s="60" t="n">
        <f aca="false">3_Calc_From_Gross!BA27</f>
        <v>15096</v>
      </c>
      <c r="I25" s="60" t="n">
        <f aca="false">3_Calc_From_Gross!BP27</f>
        <v>9229.88</v>
      </c>
      <c r="J25" s="60" t="n">
        <f aca="false">3_Calc_From_Gross!CE27</f>
        <v>10735.2</v>
      </c>
      <c r="K25" s="60" t="n">
        <f aca="false">3_Calc_From_Gross!CT27</f>
        <v>6106.632</v>
      </c>
      <c r="L25" s="60" t="n">
        <f aca="false">3_Calc_From_Gross!DI27</f>
        <v>6991.875</v>
      </c>
      <c r="M25" s="60" t="n">
        <f aca="false">3_Calc_From_Gross!DX27</f>
        <v>3816.9925</v>
      </c>
    </row>
    <row r="26" customFormat="false" ht="15" hidden="false" customHeight="false" outlineLevel="0" collapsed="false">
      <c r="A26" s="37" t="n">
        <v>23</v>
      </c>
      <c r="B26" s="32" t="s">
        <v>259</v>
      </c>
      <c r="C26" s="32" t="s">
        <v>262</v>
      </c>
      <c r="D26" s="62" t="s">
        <v>248</v>
      </c>
      <c r="E26" s="63" t="n">
        <f aca="false">3_Calc_From_Gross!H28</f>
        <v>1535</v>
      </c>
      <c r="F26" s="57" t="n">
        <f aca="false">3_Calc_From_Gross!W28</f>
        <v>4297.566</v>
      </c>
      <c r="G26" s="57" t="n">
        <f aca="false">3_Calc_From_Gross!AL28</f>
        <v>5477.45</v>
      </c>
      <c r="H26" s="57" t="n">
        <f aca="false">3_Calc_From_Gross!BA28</f>
        <v>12210</v>
      </c>
      <c r="I26" s="57" t="n">
        <f aca="false">3_Calc_From_Gross!BP28</f>
        <v>6722.76</v>
      </c>
      <c r="J26" s="57" t="n">
        <f aca="false">3_Calc_From_Gross!CE28</f>
        <v>7231.2</v>
      </c>
      <c r="K26" s="57" t="n">
        <f aca="false">3_Calc_From_Gross!CT28</f>
        <v>3854.778</v>
      </c>
      <c r="L26" s="57" t="n">
        <f aca="false">3_Calc_From_Gross!DI28</f>
        <v>4660.425</v>
      </c>
      <c r="M26" s="57" t="n">
        <f aca="false">3_Calc_From_Gross!DX28</f>
        <v>2385.4925</v>
      </c>
    </row>
    <row r="27" customFormat="false" ht="15" hidden="false" customHeight="false" outlineLevel="0" collapsed="false">
      <c r="A27" s="41" t="n">
        <v>24</v>
      </c>
      <c r="B27" s="28" t="s">
        <v>259</v>
      </c>
      <c r="C27" s="8" t="s">
        <v>262</v>
      </c>
      <c r="D27" s="65" t="s">
        <v>249</v>
      </c>
      <c r="E27" s="63" t="n">
        <f aca="false">3_Calc_From_Gross!H29</f>
        <v>4785</v>
      </c>
      <c r="F27" s="60" t="n">
        <f aca="false">3_Calc_From_Gross!W29</f>
        <v>7060.287</v>
      </c>
      <c r="G27" s="60" t="n">
        <f aca="false">3_Calc_From_Gross!AL29</f>
        <v>8518.05</v>
      </c>
      <c r="H27" s="60" t="n">
        <f aca="false">3_Calc_From_Gross!BA29</f>
        <v>15096</v>
      </c>
      <c r="I27" s="60" t="n">
        <f aca="false">3_Calc_From_Gross!BP29</f>
        <v>9229.88</v>
      </c>
      <c r="J27" s="60" t="n">
        <f aca="false">3_Calc_From_Gross!CE29</f>
        <v>10735.2</v>
      </c>
      <c r="K27" s="60" t="n">
        <f aca="false">3_Calc_From_Gross!CT29</f>
        <v>6106.632</v>
      </c>
      <c r="L27" s="60" t="n">
        <f aca="false">3_Calc_From_Gross!DI29</f>
        <v>6991.875</v>
      </c>
      <c r="M27" s="60" t="n">
        <f aca="false">3_Calc_From_Gross!DX29</f>
        <v>3816.9925</v>
      </c>
    </row>
    <row r="28" customFormat="false" ht="15" hidden="false" customHeight="false" outlineLevel="0" collapsed="false">
      <c r="A28" s="37" t="n">
        <v>25</v>
      </c>
      <c r="B28" s="32" t="s">
        <v>259</v>
      </c>
      <c r="C28" s="32" t="s">
        <v>263</v>
      </c>
      <c r="D28" s="62" t="s">
        <v>248</v>
      </c>
      <c r="E28" s="63" t="n">
        <f aca="false">3_Calc_From_Gross!H30</f>
        <v>1266</v>
      </c>
      <c r="F28" s="57" t="n">
        <f aca="false">3_Calc_From_Gross!W30</f>
        <v>3837.7144</v>
      </c>
      <c r="G28" s="57" t="n">
        <f aca="false">3_Calc_From_Gross!AL30</f>
        <v>4867.95</v>
      </c>
      <c r="H28" s="57" t="n">
        <f aca="false">3_Calc_From_Gross!BA30</f>
        <v>10545</v>
      </c>
      <c r="I28" s="57" t="n">
        <f aca="false">3_Calc_From_Gross!BP30</f>
        <v>5811.63</v>
      </c>
      <c r="J28" s="57" t="n">
        <f aca="false">3_Calc_From_Gross!CE30</f>
        <v>6780</v>
      </c>
      <c r="K28" s="57" t="n">
        <f aca="false">3_Calc_From_Gross!CT30</f>
        <v>3426.618</v>
      </c>
      <c r="L28" s="57" t="n">
        <f aca="false">3_Calc_From_Gross!DI30</f>
        <v>4195.125</v>
      </c>
      <c r="M28" s="57" t="n">
        <f aca="false">3_Calc_From_Gross!DX30</f>
        <v>2129.8675</v>
      </c>
    </row>
    <row r="29" customFormat="false" ht="15" hidden="false" customHeight="false" outlineLevel="0" collapsed="false">
      <c r="A29" s="41" t="n">
        <v>26</v>
      </c>
      <c r="B29" s="28" t="s">
        <v>259</v>
      </c>
      <c r="C29" s="8" t="s">
        <v>263</v>
      </c>
      <c r="D29" s="65" t="s">
        <v>249</v>
      </c>
      <c r="E29" s="63" t="n">
        <f aca="false">3_Calc_From_Gross!H31</f>
        <v>4035</v>
      </c>
      <c r="F29" s="60" t="n">
        <f aca="false">3_Calc_From_Gross!W31</f>
        <v>6139.38</v>
      </c>
      <c r="G29" s="60" t="n">
        <f aca="false">3_Calc_From_Gross!AL31</f>
        <v>7302.5</v>
      </c>
      <c r="H29" s="60" t="n">
        <f aca="false">3_Calc_From_Gross!BA31</f>
        <v>13209</v>
      </c>
      <c r="I29" s="60" t="n">
        <f aca="false">3_Calc_From_Gross!BP31</f>
        <v>8203.8</v>
      </c>
      <c r="J29" s="60" t="n">
        <f aca="false">3_Calc_From_Gross!CE31</f>
        <v>10170</v>
      </c>
      <c r="K29" s="60" t="n">
        <f aca="false">3_Calc_From_Gross!CT31</f>
        <v>5212.848</v>
      </c>
      <c r="L29" s="60" t="n">
        <f aca="false">3_Calc_From_Gross!DI31</f>
        <v>6409.0125</v>
      </c>
      <c r="M29" s="60" t="n">
        <f aca="false">3_Calc_From_Gross!DX31</f>
        <v>3435.6</v>
      </c>
    </row>
    <row r="30" customFormat="false" ht="15" hidden="false" customHeight="false" outlineLevel="0" collapsed="false">
      <c r="A30" s="37" t="n">
        <v>27</v>
      </c>
      <c r="B30" s="32" t="s">
        <v>264</v>
      </c>
      <c r="C30" s="32" t="s">
        <v>265</v>
      </c>
      <c r="D30" s="62" t="s">
        <v>248</v>
      </c>
      <c r="E30" s="63" t="n">
        <f aca="false">3_Calc_From_Gross!H32</f>
        <v>1385</v>
      </c>
      <c r="F30" s="57" t="n">
        <f aca="false">3_Calc_From_Gross!W32</f>
        <v>3530.7454</v>
      </c>
      <c r="G30" s="57" t="n">
        <f aca="false">3_Calc_From_Gross!AL32</f>
        <v>4867.95</v>
      </c>
      <c r="H30" s="57" t="n">
        <f aca="false">3_Calc_From_Gross!BA32</f>
        <v>9990</v>
      </c>
      <c r="I30" s="57" t="n">
        <f aca="false">3_Calc_From_Gross!BP32</f>
        <v>5469.2</v>
      </c>
      <c r="J30" s="57" t="n">
        <f aca="false">3_Calc_From_Gross!CE32</f>
        <v>6214.8</v>
      </c>
      <c r="K30" s="57" t="n">
        <f aca="false">3_Calc_From_Gross!CT32</f>
        <v>3141.624</v>
      </c>
      <c r="L30" s="57" t="n">
        <f aca="false">3_Calc_From_Gross!DI32</f>
        <v>4078.8</v>
      </c>
      <c r="M30" s="57" t="n">
        <f aca="false">3_Calc_From_Gross!DX32</f>
        <v>1960.1325</v>
      </c>
    </row>
    <row r="31" customFormat="false" ht="15" hidden="false" customHeight="false" outlineLevel="0" collapsed="false">
      <c r="A31" s="41" t="n">
        <v>28</v>
      </c>
      <c r="B31" s="28" t="s">
        <v>264</v>
      </c>
      <c r="C31" s="8" t="s">
        <v>265</v>
      </c>
      <c r="D31" s="65" t="s">
        <v>249</v>
      </c>
      <c r="E31" s="63" t="n">
        <f aca="false">3_Calc_From_Gross!H33</f>
        <v>3285</v>
      </c>
      <c r="F31" s="60" t="n">
        <f aca="false">3_Calc_From_Gross!W33</f>
        <v>5525.442</v>
      </c>
      <c r="G31" s="60" t="n">
        <f aca="false">3_Calc_From_Gross!AL33</f>
        <v>7606.1</v>
      </c>
      <c r="H31" s="60" t="n">
        <f aca="false">3_Calc_From_Gross!BA33</f>
        <v>12265.5</v>
      </c>
      <c r="I31" s="60" t="n">
        <f aca="false">3_Calc_From_Gross!BP33</f>
        <v>7862.58</v>
      </c>
      <c r="J31" s="60" t="n">
        <f aca="false">3_Calc_From_Gross!CE33</f>
        <v>8814</v>
      </c>
      <c r="K31" s="60" t="n">
        <f aca="false">3_Calc_From_Gross!CT33</f>
        <v>4840.884</v>
      </c>
      <c r="L31" s="60" t="n">
        <f aca="false">3_Calc_From_Gross!DI33</f>
        <v>6058.8</v>
      </c>
      <c r="M31" s="60" t="n">
        <f aca="false">3_Calc_From_Gross!DX33</f>
        <v>3340.5075</v>
      </c>
    </row>
    <row r="32" customFormat="false" ht="15" hidden="false" customHeight="false" outlineLevel="0" collapsed="false">
      <c r="A32" s="37" t="n">
        <v>29</v>
      </c>
      <c r="B32" s="32" t="s">
        <v>266</v>
      </c>
      <c r="C32" s="32" t="s">
        <v>267</v>
      </c>
      <c r="D32" s="62" t="s">
        <v>248</v>
      </c>
      <c r="E32" s="63" t="n">
        <f aca="false">3_Calc_From_Gross!H34</f>
        <v>1885</v>
      </c>
      <c r="F32" s="57" t="n">
        <f aca="false">3_Calc_From_Gross!W34</f>
        <v>5218.473</v>
      </c>
      <c r="G32" s="57" t="n">
        <f aca="false">3_Calc_From_Gross!AL34</f>
        <v>7302.5</v>
      </c>
      <c r="H32" s="57" t="n">
        <f aca="false">3_Calc_From_Gross!BA34</f>
        <v>15628.8</v>
      </c>
      <c r="I32" s="57" t="n">
        <f aca="false">3_Calc_From_Gross!BP34</f>
        <v>8090.06</v>
      </c>
      <c r="J32" s="57" t="n">
        <f aca="false">3_Calc_From_Gross!CE34</f>
        <v>8587.2</v>
      </c>
      <c r="K32" s="57" t="n">
        <f aca="false">3_Calc_From_Gross!CT34</f>
        <v>4284.276</v>
      </c>
      <c r="L32" s="57" t="n">
        <f aca="false">3_Calc_From_Gross!DI34</f>
        <v>5593.5</v>
      </c>
      <c r="M32" s="57" t="n">
        <f aca="false">3_Calc_From_Gross!DX34</f>
        <v>2811.875</v>
      </c>
    </row>
    <row r="33" customFormat="false" ht="15" hidden="false" customHeight="false" outlineLevel="0" collapsed="false">
      <c r="A33" s="41" t="n">
        <v>30</v>
      </c>
      <c r="B33" s="28" t="s">
        <v>266</v>
      </c>
      <c r="C33" s="8" t="s">
        <v>267</v>
      </c>
      <c r="D33" s="65" t="s">
        <v>249</v>
      </c>
      <c r="E33" s="63" t="n">
        <f aca="false">3_Calc_From_Gross!H35</f>
        <v>4810</v>
      </c>
      <c r="F33" s="60" t="n">
        <f aca="false">3_Calc_From_Gross!W35</f>
        <v>8288.163</v>
      </c>
      <c r="G33" s="60" t="n">
        <f aca="false">3_Calc_From_Gross!AL35</f>
        <v>10953.75</v>
      </c>
      <c r="H33" s="60" t="n">
        <f aca="false">3_Calc_From_Gross!BA35</f>
        <v>17454.75</v>
      </c>
      <c r="I33" s="60" t="n">
        <f aca="false">3_Calc_From_Gross!BP35</f>
        <v>11622.05</v>
      </c>
      <c r="J33" s="60" t="n">
        <f aca="false">3_Calc_From_Gross!CE35</f>
        <v>12430.8</v>
      </c>
      <c r="K33" s="60" t="n">
        <f aca="false">3_Calc_From_Gross!CT35</f>
        <v>6851.898</v>
      </c>
      <c r="L33" s="60" t="n">
        <f aca="false">3_Calc_From_Gross!DI35</f>
        <v>8390.25</v>
      </c>
      <c r="M33" s="60" t="n">
        <f aca="false">3_Calc_From_Gross!DX35</f>
        <v>4580.8</v>
      </c>
    </row>
    <row r="34" customFormat="false" ht="15" hidden="false" customHeight="false" outlineLevel="0" collapsed="false">
      <c r="A34" s="37" t="n">
        <v>31</v>
      </c>
      <c r="B34" s="32" t="s">
        <v>268</v>
      </c>
      <c r="C34" s="32" t="s">
        <v>269</v>
      </c>
      <c r="D34" s="62" t="s">
        <v>248</v>
      </c>
      <c r="E34" s="63" t="n">
        <f aca="false">3_Calc_From_Gross!H36</f>
        <v>1435</v>
      </c>
      <c r="F34" s="57" t="n">
        <f aca="false">3_Calc_From_Gross!W36</f>
        <v>4297.566</v>
      </c>
      <c r="G34" s="57" t="n">
        <f aca="false">3_Calc_From_Gross!AL36</f>
        <v>5477.45</v>
      </c>
      <c r="H34" s="57" t="n">
        <f aca="false">3_Calc_From_Gross!BA36</f>
        <v>12210</v>
      </c>
      <c r="I34" s="57" t="n">
        <f aca="false">3_Calc_From_Gross!BP36</f>
        <v>6381.54</v>
      </c>
      <c r="J34" s="57" t="n">
        <f aca="false">3_Calc_From_Gross!CE36</f>
        <v>7345.2</v>
      </c>
      <c r="K34" s="57" t="n">
        <f aca="false">3_Calc_From_Gross!CT36</f>
        <v>3569.784</v>
      </c>
      <c r="L34" s="57" t="n">
        <f aca="false">3_Calc_From_Gross!DI36</f>
        <v>4429.0125</v>
      </c>
      <c r="M34" s="57" t="n">
        <f aca="false">3_Calc_From_Gross!DX36</f>
        <v>2215.7575</v>
      </c>
    </row>
    <row r="35" customFormat="false" ht="15" hidden="false" customHeight="false" outlineLevel="0" collapsed="false">
      <c r="A35" s="41" t="n">
        <v>32</v>
      </c>
      <c r="B35" s="28" t="s">
        <v>268</v>
      </c>
      <c r="C35" s="8" t="s">
        <v>269</v>
      </c>
      <c r="D35" s="65" t="s">
        <v>249</v>
      </c>
      <c r="E35" s="63" t="n">
        <f aca="false">3_Calc_From_Gross!H37</f>
        <v>3235</v>
      </c>
      <c r="F35" s="60" t="n">
        <f aca="false">3_Calc_From_Gross!W37</f>
        <v>6139.38</v>
      </c>
      <c r="G35" s="60" t="n">
        <f aca="false">3_Calc_From_Gross!AL37</f>
        <v>7910.85</v>
      </c>
      <c r="H35" s="60" t="n">
        <f aca="false">3_Calc_From_Gross!BA37</f>
        <v>14152.5</v>
      </c>
      <c r="I35" s="60" t="n">
        <f aca="false">3_Calc_From_Gross!BP37</f>
        <v>8887.45</v>
      </c>
      <c r="J35" s="60" t="n">
        <f aca="false">3_Calc_From_Gross!CE37</f>
        <v>10170</v>
      </c>
      <c r="K35" s="60" t="n">
        <f aca="false">3_Calc_From_Gross!CT37</f>
        <v>5511.222</v>
      </c>
      <c r="L35" s="60" t="n">
        <f aca="false">3_Calc_From_Gross!DI37</f>
        <v>6757.9875</v>
      </c>
      <c r="M35" s="60" t="n">
        <f aca="false">3_Calc_From_Gross!DX37</f>
        <v>3626.8075</v>
      </c>
    </row>
    <row r="36" customFormat="false" ht="15" hidden="false" customHeight="false" outlineLevel="0" collapsed="false">
      <c r="A36" s="37" t="n">
        <v>33</v>
      </c>
      <c r="B36" s="32" t="s">
        <v>270</v>
      </c>
      <c r="C36" s="32" t="s">
        <v>271</v>
      </c>
      <c r="D36" s="62" t="s">
        <v>248</v>
      </c>
      <c r="E36" s="63" t="n">
        <f aca="false">3_Calc_From_Gross!H38</f>
        <v>1185</v>
      </c>
      <c r="F36" s="57" t="n">
        <f aca="false">3_Calc_From_Gross!W38</f>
        <v>3683.628</v>
      </c>
      <c r="G36" s="57" t="n">
        <f aca="false">3_Calc_From_Gross!AL38</f>
        <v>4867.95</v>
      </c>
      <c r="H36" s="57" t="n">
        <f aca="false">3_Calc_From_Gross!BA38</f>
        <v>11100</v>
      </c>
      <c r="I36" s="57" t="n">
        <f aca="false">3_Calc_From_Gross!BP38</f>
        <v>5697.89</v>
      </c>
      <c r="J36" s="57" t="n">
        <f aca="false">3_Calc_From_Gross!CE38</f>
        <v>6667.2</v>
      </c>
      <c r="K36" s="57" t="n">
        <f aca="false">3_Calc_From_Gross!CT38</f>
        <v>2998.458</v>
      </c>
      <c r="L36" s="57" t="n">
        <f aca="false">3_Calc_From_Gross!DI38</f>
        <v>4078.8</v>
      </c>
      <c r="M36" s="57" t="n">
        <f aca="false">3_Calc_From_Gross!DX38</f>
        <v>1874.2425</v>
      </c>
    </row>
    <row r="37" customFormat="false" ht="15" hidden="false" customHeight="false" outlineLevel="0" collapsed="false">
      <c r="A37" s="41" t="n">
        <v>34</v>
      </c>
      <c r="B37" s="28" t="s">
        <v>270</v>
      </c>
      <c r="C37" s="8" t="s">
        <v>271</v>
      </c>
      <c r="D37" s="65" t="s">
        <v>249</v>
      </c>
      <c r="E37" s="63" t="n">
        <f aca="false">3_Calc_From_Gross!H39</f>
        <v>2785</v>
      </c>
      <c r="F37" s="60" t="n">
        <f aca="false">3_Calc_From_Gross!W39</f>
        <v>5525.442</v>
      </c>
      <c r="G37" s="60" t="n">
        <f aca="false">3_Calc_From_Gross!AL39</f>
        <v>6693</v>
      </c>
      <c r="H37" s="60" t="n">
        <f aca="false">3_Calc_From_Gross!BA39</f>
        <v>12737.25</v>
      </c>
      <c r="I37" s="60" t="n">
        <f aca="false">3_Calc_From_Gross!BP39</f>
        <v>7975.11</v>
      </c>
      <c r="J37" s="60" t="n">
        <f aca="false">3_Calc_From_Gross!CE39</f>
        <v>9379.2</v>
      </c>
      <c r="K37" s="60" t="n">
        <f aca="false">3_Calc_From_Gross!CT39</f>
        <v>4468.92</v>
      </c>
      <c r="L37" s="60" t="n">
        <f aca="false">3_Calc_From_Gross!DI39</f>
        <v>5827.3875</v>
      </c>
      <c r="M37" s="60" t="n">
        <f aca="false">3_Calc_From_Gross!DX39</f>
        <v>3149.3</v>
      </c>
    </row>
    <row r="38" customFormat="false" ht="15" hidden="false" customHeight="false" outlineLevel="0" collapsed="false">
      <c r="A38" s="37" t="n">
        <v>35</v>
      </c>
      <c r="B38" s="32" t="s">
        <v>272</v>
      </c>
      <c r="C38" s="32" t="s">
        <v>273</v>
      </c>
      <c r="D38" s="62" t="s">
        <v>248</v>
      </c>
      <c r="E38" s="63" t="n">
        <f aca="false">3_Calc_From_Gross!H40</f>
        <v>1535</v>
      </c>
      <c r="F38" s="57" t="n">
        <f aca="false">3_Calc_From_Gross!W40</f>
        <v>4451.6524</v>
      </c>
      <c r="G38" s="57" t="n">
        <f aca="false">3_Calc_From_Gross!AL40</f>
        <v>6085.8</v>
      </c>
      <c r="H38" s="57" t="n">
        <f aca="false">3_Calc_From_Gross!BA40</f>
        <v>14985</v>
      </c>
      <c r="I38" s="57" t="n">
        <f aca="false">3_Calc_From_Gross!BP40</f>
        <v>6836.5</v>
      </c>
      <c r="J38" s="57" t="n">
        <f aca="false">3_Calc_From_Gross!CE40</f>
        <v>7909.2</v>
      </c>
      <c r="K38" s="57" t="n">
        <f aca="false">3_Calc_From_Gross!CT40</f>
        <v>3997.944</v>
      </c>
      <c r="L38" s="57" t="n">
        <f aca="false">3_Calc_From_Gross!DI40</f>
        <v>4894.3125</v>
      </c>
      <c r="M38" s="57" t="n">
        <f aca="false">3_Calc_From_Gross!DX40</f>
        <v>2556.25</v>
      </c>
    </row>
    <row r="39" customFormat="false" ht="15" hidden="false" customHeight="false" outlineLevel="0" collapsed="false">
      <c r="A39" s="41" t="n">
        <v>36</v>
      </c>
      <c r="B39" s="28" t="s">
        <v>272</v>
      </c>
      <c r="C39" s="8" t="s">
        <v>273</v>
      </c>
      <c r="D39" s="65" t="s">
        <v>249</v>
      </c>
      <c r="E39" s="63" t="n">
        <f aca="false">3_Calc_From_Gross!H41</f>
        <v>4285</v>
      </c>
      <c r="F39" s="60" t="n">
        <f aca="false">3_Calc_From_Gross!W41</f>
        <v>7367.256</v>
      </c>
      <c r="G39" s="60" t="n">
        <f aca="false">3_Calc_From_Gross!AL41</f>
        <v>9128.7</v>
      </c>
      <c r="H39" s="60" t="n">
        <f aca="false">3_Calc_From_Gross!BA41</f>
        <v>16039.5</v>
      </c>
      <c r="I39" s="60" t="n">
        <f aca="false">3_Calc_From_Gross!BP41</f>
        <v>9913.53</v>
      </c>
      <c r="J39" s="60" t="n">
        <f aca="false">3_Calc_From_Gross!CE41</f>
        <v>11300.4</v>
      </c>
      <c r="K39" s="60" t="n">
        <f aca="false">3_Calc_From_Gross!CT41</f>
        <v>6330.078</v>
      </c>
      <c r="L39" s="60" t="n">
        <f aca="false">3_Calc_From_Gross!DI41</f>
        <v>7691.0625</v>
      </c>
      <c r="M39" s="60" t="n">
        <f aca="false">3_Calc_From_Gross!DX41</f>
        <v>4294.5</v>
      </c>
    </row>
    <row r="40" customFormat="false" ht="15" hidden="false" customHeight="false" outlineLevel="0" collapsed="false">
      <c r="A40" s="37" t="n">
        <v>37</v>
      </c>
      <c r="B40" s="32" t="s">
        <v>272</v>
      </c>
      <c r="C40" s="32" t="s">
        <v>274</v>
      </c>
      <c r="D40" s="62" t="s">
        <v>248</v>
      </c>
      <c r="E40" s="63" t="n">
        <f aca="false">3_Calc_From_Gross!H42</f>
        <v>1285</v>
      </c>
      <c r="F40" s="57" t="n">
        <f aca="false">3_Calc_From_Gross!W42</f>
        <v>4144.6834</v>
      </c>
      <c r="G40" s="57" t="n">
        <f aca="false">3_Calc_From_Gross!AL42</f>
        <v>5477.45</v>
      </c>
      <c r="H40" s="57" t="n">
        <f aca="false">3_Calc_From_Gross!BA42</f>
        <v>12210</v>
      </c>
      <c r="I40" s="57" t="n">
        <f aca="false">3_Calc_From_Gross!BP42</f>
        <v>6266.59</v>
      </c>
      <c r="J40" s="57" t="n">
        <f aca="false">3_Calc_From_Gross!CE42</f>
        <v>7345.2</v>
      </c>
      <c r="K40" s="57" t="n">
        <f aca="false">3_Calc_From_Gross!CT42</f>
        <v>3569.784</v>
      </c>
      <c r="L40" s="57" t="n">
        <f aca="false">3_Calc_From_Gross!DI42</f>
        <v>4429.0125</v>
      </c>
      <c r="M40" s="57" t="n">
        <f aca="false">3_Calc_From_Gross!DX42</f>
        <v>2385.4925</v>
      </c>
    </row>
    <row r="41" customFormat="false" ht="15" hidden="false" customHeight="false" outlineLevel="0" collapsed="false">
      <c r="A41" s="41" t="n">
        <v>38</v>
      </c>
      <c r="B41" s="28" t="s">
        <v>272</v>
      </c>
      <c r="C41" s="8" t="s">
        <v>274</v>
      </c>
      <c r="D41" s="65" t="s">
        <v>249</v>
      </c>
      <c r="E41" s="63" t="n">
        <f aca="false">3_Calc_From_Gross!H43</f>
        <v>4035</v>
      </c>
      <c r="F41" s="60" t="n">
        <f aca="false">3_Calc_From_Gross!W43</f>
        <v>6446.349</v>
      </c>
      <c r="G41" s="60" t="n">
        <f aca="false">3_Calc_From_Gross!AL43</f>
        <v>7910.85</v>
      </c>
      <c r="H41" s="60" t="n">
        <f aca="false">3_Calc_From_Gross!BA43</f>
        <v>14152.5</v>
      </c>
      <c r="I41" s="60" t="n">
        <f aca="false">3_Calc_From_Gross!BP43</f>
        <v>8887.45</v>
      </c>
      <c r="J41" s="60" t="n">
        <f aca="false">3_Calc_From_Gross!CE43</f>
        <v>10170</v>
      </c>
      <c r="K41" s="60" t="n">
        <f aca="false">3_Calc_From_Gross!CT43</f>
        <v>5659.74</v>
      </c>
      <c r="L41" s="60" t="n">
        <f aca="false">3_Calc_From_Gross!DI43</f>
        <v>6991.875</v>
      </c>
      <c r="M41" s="60" t="n">
        <f aca="false">3_Calc_From_Gross!DX43</f>
        <v>3816.9925</v>
      </c>
    </row>
    <row r="42" customFormat="false" ht="15" hidden="false" customHeight="false" outlineLevel="0" collapsed="false">
      <c r="A42" s="37" t="n">
        <v>39</v>
      </c>
      <c r="B42" s="32" t="s">
        <v>272</v>
      </c>
      <c r="C42" s="32" t="s">
        <v>275</v>
      </c>
      <c r="D42" s="62" t="s">
        <v>248</v>
      </c>
      <c r="E42" s="63" t="n">
        <f aca="false">3_Calc_From_Gross!H44</f>
        <v>1285</v>
      </c>
      <c r="F42" s="57" t="n">
        <f aca="false">3_Calc_From_Gross!W44</f>
        <v>3990.597</v>
      </c>
      <c r="G42" s="57" t="n">
        <f aca="false">3_Calc_From_Gross!AL44</f>
        <v>5477.45</v>
      </c>
      <c r="H42" s="57" t="n">
        <f aca="false">3_Calc_From_Gross!BA44</f>
        <v>13320</v>
      </c>
      <c r="I42" s="57" t="n">
        <f aca="false">3_Calc_From_Gross!BP44</f>
        <v>6152.85</v>
      </c>
      <c r="J42" s="57" t="n">
        <f aca="false">3_Calc_From_Gross!CE44</f>
        <v>6780</v>
      </c>
      <c r="K42" s="57" t="n">
        <f aca="false">3_Calc_From_Gross!CT44</f>
        <v>3426.618</v>
      </c>
      <c r="L42" s="57" t="n">
        <f aca="false">3_Calc_From_Gross!DI44</f>
        <v>4195.125</v>
      </c>
      <c r="M42" s="57" t="n">
        <f aca="false">3_Calc_From_Gross!DX44</f>
        <v>2215.7575</v>
      </c>
    </row>
    <row r="43" customFormat="false" ht="15" hidden="false" customHeight="false" outlineLevel="0" collapsed="false">
      <c r="A43" s="41" t="n">
        <v>40</v>
      </c>
      <c r="B43" s="28" t="s">
        <v>272</v>
      </c>
      <c r="C43" s="8" t="s">
        <v>275</v>
      </c>
      <c r="D43" s="65" t="s">
        <v>249</v>
      </c>
      <c r="E43" s="63" t="n">
        <f aca="false">3_Calc_From_Gross!H45</f>
        <v>4285</v>
      </c>
      <c r="F43" s="60" t="n">
        <f aca="false">3_Calc_From_Gross!W45</f>
        <v>6753.318</v>
      </c>
      <c r="G43" s="60" t="n">
        <f aca="false">3_Calc_From_Gross!AL45</f>
        <v>7910.85</v>
      </c>
      <c r="H43" s="60" t="n">
        <f aca="false">3_Calc_From_Gross!BA45</f>
        <v>15096</v>
      </c>
      <c r="I43" s="60" t="n">
        <f aca="false">3_Calc_From_Gross!BP45</f>
        <v>9229.88</v>
      </c>
      <c r="J43" s="60" t="n">
        <f aca="false">3_Calc_From_Gross!CE45</f>
        <v>10170</v>
      </c>
      <c r="K43" s="60" t="n">
        <f aca="false">3_Calc_From_Gross!CT45</f>
        <v>5808.258</v>
      </c>
      <c r="L43" s="60" t="n">
        <f aca="false">3_Calc_From_Gross!DI45</f>
        <v>6991.875</v>
      </c>
      <c r="M43" s="60" t="n">
        <f aca="false">3_Calc_From_Gross!DX45</f>
        <v>3626.8075</v>
      </c>
    </row>
    <row r="44" customFormat="false" ht="15" hidden="false" customHeight="false" outlineLevel="0" collapsed="false">
      <c r="A44" s="37" t="n">
        <v>41</v>
      </c>
      <c r="B44" s="32" t="s">
        <v>276</v>
      </c>
      <c r="C44" s="32" t="s">
        <v>277</v>
      </c>
      <c r="D44" s="62" t="s">
        <v>248</v>
      </c>
      <c r="E44" s="63" t="n">
        <f aca="false">3_Calc_From_Gross!H46</f>
        <v>2035</v>
      </c>
      <c r="F44" s="57" t="n">
        <f aca="false">3_Calc_From_Gross!W46</f>
        <v>5218.473</v>
      </c>
      <c r="G44" s="57" t="n">
        <f aca="false">3_Calc_From_Gross!AL46</f>
        <v>7302.5</v>
      </c>
      <c r="H44" s="57" t="n">
        <f aca="false">3_Calc_From_Gross!BA46</f>
        <v>17760</v>
      </c>
      <c r="I44" s="57" t="n">
        <f aca="false">3_Calc_From_Gross!BP46</f>
        <v>7975.11</v>
      </c>
      <c r="J44" s="57" t="n">
        <f aca="false">3_Calc_From_Gross!CE46</f>
        <v>8926.8</v>
      </c>
      <c r="K44" s="57" t="n">
        <f aca="false">3_Calc_From_Gross!CT46</f>
        <v>4426.104</v>
      </c>
      <c r="L44" s="57" t="n">
        <f aca="false">3_Calc_From_Gross!DI46</f>
        <v>5827.3875</v>
      </c>
      <c r="M44" s="57" t="n">
        <f aca="false">3_Calc_From_Gross!DX46</f>
        <v>2982.6325</v>
      </c>
    </row>
    <row r="45" customFormat="false" ht="15" hidden="false" customHeight="false" outlineLevel="0" collapsed="false">
      <c r="A45" s="41" t="n">
        <v>42</v>
      </c>
      <c r="B45" s="28" t="s">
        <v>276</v>
      </c>
      <c r="C45" s="8" t="s">
        <v>277</v>
      </c>
      <c r="D45" s="65" t="s">
        <v>249</v>
      </c>
      <c r="E45" s="63" t="n">
        <f aca="false">3_Calc_From_Gross!H47</f>
        <v>5535</v>
      </c>
      <c r="F45" s="60" t="n">
        <f aca="false">3_Calc_From_Gross!W47</f>
        <v>8288.163</v>
      </c>
      <c r="G45" s="60" t="n">
        <f aca="false">3_Calc_From_Gross!AL47</f>
        <v>11560.95</v>
      </c>
      <c r="H45" s="60" t="n">
        <f aca="false">3_Calc_From_Gross!BA47</f>
        <v>22172.25</v>
      </c>
      <c r="I45" s="60" t="n">
        <f aca="false">3_Calc_From_Gross!BP47</f>
        <v>11622.05</v>
      </c>
      <c r="J45" s="60" t="n">
        <f aca="false">3_Calc_From_Gross!CE47</f>
        <v>13560</v>
      </c>
      <c r="K45" s="60" t="n">
        <f aca="false">3_Calc_From_Gross!CT47</f>
        <v>7075.344</v>
      </c>
      <c r="L45" s="60" t="n">
        <f aca="false">3_Calc_From_Gross!DI47</f>
        <v>9089.4375</v>
      </c>
      <c r="M45" s="60" t="n">
        <f aca="false">3_Calc_From_Gross!DX47</f>
        <v>4962.1925</v>
      </c>
    </row>
    <row r="46" customFormat="false" ht="15" hidden="false" customHeight="false" outlineLevel="0" collapsed="false">
      <c r="A46" s="37" t="n">
        <v>43</v>
      </c>
      <c r="B46" s="32" t="s">
        <v>278</v>
      </c>
      <c r="C46" s="32" t="s">
        <v>279</v>
      </c>
      <c r="D46" s="62" t="s">
        <v>248</v>
      </c>
      <c r="E46" s="63" t="n">
        <f aca="false">3_Calc_From_Gross!H48</f>
        <v>1910</v>
      </c>
      <c r="F46" s="57" t="n">
        <f aca="false">3_Calc_From_Gross!W48</f>
        <v>4911.504</v>
      </c>
      <c r="G46" s="57" t="n">
        <f aca="false">3_Calc_From_Gross!AL48</f>
        <v>6085.8</v>
      </c>
      <c r="H46" s="57" t="n">
        <f aca="false">3_Calc_From_Gross!BA48</f>
        <v>15540</v>
      </c>
      <c r="I46" s="57" t="n">
        <f aca="false">3_Calc_From_Gross!BP48</f>
        <v>7406.41</v>
      </c>
      <c r="J46" s="57" t="n">
        <f aca="false">3_Calc_From_Gross!CE48</f>
        <v>7909.2</v>
      </c>
      <c r="K46" s="57" t="n">
        <f aca="false">3_Calc_From_Gross!CT48</f>
        <v>4284.276</v>
      </c>
      <c r="L46" s="57" t="n">
        <f aca="false">3_Calc_From_Gross!DI48</f>
        <v>5128.2</v>
      </c>
      <c r="M46" s="57" t="n">
        <f aca="false">3_Calc_From_Gross!DX48</f>
        <v>2811.875</v>
      </c>
    </row>
    <row r="47" customFormat="false" ht="15" hidden="false" customHeight="false" outlineLevel="0" collapsed="false">
      <c r="A47" s="41" t="n">
        <v>44</v>
      </c>
      <c r="B47" s="28" t="s">
        <v>278</v>
      </c>
      <c r="C47" s="8" t="s">
        <v>279</v>
      </c>
      <c r="D47" s="65" t="s">
        <v>249</v>
      </c>
      <c r="E47" s="63" t="n">
        <f aca="false">3_Calc_From_Gross!H49</f>
        <v>4635</v>
      </c>
      <c r="F47" s="60" t="n">
        <f aca="false">3_Calc_From_Gross!W49</f>
        <v>7981.194</v>
      </c>
      <c r="G47" s="60" t="n">
        <f aca="false">3_Calc_From_Gross!AL49</f>
        <v>9128.7</v>
      </c>
      <c r="H47" s="60" t="n">
        <f aca="false">3_Calc_From_Gross!BA49</f>
        <v>17926.5</v>
      </c>
      <c r="I47" s="60" t="n">
        <f aca="false">3_Calc_From_Gross!BP49</f>
        <v>10254.75</v>
      </c>
      <c r="J47" s="60" t="n">
        <f aca="false">3_Calc_From_Gross!CE49</f>
        <v>11413.2</v>
      </c>
      <c r="K47" s="60" t="n">
        <f aca="false">3_Calc_From_Gross!CT49</f>
        <v>6702.042</v>
      </c>
      <c r="L47" s="60" t="n">
        <f aca="false">3_Calc_From_Gross!DI49</f>
        <v>7924.95</v>
      </c>
      <c r="M47" s="60" t="n">
        <f aca="false">3_Calc_From_Gross!DX49</f>
        <v>4580.8</v>
      </c>
    </row>
    <row r="48" customFormat="false" ht="15" hidden="false" customHeight="false" outlineLevel="0" collapsed="false">
      <c r="A48" s="37" t="n">
        <v>45</v>
      </c>
      <c r="B48" s="32" t="s">
        <v>280</v>
      </c>
      <c r="C48" s="32" t="s">
        <v>281</v>
      </c>
      <c r="D48" s="62" t="s">
        <v>248</v>
      </c>
      <c r="E48" s="63" t="n">
        <f aca="false">3_Calc_From_Gross!H50</f>
        <v>1760</v>
      </c>
      <c r="F48" s="57" t="n">
        <f aca="false">3_Calc_From_Gross!W50</f>
        <v>4604.535</v>
      </c>
      <c r="G48" s="57" t="n">
        <f aca="false">3_Calc_From_Gross!AL50</f>
        <v>6693</v>
      </c>
      <c r="H48" s="57" t="n">
        <f aca="false">3_Calc_From_Gross!BA50</f>
        <v>16650</v>
      </c>
      <c r="I48" s="57" t="n">
        <f aca="false">3_Calc_From_Gross!BP50</f>
        <v>6950.24</v>
      </c>
      <c r="J48" s="57" t="n">
        <f aca="false">3_Calc_From_Gross!CE50</f>
        <v>7684.8</v>
      </c>
      <c r="K48" s="57" t="n">
        <f aca="false">3_Calc_From_Gross!CT50</f>
        <v>4141.11</v>
      </c>
      <c r="L48" s="57" t="n">
        <f aca="false">3_Calc_From_Gross!DI50</f>
        <v>4894.3125</v>
      </c>
      <c r="M48" s="57" t="n">
        <f aca="false">3_Calc_From_Gross!DX50</f>
        <v>2641.1175</v>
      </c>
    </row>
    <row r="49" customFormat="false" ht="15" hidden="false" customHeight="false" outlineLevel="0" collapsed="false">
      <c r="A49" s="41" t="n">
        <v>46</v>
      </c>
      <c r="B49" s="28" t="s">
        <v>280</v>
      </c>
      <c r="C49" s="8" t="s">
        <v>281</v>
      </c>
      <c r="D49" s="65" t="s">
        <v>249</v>
      </c>
      <c r="E49" s="63" t="n">
        <f aca="false">3_Calc_From_Gross!H51</f>
        <v>4285</v>
      </c>
      <c r="F49" s="60" t="n">
        <f aca="false">3_Calc_From_Gross!W51</f>
        <v>7674.225</v>
      </c>
      <c r="G49" s="60" t="n">
        <f aca="false">3_Calc_From_Gross!AL51</f>
        <v>9737.05</v>
      </c>
      <c r="H49" s="60" t="n">
        <f aca="false">3_Calc_From_Gross!BA51</f>
        <v>19813.5</v>
      </c>
      <c r="I49" s="60" t="n">
        <f aca="false">3_Calc_From_Gross!BP51</f>
        <v>9571.1</v>
      </c>
      <c r="J49" s="60" t="n">
        <f aca="false">3_Calc_From_Gross!CE51</f>
        <v>11300.4</v>
      </c>
      <c r="K49" s="60" t="n">
        <f aca="false">3_Calc_From_Gross!CT51</f>
        <v>6553.524</v>
      </c>
      <c r="L49" s="60" t="n">
        <f aca="false">3_Calc_From_Gross!DI51</f>
        <v>7691.0625</v>
      </c>
      <c r="M49" s="60" t="n">
        <f aca="false">3_Calc_From_Gross!DX51</f>
        <v>4389.5925</v>
      </c>
    </row>
    <row r="50" customFormat="false" ht="18" hidden="false" customHeight="true" outlineLevel="0" collapsed="false">
      <c r="A50" s="98" t="s">
        <v>955</v>
      </c>
      <c r="B50" s="98"/>
      <c r="C50" s="98"/>
      <c r="D50" s="98"/>
      <c r="E50" s="99" t="n">
        <f aca="false">AVERAGE(E4:E49)</f>
        <v>2914.63043478261</v>
      </c>
      <c r="F50" s="99" t="n">
        <f aca="false">AVERAGE(F4:F49)</f>
        <v>5732.41709130435</v>
      </c>
      <c r="G50" s="99" t="n">
        <f aca="false">AVERAGE(G4:G49)</f>
        <v>7276</v>
      </c>
      <c r="H50" s="99" t="n">
        <f aca="false">AVERAGE(H4:H49)</f>
        <v>14108.5826086957</v>
      </c>
      <c r="I50" s="99" t="n">
        <f aca="false">AVERAGE(I4:I49)</f>
        <v>8058.83673913044</v>
      </c>
      <c r="J50" s="99" t="n">
        <f aca="false">AVERAGE(J4:J49)</f>
        <v>9079.35652173913</v>
      </c>
      <c r="K50" s="99" t="n">
        <f aca="false">AVERAGE(K4:K49)</f>
        <v>4941.17582608696</v>
      </c>
      <c r="L50" s="99" t="n">
        <f aca="false">AVERAGE(L4:L49)</f>
        <v>5963.37798913044</v>
      </c>
      <c r="M50" s="99" t="n">
        <f aca="false">AVERAGE(M4:M49)</f>
        <v>3198.86902173913</v>
      </c>
    </row>
  </sheetData>
  <mergeCells count="3">
    <mergeCell ref="A1:M1"/>
    <mergeCell ref="A2:M2"/>
    <mergeCell ref="A50:D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"/>
    <col collapsed="false" customWidth="true" hidden="false" outlineLevel="0" max="3" min="3" style="1" width="18"/>
    <col collapsed="false" customWidth="true" hidden="false" outlineLevel="0" max="4" min="4" style="1" width="9"/>
    <col collapsed="false" customWidth="true" hidden="false" outlineLevel="0" max="13" min="5" style="1" width="13"/>
  </cols>
  <sheetData>
    <row r="1" customFormat="false" ht="25.5" hidden="false" customHeight="true" outlineLevel="0" collapsed="false">
      <c r="A1" s="35" t="s">
        <v>960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customFormat="false" ht="15" hidden="false" customHeight="true" outlineLevel="0" collapsed="false">
      <c r="A2" s="44" t="s">
        <v>961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customFormat="false" ht="31.5" hidden="false" customHeight="true" outlineLevel="0" collapsed="false">
      <c r="A3" s="14" t="s">
        <v>233</v>
      </c>
      <c r="B3" s="14" t="s">
        <v>284</v>
      </c>
      <c r="C3" s="14" t="s">
        <v>235</v>
      </c>
      <c r="D3" s="14" t="s">
        <v>236</v>
      </c>
      <c r="E3" s="49" t="s">
        <v>946</v>
      </c>
      <c r="F3" s="45" t="s">
        <v>962</v>
      </c>
      <c r="G3" s="45" t="s">
        <v>963</v>
      </c>
      <c r="H3" s="45" t="s">
        <v>964</v>
      </c>
      <c r="I3" s="45" t="s">
        <v>965</v>
      </c>
      <c r="J3" s="45" t="s">
        <v>966</v>
      </c>
      <c r="K3" s="45" t="s">
        <v>967</v>
      </c>
      <c r="L3" s="45" t="s">
        <v>968</v>
      </c>
      <c r="M3" s="45" t="s">
        <v>969</v>
      </c>
    </row>
    <row r="4" customFormat="false" ht="15" hidden="false" customHeight="false" outlineLevel="0" collapsed="false">
      <c r="A4" s="37" t="n">
        <v>1</v>
      </c>
      <c r="B4" s="32" t="s">
        <v>246</v>
      </c>
      <c r="C4" s="32" t="s">
        <v>247</v>
      </c>
      <c r="D4" s="62" t="s">
        <v>248</v>
      </c>
      <c r="E4" s="63" t="n">
        <f aca="false">3_Calc_From_Gross!H6</f>
        <v>1535</v>
      </c>
      <c r="F4" s="57" t="n">
        <f aca="false">3_Calc_From_Gross!AB6</f>
        <v>3825</v>
      </c>
      <c r="G4" s="57" t="n">
        <f aca="false">3_Calc_From_Gross!AQ6</f>
        <v>5292</v>
      </c>
      <c r="H4" s="57" t="n">
        <f aca="false">3_Calc_From_Gross!BF6</f>
        <v>11000</v>
      </c>
      <c r="I4" s="57" t="n">
        <f aca="false">3_Calc_From_Gross!BU6</f>
        <v>5726</v>
      </c>
      <c r="J4" s="57" t="n">
        <f aca="false">3_Calc_From_Gross!CJ6</f>
        <v>6404</v>
      </c>
      <c r="K4" s="57" t="n">
        <f aca="false">3_Calc_From_Gross!CY6</f>
        <v>3095</v>
      </c>
      <c r="L4" s="57" t="n">
        <f aca="false">3_Calc_From_Gross!DN6</f>
        <v>3955</v>
      </c>
      <c r="M4" s="57" t="n">
        <f aca="false">3_Calc_From_Gross!EC6</f>
        <v>2500</v>
      </c>
    </row>
    <row r="5" customFormat="false" ht="15" hidden="false" customHeight="false" outlineLevel="0" collapsed="false">
      <c r="A5" s="41" t="n">
        <v>2</v>
      </c>
      <c r="B5" s="28" t="s">
        <v>246</v>
      </c>
      <c r="C5" s="8" t="s">
        <v>247</v>
      </c>
      <c r="D5" s="65" t="s">
        <v>249</v>
      </c>
      <c r="E5" s="63" t="n">
        <f aca="false">3_Calc_From_Gross!H7</f>
        <v>4785</v>
      </c>
      <c r="F5" s="60" t="n">
        <f aca="false">3_Calc_From_Gross!AB7</f>
        <v>6375</v>
      </c>
      <c r="G5" s="60" t="n">
        <f aca="false">3_Calc_From_Gross!AQ7</f>
        <v>7938</v>
      </c>
      <c r="H5" s="60" t="n">
        <f aca="false">3_Calc_From_Gross!BF7</f>
        <v>14025</v>
      </c>
      <c r="I5" s="60" t="n">
        <f aca="false">3_Calc_From_Gross!BU7</f>
        <v>8193</v>
      </c>
      <c r="J5" s="60" t="n">
        <f aca="false">3_Calc_From_Gross!CJ7</f>
        <v>9417</v>
      </c>
      <c r="K5" s="60" t="n">
        <f aca="false">3_Calc_From_Gross!CY7</f>
        <v>5009</v>
      </c>
      <c r="L5" s="60" t="n">
        <f aca="false">3_Calc_From_Gross!DN7</f>
        <v>6215</v>
      </c>
      <c r="M5" s="60" t="n">
        <f aca="false">3_Calc_From_Gross!EC7</f>
        <v>4200</v>
      </c>
    </row>
    <row r="6" customFormat="false" ht="15" hidden="false" customHeight="false" outlineLevel="0" collapsed="false">
      <c r="A6" s="37" t="n">
        <v>3</v>
      </c>
      <c r="B6" s="32" t="s">
        <v>246</v>
      </c>
      <c r="C6" s="32" t="s">
        <v>250</v>
      </c>
      <c r="D6" s="62" t="s">
        <v>248</v>
      </c>
      <c r="E6" s="63" t="n">
        <f aca="false">3_Calc_From_Gross!H8</f>
        <v>1635</v>
      </c>
      <c r="F6" s="57" t="n">
        <f aca="false">3_Calc_From_Gross!AB8</f>
        <v>3825</v>
      </c>
      <c r="G6" s="57" t="n">
        <f aca="false">3_Calc_From_Gross!AQ8</f>
        <v>5292</v>
      </c>
      <c r="H6" s="57" t="n">
        <f aca="false">3_Calc_From_Gross!BF8</f>
        <v>11000</v>
      </c>
      <c r="I6" s="57" t="n">
        <f aca="false">3_Calc_From_Gross!BU8</f>
        <v>5650</v>
      </c>
      <c r="J6" s="57" t="n">
        <f aca="false">3_Calc_From_Gross!CJ8</f>
        <v>6121</v>
      </c>
      <c r="K6" s="57" t="n">
        <f aca="false">3_Calc_From_Gross!CY8</f>
        <v>2935</v>
      </c>
      <c r="L6" s="57" t="n">
        <f aca="false">3_Calc_From_Gross!DN8</f>
        <v>3766</v>
      </c>
      <c r="M6" s="57" t="n">
        <f aca="false">3_Calc_From_Gross!EC8</f>
        <v>2500</v>
      </c>
    </row>
    <row r="7" customFormat="false" ht="15" hidden="false" customHeight="false" outlineLevel="0" collapsed="false">
      <c r="A7" s="41" t="n">
        <v>4</v>
      </c>
      <c r="B7" s="28" t="s">
        <v>246</v>
      </c>
      <c r="C7" s="8" t="s">
        <v>250</v>
      </c>
      <c r="D7" s="65" t="s">
        <v>249</v>
      </c>
      <c r="E7" s="63" t="n">
        <f aca="false">3_Calc_From_Gross!H9</f>
        <v>4535</v>
      </c>
      <c r="F7" s="60" t="n">
        <f aca="false">3_Calc_From_Gross!AB9</f>
        <v>6375</v>
      </c>
      <c r="G7" s="60" t="n">
        <f aca="false">3_Calc_From_Gross!AQ9</f>
        <v>7407</v>
      </c>
      <c r="H7" s="60" t="n">
        <f aca="false">3_Calc_From_Gross!BF9</f>
        <v>13600</v>
      </c>
      <c r="I7" s="60" t="n">
        <f aca="false">3_Calc_From_Gross!BU9</f>
        <v>7910</v>
      </c>
      <c r="J7" s="60" t="n">
        <f aca="false">3_Calc_From_Gross!CJ9</f>
        <v>9040</v>
      </c>
      <c r="K7" s="60" t="n">
        <f aca="false">3_Calc_From_Gross!CY9</f>
        <v>4731</v>
      </c>
      <c r="L7" s="60" t="n">
        <f aca="false">3_Calc_From_Gross!DN9</f>
        <v>5839</v>
      </c>
      <c r="M7" s="60" t="n">
        <f aca="false">3_Calc_From_Gross!EC9</f>
        <v>3920</v>
      </c>
    </row>
    <row r="8" customFormat="false" ht="15" hidden="false" customHeight="false" outlineLevel="0" collapsed="false">
      <c r="A8" s="37" t="n">
        <v>5</v>
      </c>
      <c r="B8" s="32" t="s">
        <v>246</v>
      </c>
      <c r="C8" s="32" t="s">
        <v>251</v>
      </c>
      <c r="D8" s="62" t="s">
        <v>248</v>
      </c>
      <c r="E8" s="63" t="n">
        <f aca="false">3_Calc_From_Gross!H10</f>
        <v>1523</v>
      </c>
      <c r="F8" s="57" t="n">
        <f aca="false">3_Calc_From_Gross!AB10</f>
        <v>3825</v>
      </c>
      <c r="G8" s="57" t="n">
        <f aca="false">3_Calc_From_Gross!AQ10</f>
        <v>5820</v>
      </c>
      <c r="H8" s="57" t="n">
        <f aca="false">3_Calc_From_Gross!BF10</f>
        <v>11500</v>
      </c>
      <c r="I8" s="57" t="n">
        <f aca="false">3_Calc_From_Gross!BU10</f>
        <v>5744</v>
      </c>
      <c r="J8" s="57" t="n">
        <f aca="false">3_Calc_From_Gross!CJ10</f>
        <v>6215</v>
      </c>
      <c r="K8" s="57" t="n">
        <f aca="false">3_Calc_From_Gross!CY10</f>
        <v>2988</v>
      </c>
      <c r="L8" s="57" t="n">
        <f aca="false">3_Calc_From_Gross!DN10</f>
        <v>3955</v>
      </c>
      <c r="M8" s="57" t="n">
        <f aca="false">3_Calc_From_Gross!EC10</f>
        <v>2500</v>
      </c>
    </row>
    <row r="9" customFormat="false" ht="15" hidden="false" customHeight="false" outlineLevel="0" collapsed="false">
      <c r="A9" s="41" t="n">
        <v>6</v>
      </c>
      <c r="B9" s="28" t="s">
        <v>246</v>
      </c>
      <c r="C9" s="8" t="s">
        <v>251</v>
      </c>
      <c r="D9" s="65" t="s">
        <v>249</v>
      </c>
      <c r="E9" s="63" t="n">
        <f aca="false">3_Calc_From_Gross!H11</f>
        <v>4535</v>
      </c>
      <c r="F9" s="60" t="n">
        <f aca="false">3_Calc_From_Gross!AB11</f>
        <v>6375</v>
      </c>
      <c r="G9" s="60" t="n">
        <f aca="false">3_Calc_From_Gross!AQ11</f>
        <v>8467</v>
      </c>
      <c r="H9" s="60" t="n">
        <f aca="false">3_Calc_From_Gross!BF11</f>
        <v>14450</v>
      </c>
      <c r="I9" s="60" t="n">
        <f aca="false">3_Calc_From_Gross!BU11</f>
        <v>8286</v>
      </c>
      <c r="J9" s="60" t="n">
        <f aca="false">3_Calc_From_Gross!CJ11</f>
        <v>9229</v>
      </c>
      <c r="K9" s="60" t="n">
        <f aca="false">3_Calc_From_Gross!CY11</f>
        <v>4731</v>
      </c>
      <c r="L9" s="60" t="n">
        <f aca="false">3_Calc_From_Gross!DN11</f>
        <v>6215</v>
      </c>
      <c r="M9" s="60" t="n">
        <f aca="false">3_Calc_From_Gross!EC11</f>
        <v>4200</v>
      </c>
    </row>
    <row r="10" customFormat="false" ht="15" hidden="false" customHeight="false" outlineLevel="0" collapsed="false">
      <c r="A10" s="37" t="n">
        <v>7</v>
      </c>
      <c r="B10" s="32" t="s">
        <v>246</v>
      </c>
      <c r="C10" s="32" t="s">
        <v>252</v>
      </c>
      <c r="D10" s="62" t="s">
        <v>248</v>
      </c>
      <c r="E10" s="63" t="n">
        <f aca="false">3_Calc_From_Gross!H12</f>
        <v>1535</v>
      </c>
      <c r="F10" s="57" t="n">
        <f aca="false">3_Calc_From_Gross!AB12</f>
        <v>3825</v>
      </c>
      <c r="G10" s="57" t="n">
        <f aca="false">3_Calc_From_Gross!AQ12</f>
        <v>5292</v>
      </c>
      <c r="H10" s="57" t="n">
        <f aca="false">3_Calc_From_Gross!BF12</f>
        <v>11000</v>
      </c>
      <c r="I10" s="57" t="n">
        <f aca="false">3_Calc_From_Gross!BU12</f>
        <v>5726</v>
      </c>
      <c r="J10" s="57" t="n">
        <f aca="false">3_Calc_From_Gross!CJ12</f>
        <v>6404</v>
      </c>
      <c r="K10" s="57" t="n">
        <f aca="false">3_Calc_From_Gross!CY12</f>
        <v>3095</v>
      </c>
      <c r="L10" s="57" t="n">
        <f aca="false">3_Calc_From_Gross!DN12</f>
        <v>3955</v>
      </c>
      <c r="M10" s="57" t="n">
        <f aca="false">3_Calc_From_Gross!EC12</f>
        <v>2500</v>
      </c>
    </row>
    <row r="11" customFormat="false" ht="15" hidden="false" customHeight="false" outlineLevel="0" collapsed="false">
      <c r="A11" s="41" t="n">
        <v>8</v>
      </c>
      <c r="B11" s="28" t="s">
        <v>246</v>
      </c>
      <c r="C11" s="8" t="s">
        <v>252</v>
      </c>
      <c r="D11" s="65" t="s">
        <v>249</v>
      </c>
      <c r="E11" s="63" t="n">
        <f aca="false">3_Calc_From_Gross!H13</f>
        <v>4785</v>
      </c>
      <c r="F11" s="60" t="n">
        <f aca="false">3_Calc_From_Gross!AB13</f>
        <v>6375</v>
      </c>
      <c r="G11" s="60" t="n">
        <f aca="false">3_Calc_From_Gross!AQ13</f>
        <v>7938</v>
      </c>
      <c r="H11" s="60" t="n">
        <f aca="false">3_Calc_From_Gross!BF13</f>
        <v>14025</v>
      </c>
      <c r="I11" s="60" t="n">
        <f aca="false">3_Calc_From_Gross!BU13</f>
        <v>8193</v>
      </c>
      <c r="J11" s="60" t="n">
        <f aca="false">3_Calc_From_Gross!CJ13</f>
        <v>9417</v>
      </c>
      <c r="K11" s="60" t="n">
        <f aca="false">3_Calc_From_Gross!CY13</f>
        <v>5009</v>
      </c>
      <c r="L11" s="60" t="n">
        <f aca="false">3_Calc_From_Gross!DN13</f>
        <v>6215</v>
      </c>
      <c r="M11" s="60" t="n">
        <f aca="false">3_Calc_From_Gross!EC13</f>
        <v>4200</v>
      </c>
    </row>
    <row r="12" customFormat="false" ht="15" hidden="false" customHeight="false" outlineLevel="0" collapsed="false">
      <c r="A12" s="37" t="n">
        <v>9</v>
      </c>
      <c r="B12" s="32" t="s">
        <v>253</v>
      </c>
      <c r="C12" s="32" t="s">
        <v>254</v>
      </c>
      <c r="D12" s="62" t="s">
        <v>248</v>
      </c>
      <c r="E12" s="63" t="n">
        <f aca="false">3_Calc_From_Gross!H14</f>
        <v>1535</v>
      </c>
      <c r="F12" s="57" t="n">
        <f aca="false">3_Calc_From_Gross!AB14</f>
        <v>3825</v>
      </c>
      <c r="G12" s="57" t="n">
        <f aca="false">3_Calc_From_Gross!AQ14</f>
        <v>5292</v>
      </c>
      <c r="H12" s="57" t="n">
        <f aca="false">3_Calc_From_Gross!BF14</f>
        <v>11500</v>
      </c>
      <c r="I12" s="57" t="n">
        <f aca="false">3_Calc_From_Gross!BU14</f>
        <v>5726</v>
      </c>
      <c r="J12" s="57" t="n">
        <f aca="false">3_Calc_From_Gross!CJ14</f>
        <v>6404</v>
      </c>
      <c r="K12" s="57" t="n">
        <f aca="false">3_Calc_From_Gross!CY14</f>
        <v>3095</v>
      </c>
      <c r="L12" s="57" t="n">
        <f aca="false">3_Calc_From_Gross!DN14</f>
        <v>3955</v>
      </c>
      <c r="M12" s="57" t="n">
        <f aca="false">3_Calc_From_Gross!EC14</f>
        <v>2500</v>
      </c>
    </row>
    <row r="13" customFormat="false" ht="15" hidden="false" customHeight="false" outlineLevel="0" collapsed="false">
      <c r="A13" s="41" t="n">
        <v>10</v>
      </c>
      <c r="B13" s="28" t="s">
        <v>253</v>
      </c>
      <c r="C13" s="8" t="s">
        <v>254</v>
      </c>
      <c r="D13" s="65" t="s">
        <v>249</v>
      </c>
      <c r="E13" s="63" t="n">
        <f aca="false">3_Calc_From_Gross!H15</f>
        <v>4785</v>
      </c>
      <c r="F13" s="60" t="n">
        <f aca="false">3_Calc_From_Gross!AB15</f>
        <v>6375</v>
      </c>
      <c r="G13" s="60" t="n">
        <f aca="false">3_Calc_From_Gross!AQ15</f>
        <v>7938</v>
      </c>
      <c r="H13" s="60" t="n">
        <f aca="false">3_Calc_From_Gross!BF15</f>
        <v>14450</v>
      </c>
      <c r="I13" s="60" t="n">
        <f aca="false">3_Calc_From_Gross!BU15</f>
        <v>8193</v>
      </c>
      <c r="J13" s="60" t="n">
        <f aca="false">3_Calc_From_Gross!CJ15</f>
        <v>9417</v>
      </c>
      <c r="K13" s="60" t="n">
        <f aca="false">3_Calc_From_Gross!CY15</f>
        <v>5009</v>
      </c>
      <c r="L13" s="60" t="n">
        <f aca="false">3_Calc_From_Gross!DN15</f>
        <v>6215</v>
      </c>
      <c r="M13" s="60" t="n">
        <f aca="false">3_Calc_From_Gross!EC15</f>
        <v>4200</v>
      </c>
    </row>
    <row r="14" customFormat="false" ht="15" hidden="false" customHeight="false" outlineLevel="0" collapsed="false">
      <c r="A14" s="37" t="n">
        <v>11</v>
      </c>
      <c r="B14" s="32" t="s">
        <v>253</v>
      </c>
      <c r="C14" s="32" t="s">
        <v>255</v>
      </c>
      <c r="D14" s="62" t="s">
        <v>248</v>
      </c>
      <c r="E14" s="63" t="n">
        <f aca="false">3_Calc_From_Gross!H16</f>
        <v>1635</v>
      </c>
      <c r="F14" s="57" t="n">
        <f aca="false">3_Calc_From_Gross!AB16</f>
        <v>3570</v>
      </c>
      <c r="G14" s="57" t="n">
        <f aca="false">3_Calc_From_Gross!AQ16</f>
        <v>4763</v>
      </c>
      <c r="H14" s="57" t="n">
        <f aca="false">3_Calc_From_Gross!BF16</f>
        <v>11000</v>
      </c>
      <c r="I14" s="57" t="n">
        <f aca="false">3_Calc_From_Gross!BU16</f>
        <v>5556</v>
      </c>
      <c r="J14" s="57" t="n">
        <f aca="false">3_Calc_From_Gross!CJ16</f>
        <v>6121</v>
      </c>
      <c r="K14" s="57" t="n">
        <f aca="false">3_Calc_From_Gross!CY16</f>
        <v>2881</v>
      </c>
      <c r="L14" s="57" t="n">
        <f aca="false">3_Calc_From_Gross!DN16</f>
        <v>3766</v>
      </c>
      <c r="M14" s="57" t="n">
        <f aca="false">3_Calc_From_Gross!EC16</f>
        <v>2333</v>
      </c>
    </row>
    <row r="15" customFormat="false" ht="15" hidden="false" customHeight="false" outlineLevel="0" collapsed="false">
      <c r="A15" s="41" t="n">
        <v>12</v>
      </c>
      <c r="B15" s="28" t="s">
        <v>253</v>
      </c>
      <c r="C15" s="8" t="s">
        <v>255</v>
      </c>
      <c r="D15" s="65" t="s">
        <v>249</v>
      </c>
      <c r="E15" s="63" t="n">
        <f aca="false">3_Calc_From_Gross!H17</f>
        <v>4535</v>
      </c>
      <c r="F15" s="60" t="n">
        <f aca="false">3_Calc_From_Gross!AB17</f>
        <v>6120</v>
      </c>
      <c r="G15" s="60" t="n">
        <f aca="false">3_Calc_From_Gross!AQ17</f>
        <v>6879</v>
      </c>
      <c r="H15" s="60" t="n">
        <f aca="false">3_Calc_From_Gross!BF17</f>
        <v>13175</v>
      </c>
      <c r="I15" s="60" t="n">
        <f aca="false">3_Calc_From_Gross!BU17</f>
        <v>7628</v>
      </c>
      <c r="J15" s="60" t="n">
        <f aca="false">3_Calc_From_Gross!CJ17</f>
        <v>8663</v>
      </c>
      <c r="K15" s="60" t="n">
        <f aca="false">3_Calc_From_Gross!CY17</f>
        <v>4564</v>
      </c>
      <c r="L15" s="60" t="n">
        <f aca="false">3_Calc_From_Gross!DN17</f>
        <v>5650</v>
      </c>
      <c r="M15" s="60" t="n">
        <f aca="false">3_Calc_From_Gross!EC17</f>
        <v>3733</v>
      </c>
    </row>
    <row r="16" customFormat="false" ht="15" hidden="false" customHeight="false" outlineLevel="0" collapsed="false">
      <c r="A16" s="37" t="n">
        <v>13</v>
      </c>
      <c r="B16" s="32" t="s">
        <v>253</v>
      </c>
      <c r="C16" s="32" t="s">
        <v>256</v>
      </c>
      <c r="D16" s="62" t="s">
        <v>248</v>
      </c>
      <c r="E16" s="63" t="n">
        <f aca="false">3_Calc_From_Gross!H18</f>
        <v>1285</v>
      </c>
      <c r="F16" s="57" t="n">
        <f aca="false">3_Calc_From_Gross!AB18</f>
        <v>3315</v>
      </c>
      <c r="G16" s="57" t="n">
        <f aca="false">3_Calc_From_Gross!AQ18</f>
        <v>4498</v>
      </c>
      <c r="H16" s="57" t="n">
        <f aca="false">3_Calc_From_Gross!BF18</f>
        <v>9000</v>
      </c>
      <c r="I16" s="57" t="n">
        <f aca="false">3_Calc_From_Gross!BU18</f>
        <v>4991</v>
      </c>
      <c r="J16" s="57" t="n">
        <f aca="false">3_Calc_From_Gross!CJ18</f>
        <v>5461</v>
      </c>
      <c r="K16" s="57" t="n">
        <f aca="false">3_Calc_From_Gross!CY18</f>
        <v>2561</v>
      </c>
      <c r="L16" s="57" t="n">
        <f aca="false">3_Calc_From_Gross!DN18</f>
        <v>3390</v>
      </c>
      <c r="M16" s="57" t="n">
        <f aca="false">3_Calc_From_Gross!EC18</f>
        <v>2083</v>
      </c>
    </row>
    <row r="17" customFormat="false" ht="15" hidden="false" customHeight="false" outlineLevel="0" collapsed="false">
      <c r="A17" s="41" t="n">
        <v>14</v>
      </c>
      <c r="B17" s="28" t="s">
        <v>253</v>
      </c>
      <c r="C17" s="8" t="s">
        <v>256</v>
      </c>
      <c r="D17" s="65" t="s">
        <v>249</v>
      </c>
      <c r="E17" s="63" t="n">
        <f aca="false">3_Calc_From_Gross!H19</f>
        <v>3285</v>
      </c>
      <c r="F17" s="60" t="n">
        <f aca="false">3_Calc_From_Gross!AB19</f>
        <v>5100</v>
      </c>
      <c r="G17" s="60" t="n">
        <f aca="false">3_Calc_From_Gross!AQ19</f>
        <v>6350</v>
      </c>
      <c r="H17" s="60" t="n">
        <f aca="false">3_Calc_From_Gross!BF19</f>
        <v>11050</v>
      </c>
      <c r="I17" s="60" t="n">
        <f aca="false">3_Calc_From_Gross!BU19</f>
        <v>7063</v>
      </c>
      <c r="J17" s="60" t="n">
        <f aca="false">3_Calc_From_Gross!CJ19</f>
        <v>7721</v>
      </c>
      <c r="K17" s="60" t="n">
        <f aca="false">3_Calc_From_Gross!CY19</f>
        <v>4008</v>
      </c>
      <c r="L17" s="60" t="n">
        <f aca="false">3_Calc_From_Gross!DN19</f>
        <v>5085</v>
      </c>
      <c r="M17" s="60" t="n">
        <f aca="false">3_Calc_From_Gross!EC19</f>
        <v>3360</v>
      </c>
    </row>
    <row r="18" customFormat="false" ht="15" hidden="false" customHeight="false" outlineLevel="0" collapsed="false">
      <c r="A18" s="37" t="n">
        <v>15</v>
      </c>
      <c r="B18" s="32" t="s">
        <v>253</v>
      </c>
      <c r="C18" s="32" t="s">
        <v>257</v>
      </c>
      <c r="D18" s="62" t="s">
        <v>248</v>
      </c>
      <c r="E18" s="63" t="n">
        <f aca="false">3_Calc_From_Gross!H20</f>
        <v>1485</v>
      </c>
      <c r="F18" s="57" t="n">
        <f aca="false">3_Calc_From_Gross!AB20</f>
        <v>3698</v>
      </c>
      <c r="G18" s="57" t="n">
        <f aca="false">3_Calc_From_Gross!AQ20</f>
        <v>5292</v>
      </c>
      <c r="H18" s="57" t="n">
        <f aca="false">3_Calc_From_Gross!BF20</f>
        <v>11000</v>
      </c>
      <c r="I18" s="57" t="n">
        <f aca="false">3_Calc_From_Gross!BU20</f>
        <v>5556</v>
      </c>
      <c r="J18" s="57" t="n">
        <f aca="false">3_Calc_From_Gross!CJ20</f>
        <v>6026</v>
      </c>
      <c r="K18" s="57" t="n">
        <f aca="false">3_Calc_From_Gross!CY20</f>
        <v>2935</v>
      </c>
      <c r="L18" s="57" t="n">
        <f aca="false">3_Calc_From_Gross!DN20</f>
        <v>3766</v>
      </c>
      <c r="M18" s="57" t="n">
        <f aca="false">3_Calc_From_Gross!EC20</f>
        <v>2333</v>
      </c>
    </row>
    <row r="19" customFormat="false" ht="15" hidden="false" customHeight="false" outlineLevel="0" collapsed="false">
      <c r="A19" s="41" t="n">
        <v>16</v>
      </c>
      <c r="B19" s="28" t="s">
        <v>253</v>
      </c>
      <c r="C19" s="8" t="s">
        <v>257</v>
      </c>
      <c r="D19" s="65" t="s">
        <v>249</v>
      </c>
      <c r="E19" s="63" t="n">
        <f aca="false">3_Calc_From_Gross!H21</f>
        <v>4485</v>
      </c>
      <c r="F19" s="60" t="n">
        <f aca="false">3_Calc_From_Gross!AB21</f>
        <v>6120</v>
      </c>
      <c r="G19" s="60" t="n">
        <f aca="false">3_Calc_From_Gross!AQ21</f>
        <v>7938</v>
      </c>
      <c r="H19" s="60" t="n">
        <f aca="false">3_Calc_From_Gross!BF21</f>
        <v>13600</v>
      </c>
      <c r="I19" s="60" t="n">
        <f aca="false">3_Calc_From_Gross!BU21</f>
        <v>7910</v>
      </c>
      <c r="J19" s="60" t="n">
        <f aca="false">3_Calc_From_Gross!CJ21</f>
        <v>8946</v>
      </c>
      <c r="K19" s="60" t="n">
        <f aca="false">3_Calc_From_Gross!CY21</f>
        <v>4731</v>
      </c>
      <c r="L19" s="60" t="n">
        <f aca="false">3_Calc_From_Gross!DN21</f>
        <v>5839</v>
      </c>
      <c r="M19" s="60" t="n">
        <f aca="false">3_Calc_From_Gross!EC21</f>
        <v>3733</v>
      </c>
    </row>
    <row r="20" customFormat="false" ht="15" hidden="false" customHeight="false" outlineLevel="0" collapsed="false">
      <c r="A20" s="37" t="n">
        <v>17</v>
      </c>
      <c r="B20" s="32" t="s">
        <v>253</v>
      </c>
      <c r="C20" s="32" t="s">
        <v>258</v>
      </c>
      <c r="D20" s="62" t="s">
        <v>248</v>
      </c>
      <c r="E20" s="63" t="n">
        <f aca="false">3_Calc_From_Gross!H22</f>
        <v>1523</v>
      </c>
      <c r="F20" s="57" t="n">
        <f aca="false">3_Calc_From_Gross!AB22</f>
        <v>3698</v>
      </c>
      <c r="G20" s="57" t="n">
        <f aca="false">3_Calc_From_Gross!AQ22</f>
        <v>5820</v>
      </c>
      <c r="H20" s="57" t="n">
        <f aca="false">3_Calc_From_Gross!BF22</f>
        <v>11500</v>
      </c>
      <c r="I20" s="57" t="n">
        <f aca="false">3_Calc_From_Gross!BU22</f>
        <v>5744</v>
      </c>
      <c r="J20" s="57" t="n">
        <f aca="false">3_Calc_From_Gross!CJ22</f>
        <v>6215</v>
      </c>
      <c r="K20" s="57" t="n">
        <f aca="false">3_Calc_From_Gross!CY22</f>
        <v>2988</v>
      </c>
      <c r="L20" s="57" t="n">
        <f aca="false">3_Calc_From_Gross!DN22</f>
        <v>3955</v>
      </c>
      <c r="M20" s="57" t="n">
        <f aca="false">3_Calc_From_Gross!EC22</f>
        <v>2500</v>
      </c>
    </row>
    <row r="21" customFormat="false" ht="15" hidden="false" customHeight="false" outlineLevel="0" collapsed="false">
      <c r="A21" s="41" t="n">
        <v>18</v>
      </c>
      <c r="B21" s="28" t="s">
        <v>253</v>
      </c>
      <c r="C21" s="8" t="s">
        <v>258</v>
      </c>
      <c r="D21" s="65" t="s">
        <v>249</v>
      </c>
      <c r="E21" s="63" t="n">
        <f aca="false">3_Calc_From_Gross!H23</f>
        <v>4535</v>
      </c>
      <c r="F21" s="60" t="n">
        <f aca="false">3_Calc_From_Gross!AB23</f>
        <v>6248</v>
      </c>
      <c r="G21" s="60" t="n">
        <f aca="false">3_Calc_From_Gross!AQ23</f>
        <v>8467</v>
      </c>
      <c r="H21" s="60" t="n">
        <f aca="false">3_Calc_From_Gross!BF23</f>
        <v>14450</v>
      </c>
      <c r="I21" s="60" t="n">
        <f aca="false">3_Calc_From_Gross!BU23</f>
        <v>8286</v>
      </c>
      <c r="J21" s="60" t="n">
        <f aca="false">3_Calc_From_Gross!CJ23</f>
        <v>9229</v>
      </c>
      <c r="K21" s="60" t="n">
        <f aca="false">3_Calc_From_Gross!CY23</f>
        <v>4731</v>
      </c>
      <c r="L21" s="60" t="n">
        <f aca="false">3_Calc_From_Gross!DN23</f>
        <v>6215</v>
      </c>
      <c r="M21" s="60" t="n">
        <f aca="false">3_Calc_From_Gross!EC23</f>
        <v>4200</v>
      </c>
    </row>
    <row r="22" customFormat="false" ht="15" hidden="false" customHeight="false" outlineLevel="0" collapsed="false">
      <c r="A22" s="37" t="n">
        <v>19</v>
      </c>
      <c r="B22" s="32" t="s">
        <v>259</v>
      </c>
      <c r="C22" s="32" t="s">
        <v>260</v>
      </c>
      <c r="D22" s="62" t="s">
        <v>248</v>
      </c>
      <c r="E22" s="63" t="n">
        <f aca="false">3_Calc_From_Gross!H24</f>
        <v>1266</v>
      </c>
      <c r="F22" s="57" t="n">
        <f aca="false">3_Calc_From_Gross!AB24</f>
        <v>3188</v>
      </c>
      <c r="G22" s="57" t="n">
        <f aca="false">3_Calc_From_Gross!AQ24</f>
        <v>4233</v>
      </c>
      <c r="H22" s="57" t="n">
        <f aca="false">3_Calc_From_Gross!BF24</f>
        <v>9500</v>
      </c>
      <c r="I22" s="57" t="n">
        <f aca="false">3_Calc_From_Gross!BU24</f>
        <v>4803</v>
      </c>
      <c r="J22" s="57" t="n">
        <f aca="false">3_Calc_From_Gross!CJ24</f>
        <v>5650</v>
      </c>
      <c r="K22" s="57" t="n">
        <f aca="false">3_Calc_From_Gross!CY24</f>
        <v>2561</v>
      </c>
      <c r="L22" s="57" t="n">
        <f aca="false">3_Calc_From_Gross!DN24</f>
        <v>3390</v>
      </c>
      <c r="M22" s="57" t="n">
        <f aca="false">3_Calc_From_Gross!EC24</f>
        <v>2083</v>
      </c>
    </row>
    <row r="23" customFormat="false" ht="15" hidden="false" customHeight="false" outlineLevel="0" collapsed="false">
      <c r="A23" s="41" t="n">
        <v>20</v>
      </c>
      <c r="B23" s="28" t="s">
        <v>259</v>
      </c>
      <c r="C23" s="8" t="s">
        <v>260</v>
      </c>
      <c r="D23" s="65" t="s">
        <v>249</v>
      </c>
      <c r="E23" s="63" t="n">
        <f aca="false">3_Calc_From_Gross!H25</f>
        <v>4035</v>
      </c>
      <c r="F23" s="60" t="n">
        <f aca="false">3_Calc_From_Gross!AB25</f>
        <v>5100</v>
      </c>
      <c r="G23" s="60" t="n">
        <f aca="false">3_Calc_From_Gross!AQ25</f>
        <v>6350</v>
      </c>
      <c r="H23" s="60" t="n">
        <f aca="false">3_Calc_From_Gross!BF25</f>
        <v>11900</v>
      </c>
      <c r="I23" s="60" t="n">
        <f aca="false">3_Calc_From_Gross!BU25</f>
        <v>6780</v>
      </c>
      <c r="J23" s="60" t="n">
        <f aca="false">3_Calc_From_Gross!CJ25</f>
        <v>8475</v>
      </c>
      <c r="K23" s="60" t="n">
        <f aca="false">3_Calc_From_Gross!CY25</f>
        <v>3896</v>
      </c>
      <c r="L23" s="60" t="n">
        <f aca="false">3_Calc_From_Gross!DN25</f>
        <v>5179</v>
      </c>
      <c r="M23" s="60" t="n">
        <f aca="false">3_Calc_From_Gross!EC25</f>
        <v>3360</v>
      </c>
    </row>
    <row r="24" customFormat="false" ht="15" hidden="false" customHeight="false" outlineLevel="0" collapsed="false">
      <c r="A24" s="37" t="n">
        <v>21</v>
      </c>
      <c r="B24" s="32" t="s">
        <v>259</v>
      </c>
      <c r="C24" s="32" t="s">
        <v>261</v>
      </c>
      <c r="D24" s="62" t="s">
        <v>248</v>
      </c>
      <c r="E24" s="63" t="n">
        <f aca="false">3_Calc_From_Gross!H26</f>
        <v>1535</v>
      </c>
      <c r="F24" s="57" t="n">
        <f aca="false">3_Calc_From_Gross!AB26</f>
        <v>3570</v>
      </c>
      <c r="G24" s="57" t="n">
        <f aca="false">3_Calc_From_Gross!AQ26</f>
        <v>4763</v>
      </c>
      <c r="H24" s="57" t="n">
        <f aca="false">3_Calc_From_Gross!BF26</f>
        <v>11000</v>
      </c>
      <c r="I24" s="57" t="n">
        <f aca="false">3_Calc_From_Gross!BU26</f>
        <v>5556</v>
      </c>
      <c r="J24" s="57" t="n">
        <f aca="false">3_Calc_From_Gross!CJ26</f>
        <v>6026</v>
      </c>
      <c r="K24" s="57" t="n">
        <f aca="false">3_Calc_From_Gross!CY26</f>
        <v>2881</v>
      </c>
      <c r="L24" s="57" t="n">
        <f aca="false">3_Calc_From_Gross!DN26</f>
        <v>3766</v>
      </c>
      <c r="M24" s="57" t="n">
        <f aca="false">3_Calc_From_Gross!EC26</f>
        <v>2333</v>
      </c>
    </row>
    <row r="25" customFormat="false" ht="15" hidden="false" customHeight="false" outlineLevel="0" collapsed="false">
      <c r="A25" s="41" t="n">
        <v>22</v>
      </c>
      <c r="B25" s="28" t="s">
        <v>259</v>
      </c>
      <c r="C25" s="8" t="s">
        <v>261</v>
      </c>
      <c r="D25" s="65" t="s">
        <v>249</v>
      </c>
      <c r="E25" s="63" t="n">
        <f aca="false">3_Calc_From_Gross!H27</f>
        <v>4785</v>
      </c>
      <c r="F25" s="60" t="n">
        <f aca="false">3_Calc_From_Gross!AB27</f>
        <v>5865</v>
      </c>
      <c r="G25" s="60" t="n">
        <f aca="false">3_Calc_From_Gross!AQ27</f>
        <v>7407</v>
      </c>
      <c r="H25" s="60" t="n">
        <f aca="false">3_Calc_From_Gross!BF27</f>
        <v>13600</v>
      </c>
      <c r="I25" s="60" t="n">
        <f aca="false">3_Calc_From_Gross!BU27</f>
        <v>7628</v>
      </c>
      <c r="J25" s="60" t="n">
        <f aca="false">3_Calc_From_Gross!CJ27</f>
        <v>8946</v>
      </c>
      <c r="K25" s="60" t="n">
        <f aca="false">3_Calc_From_Gross!CY27</f>
        <v>4564</v>
      </c>
      <c r="L25" s="60" t="n">
        <f aca="false">3_Calc_From_Gross!DN27</f>
        <v>5650</v>
      </c>
      <c r="M25" s="60" t="n">
        <f aca="false">3_Calc_From_Gross!EC27</f>
        <v>3733</v>
      </c>
    </row>
    <row r="26" customFormat="false" ht="15" hidden="false" customHeight="false" outlineLevel="0" collapsed="false">
      <c r="A26" s="37" t="n">
        <v>23</v>
      </c>
      <c r="B26" s="32" t="s">
        <v>259</v>
      </c>
      <c r="C26" s="32" t="s">
        <v>262</v>
      </c>
      <c r="D26" s="62" t="s">
        <v>248</v>
      </c>
      <c r="E26" s="63" t="n">
        <f aca="false">3_Calc_From_Gross!H28</f>
        <v>1535</v>
      </c>
      <c r="F26" s="57" t="n">
        <f aca="false">3_Calc_From_Gross!AB28</f>
        <v>3570</v>
      </c>
      <c r="G26" s="57" t="n">
        <f aca="false">3_Calc_From_Gross!AQ28</f>
        <v>4763</v>
      </c>
      <c r="H26" s="57" t="n">
        <f aca="false">3_Calc_From_Gross!BF28</f>
        <v>11000</v>
      </c>
      <c r="I26" s="57" t="n">
        <f aca="false">3_Calc_From_Gross!BU28</f>
        <v>5556</v>
      </c>
      <c r="J26" s="57" t="n">
        <f aca="false">3_Calc_From_Gross!CJ28</f>
        <v>6026</v>
      </c>
      <c r="K26" s="57" t="n">
        <f aca="false">3_Calc_From_Gross!CY28</f>
        <v>2881</v>
      </c>
      <c r="L26" s="57" t="n">
        <f aca="false">3_Calc_From_Gross!DN28</f>
        <v>3766</v>
      </c>
      <c r="M26" s="57" t="n">
        <f aca="false">3_Calc_From_Gross!EC28</f>
        <v>2333</v>
      </c>
    </row>
    <row r="27" customFormat="false" ht="15" hidden="false" customHeight="false" outlineLevel="0" collapsed="false">
      <c r="A27" s="41" t="n">
        <v>24</v>
      </c>
      <c r="B27" s="28" t="s">
        <v>259</v>
      </c>
      <c r="C27" s="8" t="s">
        <v>262</v>
      </c>
      <c r="D27" s="65" t="s">
        <v>249</v>
      </c>
      <c r="E27" s="63" t="n">
        <f aca="false">3_Calc_From_Gross!H29</f>
        <v>4785</v>
      </c>
      <c r="F27" s="60" t="n">
        <f aca="false">3_Calc_From_Gross!AB29</f>
        <v>5865</v>
      </c>
      <c r="G27" s="60" t="n">
        <f aca="false">3_Calc_From_Gross!AQ29</f>
        <v>7407</v>
      </c>
      <c r="H27" s="60" t="n">
        <f aca="false">3_Calc_From_Gross!BF29</f>
        <v>13600</v>
      </c>
      <c r="I27" s="60" t="n">
        <f aca="false">3_Calc_From_Gross!BU29</f>
        <v>7628</v>
      </c>
      <c r="J27" s="60" t="n">
        <f aca="false">3_Calc_From_Gross!CJ29</f>
        <v>8946</v>
      </c>
      <c r="K27" s="60" t="n">
        <f aca="false">3_Calc_From_Gross!CY29</f>
        <v>4564</v>
      </c>
      <c r="L27" s="60" t="n">
        <f aca="false">3_Calc_From_Gross!DN29</f>
        <v>5650</v>
      </c>
      <c r="M27" s="60" t="n">
        <f aca="false">3_Calc_From_Gross!EC29</f>
        <v>3733</v>
      </c>
    </row>
    <row r="28" customFormat="false" ht="15" hidden="false" customHeight="false" outlineLevel="0" collapsed="false">
      <c r="A28" s="37" t="n">
        <v>25</v>
      </c>
      <c r="B28" s="32" t="s">
        <v>259</v>
      </c>
      <c r="C28" s="32" t="s">
        <v>263</v>
      </c>
      <c r="D28" s="62" t="s">
        <v>248</v>
      </c>
      <c r="E28" s="63" t="n">
        <f aca="false">3_Calc_From_Gross!H30</f>
        <v>1266</v>
      </c>
      <c r="F28" s="57" t="n">
        <f aca="false">3_Calc_From_Gross!AB30</f>
        <v>3188</v>
      </c>
      <c r="G28" s="57" t="n">
        <f aca="false">3_Calc_From_Gross!AQ30</f>
        <v>4233</v>
      </c>
      <c r="H28" s="57" t="n">
        <f aca="false">3_Calc_From_Gross!BF30</f>
        <v>9500</v>
      </c>
      <c r="I28" s="57" t="n">
        <f aca="false">3_Calc_From_Gross!BU30</f>
        <v>4803</v>
      </c>
      <c r="J28" s="57" t="n">
        <f aca="false">3_Calc_From_Gross!CJ30</f>
        <v>5650</v>
      </c>
      <c r="K28" s="57" t="n">
        <f aca="false">3_Calc_From_Gross!CY30</f>
        <v>2561</v>
      </c>
      <c r="L28" s="57" t="n">
        <f aca="false">3_Calc_From_Gross!DN30</f>
        <v>3390</v>
      </c>
      <c r="M28" s="57" t="n">
        <f aca="false">3_Calc_From_Gross!EC30</f>
        <v>2083</v>
      </c>
    </row>
    <row r="29" customFormat="false" ht="15" hidden="false" customHeight="false" outlineLevel="0" collapsed="false">
      <c r="A29" s="41" t="n">
        <v>26</v>
      </c>
      <c r="B29" s="28" t="s">
        <v>259</v>
      </c>
      <c r="C29" s="8" t="s">
        <v>263</v>
      </c>
      <c r="D29" s="65" t="s">
        <v>249</v>
      </c>
      <c r="E29" s="63" t="n">
        <f aca="false">3_Calc_From_Gross!H31</f>
        <v>4035</v>
      </c>
      <c r="F29" s="60" t="n">
        <f aca="false">3_Calc_From_Gross!AB31</f>
        <v>5100</v>
      </c>
      <c r="G29" s="60" t="n">
        <f aca="false">3_Calc_From_Gross!AQ31</f>
        <v>6350</v>
      </c>
      <c r="H29" s="60" t="n">
        <f aca="false">3_Calc_From_Gross!BF31</f>
        <v>11900</v>
      </c>
      <c r="I29" s="60" t="n">
        <f aca="false">3_Calc_From_Gross!BU31</f>
        <v>6780</v>
      </c>
      <c r="J29" s="60" t="n">
        <f aca="false">3_Calc_From_Gross!CJ31</f>
        <v>8475</v>
      </c>
      <c r="K29" s="60" t="n">
        <f aca="false">3_Calc_From_Gross!CY31</f>
        <v>3896</v>
      </c>
      <c r="L29" s="60" t="n">
        <f aca="false">3_Calc_From_Gross!DN31</f>
        <v>5179</v>
      </c>
      <c r="M29" s="60" t="n">
        <f aca="false">3_Calc_From_Gross!EC31</f>
        <v>3360</v>
      </c>
    </row>
    <row r="30" customFormat="false" ht="15" hidden="false" customHeight="false" outlineLevel="0" collapsed="false">
      <c r="A30" s="37" t="n">
        <v>27</v>
      </c>
      <c r="B30" s="32" t="s">
        <v>264</v>
      </c>
      <c r="C30" s="32" t="s">
        <v>265</v>
      </c>
      <c r="D30" s="62" t="s">
        <v>248</v>
      </c>
      <c r="E30" s="63" t="n">
        <f aca="false">3_Calc_From_Gross!H32</f>
        <v>1385</v>
      </c>
      <c r="F30" s="57" t="n">
        <f aca="false">3_Calc_From_Gross!AB32</f>
        <v>2933</v>
      </c>
      <c r="G30" s="57" t="n">
        <f aca="false">3_Calc_From_Gross!AQ32</f>
        <v>4233</v>
      </c>
      <c r="H30" s="57" t="n">
        <f aca="false">3_Calc_From_Gross!BF32</f>
        <v>9000</v>
      </c>
      <c r="I30" s="57" t="n">
        <f aca="false">3_Calc_From_Gross!BU32</f>
        <v>4520</v>
      </c>
      <c r="J30" s="57" t="n">
        <f aca="false">3_Calc_From_Gross!CJ32</f>
        <v>5179</v>
      </c>
      <c r="K30" s="57" t="n">
        <f aca="false">3_Calc_From_Gross!CY32</f>
        <v>2348</v>
      </c>
      <c r="L30" s="57" t="n">
        <f aca="false">3_Calc_From_Gross!DN32</f>
        <v>3296</v>
      </c>
      <c r="M30" s="57" t="n">
        <f aca="false">3_Calc_From_Gross!EC32</f>
        <v>1917</v>
      </c>
    </row>
    <row r="31" customFormat="false" ht="15" hidden="false" customHeight="false" outlineLevel="0" collapsed="false">
      <c r="A31" s="41" t="n">
        <v>28</v>
      </c>
      <c r="B31" s="28" t="s">
        <v>264</v>
      </c>
      <c r="C31" s="8" t="s">
        <v>265</v>
      </c>
      <c r="D31" s="65" t="s">
        <v>249</v>
      </c>
      <c r="E31" s="63" t="n">
        <f aca="false">3_Calc_From_Gross!H33</f>
        <v>3285</v>
      </c>
      <c r="F31" s="60" t="n">
        <f aca="false">3_Calc_From_Gross!AB33</f>
        <v>4590</v>
      </c>
      <c r="G31" s="60" t="n">
        <f aca="false">3_Calc_From_Gross!AQ33</f>
        <v>6614</v>
      </c>
      <c r="H31" s="60" t="n">
        <f aca="false">3_Calc_From_Gross!BF33</f>
        <v>11050</v>
      </c>
      <c r="I31" s="60" t="n">
        <f aca="false">3_Calc_From_Gross!BU33</f>
        <v>6498</v>
      </c>
      <c r="J31" s="60" t="n">
        <f aca="false">3_Calc_From_Gross!CJ33</f>
        <v>7345</v>
      </c>
      <c r="K31" s="60" t="n">
        <f aca="false">3_Calc_From_Gross!CY33</f>
        <v>3618</v>
      </c>
      <c r="L31" s="60" t="n">
        <f aca="false">3_Calc_From_Gross!DN33</f>
        <v>4896</v>
      </c>
      <c r="M31" s="60" t="n">
        <f aca="false">3_Calc_From_Gross!EC33</f>
        <v>3267</v>
      </c>
    </row>
    <row r="32" customFormat="false" ht="15" hidden="false" customHeight="false" outlineLevel="0" collapsed="false">
      <c r="A32" s="37" t="n">
        <v>29</v>
      </c>
      <c r="B32" s="32" t="s">
        <v>266</v>
      </c>
      <c r="C32" s="32" t="s">
        <v>267</v>
      </c>
      <c r="D32" s="62" t="s">
        <v>248</v>
      </c>
      <c r="E32" s="63" t="n">
        <f aca="false">3_Calc_From_Gross!H34</f>
        <v>1885</v>
      </c>
      <c r="F32" s="57" t="n">
        <f aca="false">3_Calc_From_Gross!AB34</f>
        <v>4335</v>
      </c>
      <c r="G32" s="57" t="n">
        <f aca="false">3_Calc_From_Gross!AQ34</f>
        <v>6350</v>
      </c>
      <c r="H32" s="57" t="n">
        <f aca="false">3_Calc_From_Gross!BF34</f>
        <v>14080</v>
      </c>
      <c r="I32" s="57" t="n">
        <f aca="false">3_Calc_From_Gross!BU34</f>
        <v>6686</v>
      </c>
      <c r="J32" s="57" t="n">
        <f aca="false">3_Calc_From_Gross!CJ34</f>
        <v>7156</v>
      </c>
      <c r="K32" s="57" t="n">
        <f aca="false">3_Calc_From_Gross!CY34</f>
        <v>3202</v>
      </c>
      <c r="L32" s="57" t="n">
        <f aca="false">3_Calc_From_Gross!DN34</f>
        <v>4520</v>
      </c>
      <c r="M32" s="57" t="n">
        <f aca="false">3_Calc_From_Gross!EC34</f>
        <v>2750</v>
      </c>
    </row>
    <row r="33" customFormat="false" ht="15" hidden="false" customHeight="false" outlineLevel="0" collapsed="false">
      <c r="A33" s="41" t="n">
        <v>30</v>
      </c>
      <c r="B33" s="28" t="s">
        <v>266</v>
      </c>
      <c r="C33" s="8" t="s">
        <v>267</v>
      </c>
      <c r="D33" s="65" t="s">
        <v>249</v>
      </c>
      <c r="E33" s="63" t="n">
        <f aca="false">3_Calc_From_Gross!H35</f>
        <v>4810</v>
      </c>
      <c r="F33" s="60" t="n">
        <f aca="false">3_Calc_From_Gross!AB35</f>
        <v>6885</v>
      </c>
      <c r="G33" s="60" t="n">
        <f aca="false">3_Calc_From_Gross!AQ35</f>
        <v>9525</v>
      </c>
      <c r="H33" s="60" t="n">
        <f aca="false">3_Calc_From_Gross!BF35</f>
        <v>15725</v>
      </c>
      <c r="I33" s="60" t="n">
        <f aca="false">3_Calc_From_Gross!BU35</f>
        <v>9605</v>
      </c>
      <c r="J33" s="60" t="n">
        <f aca="false">3_Calc_From_Gross!CJ35</f>
        <v>10359</v>
      </c>
      <c r="K33" s="60" t="n">
        <f aca="false">3_Calc_From_Gross!CY35</f>
        <v>5121</v>
      </c>
      <c r="L33" s="60" t="n">
        <f aca="false">3_Calc_From_Gross!DN35</f>
        <v>6780</v>
      </c>
      <c r="M33" s="60" t="n">
        <f aca="false">3_Calc_From_Gross!EC35</f>
        <v>4480</v>
      </c>
    </row>
    <row r="34" customFormat="false" ht="15" hidden="false" customHeight="false" outlineLevel="0" collapsed="false">
      <c r="A34" s="37" t="n">
        <v>31</v>
      </c>
      <c r="B34" s="32" t="s">
        <v>268</v>
      </c>
      <c r="C34" s="32" t="s">
        <v>269</v>
      </c>
      <c r="D34" s="62" t="s">
        <v>248</v>
      </c>
      <c r="E34" s="63" t="n">
        <f aca="false">3_Calc_From_Gross!H36</f>
        <v>1435</v>
      </c>
      <c r="F34" s="57" t="n">
        <f aca="false">3_Calc_From_Gross!AB36</f>
        <v>3570</v>
      </c>
      <c r="G34" s="57" t="n">
        <f aca="false">3_Calc_From_Gross!AQ36</f>
        <v>4763</v>
      </c>
      <c r="H34" s="57" t="n">
        <f aca="false">3_Calc_From_Gross!BF36</f>
        <v>11000</v>
      </c>
      <c r="I34" s="57" t="n">
        <f aca="false">3_Calc_From_Gross!BU36</f>
        <v>5274</v>
      </c>
      <c r="J34" s="57" t="n">
        <f aca="false">3_Calc_From_Gross!CJ36</f>
        <v>6121</v>
      </c>
      <c r="K34" s="57" t="n">
        <f aca="false">3_Calc_From_Gross!CY36</f>
        <v>2668</v>
      </c>
      <c r="L34" s="57" t="n">
        <f aca="false">3_Calc_From_Gross!DN36</f>
        <v>3579</v>
      </c>
      <c r="M34" s="57" t="n">
        <f aca="false">3_Calc_From_Gross!EC36</f>
        <v>2167</v>
      </c>
    </row>
    <row r="35" customFormat="false" ht="15" hidden="false" customHeight="false" outlineLevel="0" collapsed="false">
      <c r="A35" s="41" t="n">
        <v>32</v>
      </c>
      <c r="B35" s="28" t="s">
        <v>268</v>
      </c>
      <c r="C35" s="8" t="s">
        <v>269</v>
      </c>
      <c r="D35" s="65" t="s">
        <v>249</v>
      </c>
      <c r="E35" s="63" t="n">
        <f aca="false">3_Calc_From_Gross!H37</f>
        <v>3235</v>
      </c>
      <c r="F35" s="60" t="n">
        <f aca="false">3_Calc_From_Gross!AB37</f>
        <v>5100</v>
      </c>
      <c r="G35" s="60" t="n">
        <f aca="false">3_Calc_From_Gross!AQ37</f>
        <v>6879</v>
      </c>
      <c r="H35" s="60" t="n">
        <f aca="false">3_Calc_From_Gross!BF37</f>
        <v>12750</v>
      </c>
      <c r="I35" s="60" t="n">
        <f aca="false">3_Calc_From_Gross!BU37</f>
        <v>7345</v>
      </c>
      <c r="J35" s="60" t="n">
        <f aca="false">3_Calc_From_Gross!CJ37</f>
        <v>8475</v>
      </c>
      <c r="K35" s="60" t="n">
        <f aca="false">3_Calc_From_Gross!CY37</f>
        <v>4119</v>
      </c>
      <c r="L35" s="60" t="n">
        <f aca="false">3_Calc_From_Gross!DN37</f>
        <v>5461</v>
      </c>
      <c r="M35" s="60" t="n">
        <f aca="false">3_Calc_From_Gross!EC37</f>
        <v>3547</v>
      </c>
    </row>
    <row r="36" customFormat="false" ht="15" hidden="false" customHeight="false" outlineLevel="0" collapsed="false">
      <c r="A36" s="37" t="n">
        <v>33</v>
      </c>
      <c r="B36" s="32" t="s">
        <v>270</v>
      </c>
      <c r="C36" s="32" t="s">
        <v>271</v>
      </c>
      <c r="D36" s="62" t="s">
        <v>248</v>
      </c>
      <c r="E36" s="63" t="n">
        <f aca="false">3_Calc_From_Gross!H38</f>
        <v>1185</v>
      </c>
      <c r="F36" s="57" t="n">
        <f aca="false">3_Calc_From_Gross!AB38</f>
        <v>3060</v>
      </c>
      <c r="G36" s="57" t="n">
        <f aca="false">3_Calc_From_Gross!AQ38</f>
        <v>4233</v>
      </c>
      <c r="H36" s="57" t="n">
        <f aca="false">3_Calc_From_Gross!BF38</f>
        <v>10000</v>
      </c>
      <c r="I36" s="57" t="n">
        <f aca="false">3_Calc_From_Gross!BU38</f>
        <v>4709</v>
      </c>
      <c r="J36" s="57" t="n">
        <f aca="false">3_Calc_From_Gross!CJ38</f>
        <v>5556</v>
      </c>
      <c r="K36" s="57" t="n">
        <f aca="false">3_Calc_From_Gross!CY38</f>
        <v>2241</v>
      </c>
      <c r="L36" s="57" t="n">
        <f aca="false">3_Calc_From_Gross!DN38</f>
        <v>3296</v>
      </c>
      <c r="M36" s="57" t="n">
        <f aca="false">3_Calc_From_Gross!EC38</f>
        <v>1833</v>
      </c>
    </row>
    <row r="37" customFormat="false" ht="15" hidden="false" customHeight="false" outlineLevel="0" collapsed="false">
      <c r="A37" s="41" t="n">
        <v>34</v>
      </c>
      <c r="B37" s="28" t="s">
        <v>270</v>
      </c>
      <c r="C37" s="8" t="s">
        <v>271</v>
      </c>
      <c r="D37" s="65" t="s">
        <v>249</v>
      </c>
      <c r="E37" s="63" t="n">
        <f aca="false">3_Calc_From_Gross!H39</f>
        <v>2785</v>
      </c>
      <c r="F37" s="60" t="n">
        <f aca="false">3_Calc_From_Gross!AB39</f>
        <v>4590</v>
      </c>
      <c r="G37" s="60" t="n">
        <f aca="false">3_Calc_From_Gross!AQ39</f>
        <v>5820</v>
      </c>
      <c r="H37" s="60" t="n">
        <f aca="false">3_Calc_From_Gross!BF39</f>
        <v>11475</v>
      </c>
      <c r="I37" s="60" t="n">
        <f aca="false">3_Calc_From_Gross!BU39</f>
        <v>6591</v>
      </c>
      <c r="J37" s="60" t="n">
        <f aca="false">3_Calc_From_Gross!CJ39</f>
        <v>7816</v>
      </c>
      <c r="K37" s="60" t="n">
        <f aca="false">3_Calc_From_Gross!CY39</f>
        <v>3340</v>
      </c>
      <c r="L37" s="60" t="n">
        <f aca="false">3_Calc_From_Gross!DN39</f>
        <v>4709</v>
      </c>
      <c r="M37" s="60" t="n">
        <f aca="false">3_Calc_From_Gross!EC39</f>
        <v>3080</v>
      </c>
    </row>
    <row r="38" customFormat="false" ht="15" hidden="false" customHeight="false" outlineLevel="0" collapsed="false">
      <c r="A38" s="37" t="n">
        <v>35</v>
      </c>
      <c r="B38" s="32" t="s">
        <v>272</v>
      </c>
      <c r="C38" s="32" t="s">
        <v>273</v>
      </c>
      <c r="D38" s="62" t="s">
        <v>248</v>
      </c>
      <c r="E38" s="63" t="n">
        <f aca="false">3_Calc_From_Gross!H40</f>
        <v>1535</v>
      </c>
      <c r="F38" s="57" t="n">
        <f aca="false">3_Calc_From_Gross!AB40</f>
        <v>3698</v>
      </c>
      <c r="G38" s="57" t="n">
        <f aca="false">3_Calc_From_Gross!AQ40</f>
        <v>5292</v>
      </c>
      <c r="H38" s="57" t="n">
        <f aca="false">3_Calc_From_Gross!BF40</f>
        <v>13500</v>
      </c>
      <c r="I38" s="57" t="n">
        <f aca="false">3_Calc_From_Gross!BU40</f>
        <v>5650</v>
      </c>
      <c r="J38" s="57" t="n">
        <f aca="false">3_Calc_From_Gross!CJ40</f>
        <v>6591</v>
      </c>
      <c r="K38" s="57" t="n">
        <f aca="false">3_Calc_From_Gross!CY40</f>
        <v>2988</v>
      </c>
      <c r="L38" s="57" t="n">
        <f aca="false">3_Calc_From_Gross!DN40</f>
        <v>3955</v>
      </c>
      <c r="M38" s="57" t="n">
        <f aca="false">3_Calc_From_Gross!EC40</f>
        <v>2500</v>
      </c>
    </row>
    <row r="39" customFormat="false" ht="15" hidden="false" customHeight="false" outlineLevel="0" collapsed="false">
      <c r="A39" s="41" t="n">
        <v>36</v>
      </c>
      <c r="B39" s="28" t="s">
        <v>272</v>
      </c>
      <c r="C39" s="8" t="s">
        <v>273</v>
      </c>
      <c r="D39" s="65" t="s">
        <v>249</v>
      </c>
      <c r="E39" s="63" t="n">
        <f aca="false">3_Calc_From_Gross!H41</f>
        <v>4285</v>
      </c>
      <c r="F39" s="60" t="n">
        <f aca="false">3_Calc_From_Gross!AB41</f>
        <v>6120</v>
      </c>
      <c r="G39" s="60" t="n">
        <f aca="false">3_Calc_From_Gross!AQ41</f>
        <v>7938</v>
      </c>
      <c r="H39" s="60" t="n">
        <f aca="false">3_Calc_From_Gross!BF41</f>
        <v>14450</v>
      </c>
      <c r="I39" s="60" t="n">
        <f aca="false">3_Calc_From_Gross!BU41</f>
        <v>8193</v>
      </c>
      <c r="J39" s="60" t="n">
        <f aca="false">3_Calc_From_Gross!CJ41</f>
        <v>9417</v>
      </c>
      <c r="K39" s="60" t="n">
        <f aca="false">3_Calc_From_Gross!CY41</f>
        <v>4731</v>
      </c>
      <c r="L39" s="60" t="n">
        <f aca="false">3_Calc_From_Gross!DN41</f>
        <v>6215</v>
      </c>
      <c r="M39" s="60" t="n">
        <f aca="false">3_Calc_From_Gross!EC41</f>
        <v>4200</v>
      </c>
    </row>
    <row r="40" customFormat="false" ht="15" hidden="false" customHeight="false" outlineLevel="0" collapsed="false">
      <c r="A40" s="37" t="n">
        <v>37</v>
      </c>
      <c r="B40" s="32" t="s">
        <v>272</v>
      </c>
      <c r="C40" s="32" t="s">
        <v>274</v>
      </c>
      <c r="D40" s="62" t="s">
        <v>248</v>
      </c>
      <c r="E40" s="63" t="n">
        <f aca="false">3_Calc_From_Gross!H42</f>
        <v>1285</v>
      </c>
      <c r="F40" s="57" t="n">
        <f aca="false">3_Calc_From_Gross!AB42</f>
        <v>3443</v>
      </c>
      <c r="G40" s="57" t="n">
        <f aca="false">3_Calc_From_Gross!AQ42</f>
        <v>4763</v>
      </c>
      <c r="H40" s="57" t="n">
        <f aca="false">3_Calc_From_Gross!BF42</f>
        <v>11000</v>
      </c>
      <c r="I40" s="57" t="n">
        <f aca="false">3_Calc_From_Gross!BU42</f>
        <v>5179</v>
      </c>
      <c r="J40" s="57" t="n">
        <f aca="false">3_Calc_From_Gross!CJ42</f>
        <v>6121</v>
      </c>
      <c r="K40" s="57" t="n">
        <f aca="false">3_Calc_From_Gross!CY42</f>
        <v>2668</v>
      </c>
      <c r="L40" s="57" t="n">
        <f aca="false">3_Calc_From_Gross!DN42</f>
        <v>3579</v>
      </c>
      <c r="M40" s="57" t="n">
        <f aca="false">3_Calc_From_Gross!EC42</f>
        <v>2333</v>
      </c>
    </row>
    <row r="41" customFormat="false" ht="15" hidden="false" customHeight="false" outlineLevel="0" collapsed="false">
      <c r="A41" s="41" t="n">
        <v>38</v>
      </c>
      <c r="B41" s="28" t="s">
        <v>272</v>
      </c>
      <c r="C41" s="8" t="s">
        <v>274</v>
      </c>
      <c r="D41" s="65" t="s">
        <v>249</v>
      </c>
      <c r="E41" s="63" t="n">
        <f aca="false">3_Calc_From_Gross!H43</f>
        <v>4035</v>
      </c>
      <c r="F41" s="60" t="n">
        <f aca="false">3_Calc_From_Gross!AB43</f>
        <v>5355</v>
      </c>
      <c r="G41" s="60" t="n">
        <f aca="false">3_Calc_From_Gross!AQ43</f>
        <v>6879</v>
      </c>
      <c r="H41" s="60" t="n">
        <f aca="false">3_Calc_From_Gross!BF43</f>
        <v>12750</v>
      </c>
      <c r="I41" s="60" t="n">
        <f aca="false">3_Calc_From_Gross!BU43</f>
        <v>7345</v>
      </c>
      <c r="J41" s="60" t="n">
        <f aca="false">3_Calc_From_Gross!CJ43</f>
        <v>8475</v>
      </c>
      <c r="K41" s="60" t="n">
        <f aca="false">3_Calc_From_Gross!CY43</f>
        <v>4230</v>
      </c>
      <c r="L41" s="60" t="n">
        <f aca="false">3_Calc_From_Gross!DN43</f>
        <v>5650</v>
      </c>
      <c r="M41" s="60" t="n">
        <f aca="false">3_Calc_From_Gross!EC43</f>
        <v>3733</v>
      </c>
    </row>
    <row r="42" customFormat="false" ht="15" hidden="false" customHeight="false" outlineLevel="0" collapsed="false">
      <c r="A42" s="37" t="n">
        <v>39</v>
      </c>
      <c r="B42" s="32" t="s">
        <v>272</v>
      </c>
      <c r="C42" s="32" t="s">
        <v>275</v>
      </c>
      <c r="D42" s="62" t="s">
        <v>248</v>
      </c>
      <c r="E42" s="63" t="n">
        <f aca="false">3_Calc_From_Gross!H44</f>
        <v>1285</v>
      </c>
      <c r="F42" s="57" t="n">
        <f aca="false">3_Calc_From_Gross!AB44</f>
        <v>3315</v>
      </c>
      <c r="G42" s="57" t="n">
        <f aca="false">3_Calc_From_Gross!AQ44</f>
        <v>4763</v>
      </c>
      <c r="H42" s="57" t="n">
        <f aca="false">3_Calc_From_Gross!BF44</f>
        <v>12000</v>
      </c>
      <c r="I42" s="57" t="n">
        <f aca="false">3_Calc_From_Gross!BU44</f>
        <v>5085</v>
      </c>
      <c r="J42" s="57" t="n">
        <f aca="false">3_Calc_From_Gross!CJ44</f>
        <v>5650</v>
      </c>
      <c r="K42" s="57" t="n">
        <f aca="false">3_Calc_From_Gross!CY44</f>
        <v>2561</v>
      </c>
      <c r="L42" s="57" t="n">
        <f aca="false">3_Calc_From_Gross!DN44</f>
        <v>3390</v>
      </c>
      <c r="M42" s="57" t="n">
        <f aca="false">3_Calc_From_Gross!EC44</f>
        <v>2167</v>
      </c>
    </row>
    <row r="43" customFormat="false" ht="15" hidden="false" customHeight="false" outlineLevel="0" collapsed="false">
      <c r="A43" s="41" t="n">
        <v>40</v>
      </c>
      <c r="B43" s="28" t="s">
        <v>272</v>
      </c>
      <c r="C43" s="8" t="s">
        <v>275</v>
      </c>
      <c r="D43" s="65" t="s">
        <v>249</v>
      </c>
      <c r="E43" s="63" t="n">
        <f aca="false">3_Calc_From_Gross!H45</f>
        <v>4285</v>
      </c>
      <c r="F43" s="60" t="n">
        <f aca="false">3_Calc_From_Gross!AB45</f>
        <v>5610</v>
      </c>
      <c r="G43" s="60" t="n">
        <f aca="false">3_Calc_From_Gross!AQ45</f>
        <v>6879</v>
      </c>
      <c r="H43" s="60" t="n">
        <f aca="false">3_Calc_From_Gross!BF45</f>
        <v>13600</v>
      </c>
      <c r="I43" s="60" t="n">
        <f aca="false">3_Calc_From_Gross!BU45</f>
        <v>7628</v>
      </c>
      <c r="J43" s="60" t="n">
        <f aca="false">3_Calc_From_Gross!CJ45</f>
        <v>8475</v>
      </c>
      <c r="K43" s="60" t="n">
        <f aca="false">3_Calc_From_Gross!CY45</f>
        <v>4341</v>
      </c>
      <c r="L43" s="60" t="n">
        <f aca="false">3_Calc_From_Gross!DN45</f>
        <v>5650</v>
      </c>
      <c r="M43" s="60" t="n">
        <f aca="false">3_Calc_From_Gross!EC45</f>
        <v>3547</v>
      </c>
    </row>
    <row r="44" customFormat="false" ht="15" hidden="false" customHeight="false" outlineLevel="0" collapsed="false">
      <c r="A44" s="37" t="n">
        <v>41</v>
      </c>
      <c r="B44" s="32" t="s">
        <v>276</v>
      </c>
      <c r="C44" s="32" t="s">
        <v>277</v>
      </c>
      <c r="D44" s="62" t="s">
        <v>248</v>
      </c>
      <c r="E44" s="63" t="n">
        <f aca="false">3_Calc_From_Gross!H46</f>
        <v>2035</v>
      </c>
      <c r="F44" s="57" t="n">
        <f aca="false">3_Calc_From_Gross!AB46</f>
        <v>4335</v>
      </c>
      <c r="G44" s="57" t="n">
        <f aca="false">3_Calc_From_Gross!AQ46</f>
        <v>6350</v>
      </c>
      <c r="H44" s="57" t="n">
        <f aca="false">3_Calc_From_Gross!BF46</f>
        <v>16000</v>
      </c>
      <c r="I44" s="57" t="n">
        <f aca="false">3_Calc_From_Gross!BU46</f>
        <v>6591</v>
      </c>
      <c r="J44" s="57" t="n">
        <f aca="false">3_Calc_From_Gross!CJ46</f>
        <v>7439</v>
      </c>
      <c r="K44" s="57" t="n">
        <f aca="false">3_Calc_From_Gross!CY46</f>
        <v>3308</v>
      </c>
      <c r="L44" s="57" t="n">
        <f aca="false">3_Calc_From_Gross!DN46</f>
        <v>4709</v>
      </c>
      <c r="M44" s="57" t="n">
        <f aca="false">3_Calc_From_Gross!EC46</f>
        <v>2917</v>
      </c>
    </row>
    <row r="45" customFormat="false" ht="15" hidden="false" customHeight="false" outlineLevel="0" collapsed="false">
      <c r="A45" s="41" t="n">
        <v>42</v>
      </c>
      <c r="B45" s="28" t="s">
        <v>276</v>
      </c>
      <c r="C45" s="8" t="s">
        <v>277</v>
      </c>
      <c r="D45" s="65" t="s">
        <v>249</v>
      </c>
      <c r="E45" s="63" t="n">
        <f aca="false">3_Calc_From_Gross!H47</f>
        <v>5535</v>
      </c>
      <c r="F45" s="60" t="n">
        <f aca="false">3_Calc_From_Gross!AB47</f>
        <v>6885</v>
      </c>
      <c r="G45" s="60" t="n">
        <f aca="false">3_Calc_From_Gross!AQ47</f>
        <v>10053</v>
      </c>
      <c r="H45" s="60" t="n">
        <f aca="false">3_Calc_From_Gross!BF47</f>
        <v>19975</v>
      </c>
      <c r="I45" s="60" t="n">
        <f aca="false">3_Calc_From_Gross!BU47</f>
        <v>9605</v>
      </c>
      <c r="J45" s="60" t="n">
        <f aca="false">3_Calc_From_Gross!CJ47</f>
        <v>11300</v>
      </c>
      <c r="K45" s="60" t="n">
        <f aca="false">3_Calc_From_Gross!CY47</f>
        <v>5288</v>
      </c>
      <c r="L45" s="60" t="n">
        <f aca="false">3_Calc_From_Gross!DN47</f>
        <v>7345</v>
      </c>
      <c r="M45" s="60" t="n">
        <f aca="false">3_Calc_From_Gross!EC47</f>
        <v>4853</v>
      </c>
    </row>
    <row r="46" customFormat="false" ht="15" hidden="false" customHeight="false" outlineLevel="0" collapsed="false">
      <c r="A46" s="37" t="n">
        <v>43</v>
      </c>
      <c r="B46" s="32" t="s">
        <v>278</v>
      </c>
      <c r="C46" s="32" t="s">
        <v>279</v>
      </c>
      <c r="D46" s="62" t="s">
        <v>248</v>
      </c>
      <c r="E46" s="63" t="n">
        <f aca="false">3_Calc_From_Gross!H48</f>
        <v>1910</v>
      </c>
      <c r="F46" s="57" t="n">
        <f aca="false">3_Calc_From_Gross!AB48</f>
        <v>4080</v>
      </c>
      <c r="G46" s="57" t="n">
        <f aca="false">3_Calc_From_Gross!AQ48</f>
        <v>5292</v>
      </c>
      <c r="H46" s="57" t="n">
        <f aca="false">3_Calc_From_Gross!BF48</f>
        <v>14000</v>
      </c>
      <c r="I46" s="57" t="n">
        <f aca="false">3_Calc_From_Gross!BU48</f>
        <v>6121</v>
      </c>
      <c r="J46" s="57" t="n">
        <f aca="false">3_Calc_From_Gross!CJ48</f>
        <v>6591</v>
      </c>
      <c r="K46" s="57" t="n">
        <f aca="false">3_Calc_From_Gross!CY48</f>
        <v>3202</v>
      </c>
      <c r="L46" s="57" t="n">
        <f aca="false">3_Calc_From_Gross!DN48</f>
        <v>4144</v>
      </c>
      <c r="M46" s="57" t="n">
        <f aca="false">3_Calc_From_Gross!EC48</f>
        <v>2750</v>
      </c>
    </row>
    <row r="47" customFormat="false" ht="15" hidden="false" customHeight="false" outlineLevel="0" collapsed="false">
      <c r="A47" s="41" t="n">
        <v>44</v>
      </c>
      <c r="B47" s="28" t="s">
        <v>278</v>
      </c>
      <c r="C47" s="8" t="s">
        <v>279</v>
      </c>
      <c r="D47" s="65" t="s">
        <v>249</v>
      </c>
      <c r="E47" s="63" t="n">
        <f aca="false">3_Calc_From_Gross!H49</f>
        <v>4635</v>
      </c>
      <c r="F47" s="60" t="n">
        <f aca="false">3_Calc_From_Gross!AB49</f>
        <v>6630</v>
      </c>
      <c r="G47" s="60" t="n">
        <f aca="false">3_Calc_From_Gross!AQ49</f>
        <v>7938</v>
      </c>
      <c r="H47" s="60" t="n">
        <f aca="false">3_Calc_From_Gross!BF49</f>
        <v>16150</v>
      </c>
      <c r="I47" s="60" t="n">
        <f aca="false">3_Calc_From_Gross!BU49</f>
        <v>8475</v>
      </c>
      <c r="J47" s="60" t="n">
        <f aca="false">3_Calc_From_Gross!CJ49</f>
        <v>9511</v>
      </c>
      <c r="K47" s="60" t="n">
        <f aca="false">3_Calc_From_Gross!CY49</f>
        <v>5009</v>
      </c>
      <c r="L47" s="60" t="n">
        <f aca="false">3_Calc_From_Gross!DN49</f>
        <v>6404</v>
      </c>
      <c r="M47" s="60" t="n">
        <f aca="false">3_Calc_From_Gross!EC49</f>
        <v>4480</v>
      </c>
    </row>
    <row r="48" customFormat="false" ht="15" hidden="false" customHeight="false" outlineLevel="0" collapsed="false">
      <c r="A48" s="37" t="n">
        <v>45</v>
      </c>
      <c r="B48" s="32" t="s">
        <v>280</v>
      </c>
      <c r="C48" s="32" t="s">
        <v>281</v>
      </c>
      <c r="D48" s="62" t="s">
        <v>248</v>
      </c>
      <c r="E48" s="63" t="n">
        <f aca="false">3_Calc_From_Gross!H50</f>
        <v>1760</v>
      </c>
      <c r="F48" s="57" t="n">
        <f aca="false">3_Calc_From_Gross!AB50</f>
        <v>3825</v>
      </c>
      <c r="G48" s="57" t="n">
        <f aca="false">3_Calc_From_Gross!AQ50</f>
        <v>5820</v>
      </c>
      <c r="H48" s="57" t="n">
        <f aca="false">3_Calc_From_Gross!BF50</f>
        <v>15000</v>
      </c>
      <c r="I48" s="57" t="n">
        <f aca="false">3_Calc_From_Gross!BU50</f>
        <v>5744</v>
      </c>
      <c r="J48" s="57" t="n">
        <f aca="false">3_Calc_From_Gross!CJ50</f>
        <v>6404</v>
      </c>
      <c r="K48" s="57" t="n">
        <f aca="false">3_Calc_From_Gross!CY50</f>
        <v>3095</v>
      </c>
      <c r="L48" s="57" t="n">
        <f aca="false">3_Calc_From_Gross!DN50</f>
        <v>3955</v>
      </c>
      <c r="M48" s="57" t="n">
        <f aca="false">3_Calc_From_Gross!EC50</f>
        <v>2583</v>
      </c>
    </row>
    <row r="49" customFormat="false" ht="15" hidden="false" customHeight="false" outlineLevel="0" collapsed="false">
      <c r="A49" s="41" t="n">
        <v>46</v>
      </c>
      <c r="B49" s="28" t="s">
        <v>280</v>
      </c>
      <c r="C49" s="8" t="s">
        <v>281</v>
      </c>
      <c r="D49" s="65" t="s">
        <v>249</v>
      </c>
      <c r="E49" s="63" t="n">
        <f aca="false">3_Calc_From_Gross!H51</f>
        <v>4285</v>
      </c>
      <c r="F49" s="60" t="n">
        <f aca="false">3_Calc_From_Gross!AB51</f>
        <v>6375</v>
      </c>
      <c r="G49" s="60" t="n">
        <f aca="false">3_Calc_From_Gross!AQ51</f>
        <v>8467</v>
      </c>
      <c r="H49" s="60" t="n">
        <f aca="false">3_Calc_From_Gross!BF51</f>
        <v>17850</v>
      </c>
      <c r="I49" s="60" t="n">
        <f aca="false">3_Calc_From_Gross!BU51</f>
        <v>7910</v>
      </c>
      <c r="J49" s="60" t="n">
        <f aca="false">3_Calc_From_Gross!CJ51</f>
        <v>9417</v>
      </c>
      <c r="K49" s="60" t="n">
        <f aca="false">3_Calc_From_Gross!CY51</f>
        <v>4898</v>
      </c>
      <c r="L49" s="60" t="n">
        <f aca="false">3_Calc_From_Gross!DN51</f>
        <v>6215</v>
      </c>
      <c r="M49" s="60" t="n">
        <f aca="false">3_Calc_From_Gross!EC51</f>
        <v>4293</v>
      </c>
    </row>
    <row r="50" customFormat="false" ht="18" hidden="false" customHeight="true" outlineLevel="0" collapsed="false">
      <c r="A50" s="98" t="s">
        <v>955</v>
      </c>
      <c r="B50" s="98"/>
      <c r="C50" s="98"/>
      <c r="D50" s="98"/>
      <c r="E50" s="99" t="n">
        <f aca="false">AVERAGE(E4:E49)</f>
        <v>2914.63043478261</v>
      </c>
      <c r="F50" s="99" t="n">
        <f aca="false">AVERAGE(F4:F49)</f>
        <v>4761.9347826087</v>
      </c>
      <c r="G50" s="99" t="n">
        <f aca="false">AVERAGE(G4:G49)</f>
        <v>6326.95652173913</v>
      </c>
      <c r="H50" s="99" t="n">
        <f aca="false">AVERAGE(H4:H49)</f>
        <v>12710.4347826087</v>
      </c>
      <c r="I50" s="99" t="n">
        <f aca="false">AVERAGE(I4:I49)</f>
        <v>6660.19565217391</v>
      </c>
      <c r="J50" s="99" t="n">
        <f aca="false">AVERAGE(J4:J49)</f>
        <v>7566.13043478261</v>
      </c>
      <c r="K50" s="99" t="n">
        <f aca="false">AVERAGE(K4:K49)</f>
        <v>3692.95652173913</v>
      </c>
      <c r="L50" s="99" t="n">
        <f aca="false">AVERAGE(L4:L49)</f>
        <v>4818.89130434783</v>
      </c>
      <c r="M50" s="99" t="n">
        <f aca="false">AVERAGE(M4:M49)</f>
        <v>3128.47826086957</v>
      </c>
    </row>
  </sheetData>
  <mergeCells count="3">
    <mergeCell ref="A1:M1"/>
    <mergeCell ref="A2:M2"/>
    <mergeCell ref="A50:D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"/>
    <col collapsed="false" customWidth="true" hidden="false" outlineLevel="0" max="3" min="3" style="1" width="18"/>
    <col collapsed="false" customWidth="true" hidden="false" outlineLevel="0" max="4" min="4" style="1" width="9"/>
    <col collapsed="false" customWidth="true" hidden="false" outlineLevel="0" max="13" min="5" style="1" width="13"/>
  </cols>
  <sheetData>
    <row r="1" customFormat="false" ht="25.5" hidden="false" customHeight="true" outlineLevel="0" collapsed="false">
      <c r="A1" s="35" t="s">
        <v>970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customFormat="false" ht="15" hidden="false" customHeight="true" outlineLevel="0" collapsed="false">
      <c r="A2" s="44" t="s">
        <v>971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customFormat="false" ht="31.5" hidden="false" customHeight="true" outlineLevel="0" collapsed="false">
      <c r="A3" s="14" t="s">
        <v>233</v>
      </c>
      <c r="B3" s="14" t="s">
        <v>284</v>
      </c>
      <c r="C3" s="14" t="s">
        <v>235</v>
      </c>
      <c r="D3" s="14" t="s">
        <v>236</v>
      </c>
      <c r="E3" s="49" t="s">
        <v>946</v>
      </c>
      <c r="F3" s="45" t="s">
        <v>972</v>
      </c>
      <c r="G3" s="45" t="s">
        <v>973</v>
      </c>
      <c r="H3" s="45" t="s">
        <v>974</v>
      </c>
      <c r="I3" s="45" t="s">
        <v>975</v>
      </c>
      <c r="J3" s="45" t="s">
        <v>976</v>
      </c>
      <c r="K3" s="45" t="s">
        <v>977</v>
      </c>
      <c r="L3" s="45" t="s">
        <v>978</v>
      </c>
      <c r="M3" s="45" t="s">
        <v>979</v>
      </c>
    </row>
    <row r="4" customFormat="false" ht="15" hidden="false" customHeight="false" outlineLevel="0" collapsed="false">
      <c r="A4" s="37" t="n">
        <v>1</v>
      </c>
      <c r="B4" s="32" t="s">
        <v>246</v>
      </c>
      <c r="C4" s="32" t="s">
        <v>247</v>
      </c>
      <c r="D4" s="62" t="s">
        <v>248</v>
      </c>
      <c r="E4" s="63" t="n">
        <f aca="false">3_Calc_From_Gross!H6</f>
        <v>1535</v>
      </c>
      <c r="F4" s="57" t="n">
        <f aca="false">3_Calc_From_Gross!AG6</f>
        <v>5104.535</v>
      </c>
      <c r="G4" s="57" t="n">
        <f aca="false">3_Calc_From_Gross!AV6</f>
        <v>6585.8</v>
      </c>
      <c r="H4" s="57" t="n">
        <f aca="false">3_Calc_From_Gross!BK6</f>
        <v>12710</v>
      </c>
      <c r="I4" s="57" t="n">
        <f aca="false">3_Calc_From_Gross!BZ6</f>
        <v>7428.46</v>
      </c>
      <c r="J4" s="57" t="n">
        <f aca="false">3_Calc_From_Gross!CO6</f>
        <v>8184.8</v>
      </c>
      <c r="K4" s="57" t="n">
        <f aca="false">3_Calc_From_Gross!DD6</f>
        <v>4641.11</v>
      </c>
      <c r="L4" s="57" t="n">
        <f aca="false">3_Calc_From_Gross!DS6</f>
        <v>5394.3125</v>
      </c>
      <c r="M4" s="57" t="n">
        <f aca="false">3_Calc_From_Gross!EH6</f>
        <v>3056.25</v>
      </c>
    </row>
    <row r="5" customFormat="false" ht="15" hidden="false" customHeight="false" outlineLevel="0" collapsed="false">
      <c r="A5" s="41" t="n">
        <v>2</v>
      </c>
      <c r="B5" s="28" t="s">
        <v>246</v>
      </c>
      <c r="C5" s="8" t="s">
        <v>247</v>
      </c>
      <c r="D5" s="65" t="s">
        <v>249</v>
      </c>
      <c r="E5" s="63" t="n">
        <f aca="false">3_Calc_From_Gross!H7</f>
        <v>4785</v>
      </c>
      <c r="F5" s="60" t="n">
        <f aca="false">3_Calc_From_Gross!AG7</f>
        <v>8174.225</v>
      </c>
      <c r="G5" s="60" t="n">
        <f aca="false">3_Calc_From_Gross!AV7</f>
        <v>9628.7</v>
      </c>
      <c r="H5" s="60" t="n">
        <f aca="false">3_Calc_From_Gross!BK7</f>
        <v>16067.75</v>
      </c>
      <c r="I5" s="60" t="n">
        <f aca="false">3_Calc_From_Gross!BZ7</f>
        <v>10413.53</v>
      </c>
      <c r="J5" s="60" t="n">
        <f aca="false">3_Calc_From_Gross!CO7</f>
        <v>11800.4</v>
      </c>
      <c r="K5" s="60" t="n">
        <f aca="false">3_Calc_From_Gross!DD7</f>
        <v>7202.042</v>
      </c>
      <c r="L5" s="60" t="n">
        <f aca="false">3_Calc_From_Gross!DS7</f>
        <v>8191.0625</v>
      </c>
      <c r="M5" s="60" t="n">
        <f aca="false">3_Calc_From_Gross!EH7</f>
        <v>4794.5</v>
      </c>
    </row>
    <row r="6" customFormat="false" ht="15" hidden="false" customHeight="false" outlineLevel="0" collapsed="false">
      <c r="A6" s="37" t="n">
        <v>3</v>
      </c>
      <c r="B6" s="32" t="s">
        <v>246</v>
      </c>
      <c r="C6" s="32" t="s">
        <v>250</v>
      </c>
      <c r="D6" s="62" t="s">
        <v>248</v>
      </c>
      <c r="E6" s="63" t="n">
        <f aca="false">3_Calc_From_Gross!H8</f>
        <v>1635</v>
      </c>
      <c r="F6" s="57" t="n">
        <f aca="false">3_Calc_From_Gross!AG8</f>
        <v>5104.535</v>
      </c>
      <c r="G6" s="57" t="n">
        <f aca="false">3_Calc_From_Gross!AV8</f>
        <v>6585.8</v>
      </c>
      <c r="H6" s="57" t="n">
        <f aca="false">3_Calc_From_Gross!BK8</f>
        <v>12710</v>
      </c>
      <c r="I6" s="57" t="n">
        <f aca="false">3_Calc_From_Gross!BZ8</f>
        <v>7336.5</v>
      </c>
      <c r="J6" s="57" t="n">
        <f aca="false">3_Calc_From_Gross!CO8</f>
        <v>7845.2</v>
      </c>
      <c r="K6" s="57" t="n">
        <f aca="false">3_Calc_From_Gross!DD8</f>
        <v>4427.03</v>
      </c>
      <c r="L6" s="57" t="n">
        <f aca="false">3_Calc_From_Gross!DS8</f>
        <v>5160.425</v>
      </c>
      <c r="M6" s="57" t="n">
        <f aca="false">3_Calc_From_Gross!EH8</f>
        <v>3056.25</v>
      </c>
    </row>
    <row r="7" customFormat="false" ht="15" hidden="false" customHeight="false" outlineLevel="0" collapsed="false">
      <c r="A7" s="41" t="n">
        <v>4</v>
      </c>
      <c r="B7" s="28" t="s">
        <v>246</v>
      </c>
      <c r="C7" s="8" t="s">
        <v>250</v>
      </c>
      <c r="D7" s="65" t="s">
        <v>249</v>
      </c>
      <c r="E7" s="63" t="n">
        <f aca="false">3_Calc_From_Gross!H9</f>
        <v>4535</v>
      </c>
      <c r="F7" s="60" t="n">
        <f aca="false">3_Calc_From_Gross!AG9</f>
        <v>8174.225</v>
      </c>
      <c r="G7" s="60" t="n">
        <f aca="false">3_Calc_From_Gross!AV9</f>
        <v>9018.05</v>
      </c>
      <c r="H7" s="60" t="n">
        <f aca="false">3_Calc_From_Gross!BK9</f>
        <v>15596</v>
      </c>
      <c r="I7" s="60" t="n">
        <f aca="false">3_Calc_From_Gross!BZ9</f>
        <v>10071.1</v>
      </c>
      <c r="J7" s="60" t="n">
        <f aca="false">3_Calc_From_Gross!CO9</f>
        <v>11348</v>
      </c>
      <c r="K7" s="60" t="n">
        <f aca="false">3_Calc_From_Gross!DD9</f>
        <v>6830.078</v>
      </c>
      <c r="L7" s="60" t="n">
        <f aca="false">3_Calc_From_Gross!DS9</f>
        <v>7725.7625</v>
      </c>
      <c r="M7" s="60" t="n">
        <f aca="false">3_Calc_From_Gross!EH9</f>
        <v>4508.2</v>
      </c>
    </row>
    <row r="8" customFormat="false" ht="15" hidden="false" customHeight="false" outlineLevel="0" collapsed="false">
      <c r="A8" s="37" t="n">
        <v>5</v>
      </c>
      <c r="B8" s="32" t="s">
        <v>246</v>
      </c>
      <c r="C8" s="32" t="s">
        <v>251</v>
      </c>
      <c r="D8" s="62" t="s">
        <v>248</v>
      </c>
      <c r="E8" s="63" t="n">
        <f aca="false">3_Calc_From_Gross!H10</f>
        <v>1523</v>
      </c>
      <c r="F8" s="57" t="n">
        <f aca="false">3_Calc_From_Gross!AG10</f>
        <v>5104.535</v>
      </c>
      <c r="G8" s="57" t="n">
        <f aca="false">3_Calc_From_Gross!AV10</f>
        <v>7193</v>
      </c>
      <c r="H8" s="57" t="n">
        <f aca="false">3_Calc_From_Gross!BK10</f>
        <v>13265</v>
      </c>
      <c r="I8" s="57" t="n">
        <f aca="false">3_Calc_From_Gross!BZ10</f>
        <v>7450.24</v>
      </c>
      <c r="J8" s="57" t="n">
        <f aca="false">3_Calc_From_Gross!CO10</f>
        <v>7958</v>
      </c>
      <c r="K8" s="57" t="n">
        <f aca="false">3_Calc_From_Gross!DD10</f>
        <v>4497.944</v>
      </c>
      <c r="L8" s="57" t="n">
        <f aca="false">3_Calc_From_Gross!DS10</f>
        <v>5394.3125</v>
      </c>
      <c r="M8" s="57" t="n">
        <f aca="false">3_Calc_From_Gross!EH10</f>
        <v>3056.25</v>
      </c>
    </row>
    <row r="9" customFormat="false" ht="15" hidden="false" customHeight="false" outlineLevel="0" collapsed="false">
      <c r="A9" s="41" t="n">
        <v>6</v>
      </c>
      <c r="B9" s="28" t="s">
        <v>246</v>
      </c>
      <c r="C9" s="8" t="s">
        <v>251</v>
      </c>
      <c r="D9" s="65" t="s">
        <v>249</v>
      </c>
      <c r="E9" s="63" t="n">
        <f aca="false">3_Calc_From_Gross!H11</f>
        <v>4535</v>
      </c>
      <c r="F9" s="60" t="n">
        <f aca="false">3_Calc_From_Gross!AG11</f>
        <v>8174.225</v>
      </c>
      <c r="G9" s="60" t="n">
        <f aca="false">3_Calc_From_Gross!AV11</f>
        <v>10237.05</v>
      </c>
      <c r="H9" s="60" t="n">
        <f aca="false">3_Calc_From_Gross!BK11</f>
        <v>16539.5</v>
      </c>
      <c r="I9" s="60" t="n">
        <f aca="false">3_Calc_From_Gross!BZ11</f>
        <v>10526.06</v>
      </c>
      <c r="J9" s="60" t="n">
        <f aca="false">3_Calc_From_Gross!CO11</f>
        <v>11574.8</v>
      </c>
      <c r="K9" s="60" t="n">
        <f aca="false">3_Calc_From_Gross!DD11</f>
        <v>6830.078</v>
      </c>
      <c r="L9" s="60" t="n">
        <f aca="false">3_Calc_From_Gross!DS11</f>
        <v>8191.0625</v>
      </c>
      <c r="M9" s="60" t="n">
        <f aca="false">3_Calc_From_Gross!EH11</f>
        <v>4794.5</v>
      </c>
    </row>
    <row r="10" customFormat="false" ht="15" hidden="false" customHeight="false" outlineLevel="0" collapsed="false">
      <c r="A10" s="37" t="n">
        <v>7</v>
      </c>
      <c r="B10" s="32" t="s">
        <v>246</v>
      </c>
      <c r="C10" s="32" t="s">
        <v>252</v>
      </c>
      <c r="D10" s="62" t="s">
        <v>248</v>
      </c>
      <c r="E10" s="63" t="n">
        <f aca="false">3_Calc_From_Gross!H12</f>
        <v>1535</v>
      </c>
      <c r="F10" s="57" t="n">
        <f aca="false">3_Calc_From_Gross!AG12</f>
        <v>5104.535</v>
      </c>
      <c r="G10" s="57" t="n">
        <f aca="false">3_Calc_From_Gross!AV12</f>
        <v>6585.8</v>
      </c>
      <c r="H10" s="57" t="n">
        <f aca="false">3_Calc_From_Gross!BK12</f>
        <v>12710</v>
      </c>
      <c r="I10" s="57" t="n">
        <f aca="false">3_Calc_From_Gross!BZ12</f>
        <v>7428.46</v>
      </c>
      <c r="J10" s="57" t="n">
        <f aca="false">3_Calc_From_Gross!CO12</f>
        <v>8184.8</v>
      </c>
      <c r="K10" s="57" t="n">
        <f aca="false">3_Calc_From_Gross!DD12</f>
        <v>4641.11</v>
      </c>
      <c r="L10" s="57" t="n">
        <f aca="false">3_Calc_From_Gross!DS12</f>
        <v>5394.3125</v>
      </c>
      <c r="M10" s="57" t="n">
        <f aca="false">3_Calc_From_Gross!EH12</f>
        <v>3056.25</v>
      </c>
    </row>
    <row r="11" customFormat="false" ht="15" hidden="false" customHeight="false" outlineLevel="0" collapsed="false">
      <c r="A11" s="41" t="n">
        <v>8</v>
      </c>
      <c r="B11" s="28" t="s">
        <v>246</v>
      </c>
      <c r="C11" s="8" t="s">
        <v>252</v>
      </c>
      <c r="D11" s="65" t="s">
        <v>249</v>
      </c>
      <c r="E11" s="63" t="n">
        <f aca="false">3_Calc_From_Gross!H13</f>
        <v>4785</v>
      </c>
      <c r="F11" s="60" t="n">
        <f aca="false">3_Calc_From_Gross!AG13</f>
        <v>8174.225</v>
      </c>
      <c r="G11" s="60" t="n">
        <f aca="false">3_Calc_From_Gross!AV13</f>
        <v>9628.7</v>
      </c>
      <c r="H11" s="60" t="n">
        <f aca="false">3_Calc_From_Gross!BK13</f>
        <v>16067.75</v>
      </c>
      <c r="I11" s="60" t="n">
        <f aca="false">3_Calc_From_Gross!BZ13</f>
        <v>10413.53</v>
      </c>
      <c r="J11" s="60" t="n">
        <f aca="false">3_Calc_From_Gross!CO13</f>
        <v>11800.4</v>
      </c>
      <c r="K11" s="60" t="n">
        <f aca="false">3_Calc_From_Gross!DD13</f>
        <v>7202.042</v>
      </c>
      <c r="L11" s="60" t="n">
        <f aca="false">3_Calc_From_Gross!DS13</f>
        <v>8191.0625</v>
      </c>
      <c r="M11" s="60" t="n">
        <f aca="false">3_Calc_From_Gross!EH13</f>
        <v>4794.5</v>
      </c>
    </row>
    <row r="12" customFormat="false" ht="15" hidden="false" customHeight="false" outlineLevel="0" collapsed="false">
      <c r="A12" s="37" t="n">
        <v>9</v>
      </c>
      <c r="B12" s="32" t="s">
        <v>253</v>
      </c>
      <c r="C12" s="32" t="s">
        <v>254</v>
      </c>
      <c r="D12" s="62" t="s">
        <v>248</v>
      </c>
      <c r="E12" s="63" t="n">
        <f aca="false">3_Calc_From_Gross!H14</f>
        <v>1535</v>
      </c>
      <c r="F12" s="57" t="n">
        <f aca="false">3_Calc_From_Gross!AG14</f>
        <v>5104.535</v>
      </c>
      <c r="G12" s="57" t="n">
        <f aca="false">3_Calc_From_Gross!AV14</f>
        <v>6585.8</v>
      </c>
      <c r="H12" s="57" t="n">
        <f aca="false">3_Calc_From_Gross!BK14</f>
        <v>13265</v>
      </c>
      <c r="I12" s="57" t="n">
        <f aca="false">3_Calc_From_Gross!BZ14</f>
        <v>7428.46</v>
      </c>
      <c r="J12" s="57" t="n">
        <f aca="false">3_Calc_From_Gross!CO14</f>
        <v>8184.8</v>
      </c>
      <c r="K12" s="57" t="n">
        <f aca="false">3_Calc_From_Gross!DD14</f>
        <v>4641.11</v>
      </c>
      <c r="L12" s="57" t="n">
        <f aca="false">3_Calc_From_Gross!DS14</f>
        <v>5394.3125</v>
      </c>
      <c r="M12" s="57" t="n">
        <f aca="false">3_Calc_From_Gross!EH14</f>
        <v>3056.25</v>
      </c>
    </row>
    <row r="13" customFormat="false" ht="15" hidden="false" customHeight="false" outlineLevel="0" collapsed="false">
      <c r="A13" s="41" t="n">
        <v>10</v>
      </c>
      <c r="B13" s="28" t="s">
        <v>253</v>
      </c>
      <c r="C13" s="8" t="s">
        <v>254</v>
      </c>
      <c r="D13" s="65" t="s">
        <v>249</v>
      </c>
      <c r="E13" s="63" t="n">
        <f aca="false">3_Calc_From_Gross!H15</f>
        <v>4785</v>
      </c>
      <c r="F13" s="60" t="n">
        <f aca="false">3_Calc_From_Gross!AG15</f>
        <v>8174.225</v>
      </c>
      <c r="G13" s="60" t="n">
        <f aca="false">3_Calc_From_Gross!AV15</f>
        <v>9628.7</v>
      </c>
      <c r="H13" s="60" t="n">
        <f aca="false">3_Calc_From_Gross!BK15</f>
        <v>16539.5</v>
      </c>
      <c r="I13" s="60" t="n">
        <f aca="false">3_Calc_From_Gross!BZ15</f>
        <v>10413.53</v>
      </c>
      <c r="J13" s="60" t="n">
        <f aca="false">3_Calc_From_Gross!CO15</f>
        <v>11800.4</v>
      </c>
      <c r="K13" s="60" t="n">
        <f aca="false">3_Calc_From_Gross!DD15</f>
        <v>7202.042</v>
      </c>
      <c r="L13" s="60" t="n">
        <f aca="false">3_Calc_From_Gross!DS15</f>
        <v>8191.0625</v>
      </c>
      <c r="M13" s="60" t="n">
        <f aca="false">3_Calc_From_Gross!EH15</f>
        <v>4794.5</v>
      </c>
    </row>
    <row r="14" customFormat="false" ht="15" hidden="false" customHeight="false" outlineLevel="0" collapsed="false">
      <c r="A14" s="37" t="n">
        <v>11</v>
      </c>
      <c r="B14" s="32" t="s">
        <v>253</v>
      </c>
      <c r="C14" s="32" t="s">
        <v>255</v>
      </c>
      <c r="D14" s="62" t="s">
        <v>248</v>
      </c>
      <c r="E14" s="63" t="n">
        <f aca="false">3_Calc_From_Gross!H16</f>
        <v>1635</v>
      </c>
      <c r="F14" s="57" t="n">
        <f aca="false">3_Calc_From_Gross!AG16</f>
        <v>4797.566</v>
      </c>
      <c r="G14" s="57" t="n">
        <f aca="false">3_Calc_From_Gross!AV16</f>
        <v>5977.45</v>
      </c>
      <c r="H14" s="57" t="n">
        <f aca="false">3_Calc_From_Gross!BK16</f>
        <v>12710</v>
      </c>
      <c r="I14" s="57" t="n">
        <f aca="false">3_Calc_From_Gross!BZ16</f>
        <v>7222.76</v>
      </c>
      <c r="J14" s="57" t="n">
        <f aca="false">3_Calc_From_Gross!CO16</f>
        <v>7845.2</v>
      </c>
      <c r="K14" s="57" t="n">
        <f aca="false">3_Calc_From_Gross!DD16</f>
        <v>4354.778</v>
      </c>
      <c r="L14" s="57" t="n">
        <f aca="false">3_Calc_From_Gross!DS16</f>
        <v>5160.425</v>
      </c>
      <c r="M14" s="57" t="n">
        <f aca="false">3_Calc_From_Gross!EH16</f>
        <v>2885.4925</v>
      </c>
    </row>
    <row r="15" customFormat="false" ht="15" hidden="false" customHeight="false" outlineLevel="0" collapsed="false">
      <c r="A15" s="41" t="n">
        <v>12</v>
      </c>
      <c r="B15" s="28" t="s">
        <v>253</v>
      </c>
      <c r="C15" s="8" t="s">
        <v>255</v>
      </c>
      <c r="D15" s="65" t="s">
        <v>249</v>
      </c>
      <c r="E15" s="63" t="n">
        <f aca="false">3_Calc_From_Gross!H17</f>
        <v>4535</v>
      </c>
      <c r="F15" s="60" t="n">
        <f aca="false">3_Calc_From_Gross!AG17</f>
        <v>7867.256</v>
      </c>
      <c r="G15" s="60" t="n">
        <f aca="false">3_Calc_From_Gross!AV17</f>
        <v>8410.85</v>
      </c>
      <c r="H15" s="60" t="n">
        <f aca="false">3_Calc_From_Gross!BK17</f>
        <v>15124.25</v>
      </c>
      <c r="I15" s="60" t="n">
        <f aca="false">3_Calc_From_Gross!BZ17</f>
        <v>9729.88</v>
      </c>
      <c r="J15" s="60" t="n">
        <f aca="false">3_Calc_From_Gross!CO17</f>
        <v>10895.6</v>
      </c>
      <c r="K15" s="60" t="n">
        <f aca="false">3_Calc_From_Gross!DD17</f>
        <v>6606.632</v>
      </c>
      <c r="L15" s="60" t="n">
        <f aca="false">3_Calc_From_Gross!DS17</f>
        <v>7491.875</v>
      </c>
      <c r="M15" s="60" t="n">
        <f aca="false">3_Calc_From_Gross!EH17</f>
        <v>4316.9925</v>
      </c>
    </row>
    <row r="16" customFormat="false" ht="15" hidden="false" customHeight="false" outlineLevel="0" collapsed="false">
      <c r="A16" s="37" t="n">
        <v>13</v>
      </c>
      <c r="B16" s="32" t="s">
        <v>253</v>
      </c>
      <c r="C16" s="32" t="s">
        <v>256</v>
      </c>
      <c r="D16" s="62" t="s">
        <v>248</v>
      </c>
      <c r="E16" s="63" t="n">
        <f aca="false">3_Calc_From_Gross!H18</f>
        <v>1285</v>
      </c>
      <c r="F16" s="57" t="n">
        <f aca="false">3_Calc_From_Gross!AG18</f>
        <v>4490.597</v>
      </c>
      <c r="G16" s="57" t="n">
        <f aca="false">3_Calc_From_Gross!AV18</f>
        <v>5672.7</v>
      </c>
      <c r="H16" s="57" t="n">
        <f aca="false">3_Calc_From_Gross!BK18</f>
        <v>10490</v>
      </c>
      <c r="I16" s="57" t="n">
        <f aca="false">3_Calc_From_Gross!BZ18</f>
        <v>6539.11</v>
      </c>
      <c r="J16" s="57" t="n">
        <f aca="false">3_Calc_From_Gross!CO18</f>
        <v>7053.2</v>
      </c>
      <c r="K16" s="57" t="n">
        <f aca="false">3_Calc_From_Gross!DD18</f>
        <v>3926.618</v>
      </c>
      <c r="L16" s="57" t="n">
        <f aca="false">3_Calc_From_Gross!DS18</f>
        <v>4695.125</v>
      </c>
      <c r="M16" s="57" t="n">
        <f aca="false">3_Calc_From_Gross!EH18</f>
        <v>2629.8675</v>
      </c>
    </row>
    <row r="17" customFormat="false" ht="15" hidden="false" customHeight="false" outlineLevel="0" collapsed="false">
      <c r="A17" s="41" t="n">
        <v>14</v>
      </c>
      <c r="B17" s="28" t="s">
        <v>253</v>
      </c>
      <c r="C17" s="8" t="s">
        <v>256</v>
      </c>
      <c r="D17" s="65" t="s">
        <v>249</v>
      </c>
      <c r="E17" s="63" t="n">
        <f aca="false">3_Calc_From_Gross!H19</f>
        <v>3285</v>
      </c>
      <c r="F17" s="60" t="n">
        <f aca="false">3_Calc_From_Gross!AG19</f>
        <v>6639.38</v>
      </c>
      <c r="G17" s="60" t="n">
        <f aca="false">3_Calc_From_Gross!AV19</f>
        <v>7802.5</v>
      </c>
      <c r="H17" s="60" t="n">
        <f aca="false">3_Calc_From_Gross!BK19</f>
        <v>12765.5</v>
      </c>
      <c r="I17" s="60" t="n">
        <f aca="false">3_Calc_From_Gross!BZ19</f>
        <v>9046.23</v>
      </c>
      <c r="J17" s="60" t="n">
        <f aca="false">3_Calc_From_Gross!CO19</f>
        <v>9765.2</v>
      </c>
      <c r="K17" s="60" t="n">
        <f aca="false">3_Calc_From_Gross!DD19</f>
        <v>5862.704</v>
      </c>
      <c r="L17" s="60" t="n">
        <f aca="false">3_Calc_From_Gross!DS19</f>
        <v>6792.6875</v>
      </c>
      <c r="M17" s="60" t="n">
        <f aca="false">3_Calc_From_Gross!EH19</f>
        <v>3935.6</v>
      </c>
    </row>
    <row r="18" customFormat="false" ht="15" hidden="false" customHeight="false" outlineLevel="0" collapsed="false">
      <c r="A18" s="37" t="n">
        <v>15</v>
      </c>
      <c r="B18" s="32" t="s">
        <v>253</v>
      </c>
      <c r="C18" s="32" t="s">
        <v>257</v>
      </c>
      <c r="D18" s="62" t="s">
        <v>248</v>
      </c>
      <c r="E18" s="63" t="n">
        <f aca="false">3_Calc_From_Gross!H20</f>
        <v>1485</v>
      </c>
      <c r="F18" s="57" t="n">
        <f aca="false">3_Calc_From_Gross!AG20</f>
        <v>4951.6524</v>
      </c>
      <c r="G18" s="57" t="n">
        <f aca="false">3_Calc_From_Gross!AV20</f>
        <v>6585.8</v>
      </c>
      <c r="H18" s="57" t="n">
        <f aca="false">3_Calc_From_Gross!BK20</f>
        <v>12710</v>
      </c>
      <c r="I18" s="57" t="n">
        <f aca="false">3_Calc_From_Gross!BZ20</f>
        <v>7222.76</v>
      </c>
      <c r="J18" s="57" t="n">
        <f aca="false">3_Calc_From_Gross!CO20</f>
        <v>7731.2</v>
      </c>
      <c r="K18" s="57" t="n">
        <f aca="false">3_Calc_From_Gross!DD20</f>
        <v>4427.03</v>
      </c>
      <c r="L18" s="57" t="n">
        <f aca="false">3_Calc_From_Gross!DS20</f>
        <v>5160.425</v>
      </c>
      <c r="M18" s="57" t="n">
        <f aca="false">3_Calc_From_Gross!EH20</f>
        <v>2885.4925</v>
      </c>
    </row>
    <row r="19" customFormat="false" ht="15" hidden="false" customHeight="false" outlineLevel="0" collapsed="false">
      <c r="A19" s="41" t="n">
        <v>16</v>
      </c>
      <c r="B19" s="28" t="s">
        <v>253</v>
      </c>
      <c r="C19" s="8" t="s">
        <v>257</v>
      </c>
      <c r="D19" s="65" t="s">
        <v>249</v>
      </c>
      <c r="E19" s="63" t="n">
        <f aca="false">3_Calc_From_Gross!H21</f>
        <v>4485</v>
      </c>
      <c r="F19" s="60" t="n">
        <f aca="false">3_Calc_From_Gross!AG21</f>
        <v>7867.256</v>
      </c>
      <c r="G19" s="60" t="n">
        <f aca="false">3_Calc_From_Gross!AV21</f>
        <v>9628.7</v>
      </c>
      <c r="H19" s="60" t="n">
        <f aca="false">3_Calc_From_Gross!BK21</f>
        <v>15596</v>
      </c>
      <c r="I19" s="60" t="n">
        <f aca="false">3_Calc_From_Gross!BZ21</f>
        <v>10071.1</v>
      </c>
      <c r="J19" s="60" t="n">
        <f aca="false">3_Calc_From_Gross!CO21</f>
        <v>11235.2</v>
      </c>
      <c r="K19" s="60" t="n">
        <f aca="false">3_Calc_From_Gross!DD21</f>
        <v>6830.078</v>
      </c>
      <c r="L19" s="60" t="n">
        <f aca="false">3_Calc_From_Gross!DS21</f>
        <v>7725.7625</v>
      </c>
      <c r="M19" s="60" t="n">
        <f aca="false">3_Calc_From_Gross!EH21</f>
        <v>4316.9925</v>
      </c>
    </row>
    <row r="20" customFormat="false" ht="15" hidden="false" customHeight="false" outlineLevel="0" collapsed="false">
      <c r="A20" s="37" t="n">
        <v>17</v>
      </c>
      <c r="B20" s="32" t="s">
        <v>253</v>
      </c>
      <c r="C20" s="32" t="s">
        <v>258</v>
      </c>
      <c r="D20" s="62" t="s">
        <v>248</v>
      </c>
      <c r="E20" s="63" t="n">
        <f aca="false">3_Calc_From_Gross!H22</f>
        <v>1523</v>
      </c>
      <c r="F20" s="57" t="n">
        <f aca="false">3_Calc_From_Gross!AG22</f>
        <v>4951.6524</v>
      </c>
      <c r="G20" s="57" t="n">
        <f aca="false">3_Calc_From_Gross!AV22</f>
        <v>7193</v>
      </c>
      <c r="H20" s="57" t="n">
        <f aca="false">3_Calc_From_Gross!BK22</f>
        <v>13265</v>
      </c>
      <c r="I20" s="57" t="n">
        <f aca="false">3_Calc_From_Gross!BZ22</f>
        <v>7450.24</v>
      </c>
      <c r="J20" s="57" t="n">
        <f aca="false">3_Calc_From_Gross!CO22</f>
        <v>7958</v>
      </c>
      <c r="K20" s="57" t="n">
        <f aca="false">3_Calc_From_Gross!DD22</f>
        <v>4497.944</v>
      </c>
      <c r="L20" s="57" t="n">
        <f aca="false">3_Calc_From_Gross!DS22</f>
        <v>5394.3125</v>
      </c>
      <c r="M20" s="57" t="n">
        <f aca="false">3_Calc_From_Gross!EH22</f>
        <v>3056.25</v>
      </c>
    </row>
    <row r="21" customFormat="false" ht="15" hidden="false" customHeight="false" outlineLevel="0" collapsed="false">
      <c r="A21" s="41" t="n">
        <v>18</v>
      </c>
      <c r="B21" s="28" t="s">
        <v>253</v>
      </c>
      <c r="C21" s="8" t="s">
        <v>258</v>
      </c>
      <c r="D21" s="65" t="s">
        <v>249</v>
      </c>
      <c r="E21" s="63" t="n">
        <f aca="false">3_Calc_From_Gross!H23</f>
        <v>4535</v>
      </c>
      <c r="F21" s="60" t="n">
        <f aca="false">3_Calc_From_Gross!AG23</f>
        <v>8021.3424</v>
      </c>
      <c r="G21" s="60" t="n">
        <f aca="false">3_Calc_From_Gross!AV23</f>
        <v>10237.05</v>
      </c>
      <c r="H21" s="60" t="n">
        <f aca="false">3_Calc_From_Gross!BK23</f>
        <v>16539.5</v>
      </c>
      <c r="I21" s="60" t="n">
        <f aca="false">3_Calc_From_Gross!BZ23</f>
        <v>10526.06</v>
      </c>
      <c r="J21" s="60" t="n">
        <f aca="false">3_Calc_From_Gross!CO23</f>
        <v>11574.8</v>
      </c>
      <c r="K21" s="60" t="n">
        <f aca="false">3_Calc_From_Gross!DD23</f>
        <v>6830.078</v>
      </c>
      <c r="L21" s="60" t="n">
        <f aca="false">3_Calc_From_Gross!DS23</f>
        <v>8191.0625</v>
      </c>
      <c r="M21" s="60" t="n">
        <f aca="false">3_Calc_From_Gross!EH23</f>
        <v>4794.5</v>
      </c>
    </row>
    <row r="22" customFormat="false" ht="15" hidden="false" customHeight="false" outlineLevel="0" collapsed="false">
      <c r="A22" s="37" t="n">
        <v>19</v>
      </c>
      <c r="B22" s="32" t="s">
        <v>259</v>
      </c>
      <c r="C22" s="32" t="s">
        <v>260</v>
      </c>
      <c r="D22" s="62" t="s">
        <v>248</v>
      </c>
      <c r="E22" s="63" t="n">
        <f aca="false">3_Calc_From_Gross!H24</f>
        <v>1266</v>
      </c>
      <c r="F22" s="57" t="n">
        <f aca="false">3_Calc_From_Gross!AG24</f>
        <v>4337.7144</v>
      </c>
      <c r="G22" s="57" t="n">
        <f aca="false">3_Calc_From_Gross!AV24</f>
        <v>5367.95</v>
      </c>
      <c r="H22" s="57" t="n">
        <f aca="false">3_Calc_From_Gross!BK24</f>
        <v>11045</v>
      </c>
      <c r="I22" s="57" t="n">
        <f aca="false">3_Calc_From_Gross!BZ24</f>
        <v>6311.63</v>
      </c>
      <c r="J22" s="57" t="n">
        <f aca="false">3_Calc_From_Gross!CO24</f>
        <v>7280</v>
      </c>
      <c r="K22" s="57" t="n">
        <f aca="false">3_Calc_From_Gross!DD24</f>
        <v>3926.618</v>
      </c>
      <c r="L22" s="57" t="n">
        <f aca="false">3_Calc_From_Gross!DS24</f>
        <v>4695.125</v>
      </c>
      <c r="M22" s="57" t="n">
        <f aca="false">3_Calc_From_Gross!EH24</f>
        <v>2629.8675</v>
      </c>
    </row>
    <row r="23" customFormat="false" ht="15" hidden="false" customHeight="false" outlineLevel="0" collapsed="false">
      <c r="A23" s="41" t="n">
        <v>20</v>
      </c>
      <c r="B23" s="28" t="s">
        <v>259</v>
      </c>
      <c r="C23" s="8" t="s">
        <v>260</v>
      </c>
      <c r="D23" s="65" t="s">
        <v>249</v>
      </c>
      <c r="E23" s="63" t="n">
        <f aca="false">3_Calc_From_Gross!H25</f>
        <v>4035</v>
      </c>
      <c r="F23" s="60" t="n">
        <f aca="false">3_Calc_From_Gross!AG25</f>
        <v>6639.38</v>
      </c>
      <c r="G23" s="60" t="n">
        <f aca="false">3_Calc_From_Gross!AV25</f>
        <v>7802.5</v>
      </c>
      <c r="H23" s="60" t="n">
        <f aca="false">3_Calc_From_Gross!BK25</f>
        <v>13709</v>
      </c>
      <c r="I23" s="60" t="n">
        <f aca="false">3_Calc_From_Gross!BZ25</f>
        <v>8703.8</v>
      </c>
      <c r="J23" s="60" t="n">
        <f aca="false">3_Calc_From_Gross!CO25</f>
        <v>10670</v>
      </c>
      <c r="K23" s="60" t="n">
        <f aca="false">3_Calc_From_Gross!DD25</f>
        <v>5712.848</v>
      </c>
      <c r="L23" s="60" t="n">
        <f aca="false">3_Calc_From_Gross!DS25</f>
        <v>6909.0125</v>
      </c>
      <c r="M23" s="60" t="n">
        <f aca="false">3_Calc_From_Gross!EH25</f>
        <v>3935.6</v>
      </c>
    </row>
    <row r="24" customFormat="false" ht="15" hidden="false" customHeight="false" outlineLevel="0" collapsed="false">
      <c r="A24" s="37" t="n">
        <v>21</v>
      </c>
      <c r="B24" s="32" t="s">
        <v>259</v>
      </c>
      <c r="C24" s="32" t="s">
        <v>261</v>
      </c>
      <c r="D24" s="62" t="s">
        <v>248</v>
      </c>
      <c r="E24" s="63" t="n">
        <f aca="false">3_Calc_From_Gross!H26</f>
        <v>1535</v>
      </c>
      <c r="F24" s="57" t="n">
        <f aca="false">3_Calc_From_Gross!AG26</f>
        <v>4797.566</v>
      </c>
      <c r="G24" s="57" t="n">
        <f aca="false">3_Calc_From_Gross!AV26</f>
        <v>5977.45</v>
      </c>
      <c r="H24" s="57" t="n">
        <f aca="false">3_Calc_From_Gross!BK26</f>
        <v>12710</v>
      </c>
      <c r="I24" s="57" t="n">
        <f aca="false">3_Calc_From_Gross!BZ26</f>
        <v>7222.76</v>
      </c>
      <c r="J24" s="57" t="n">
        <f aca="false">3_Calc_From_Gross!CO26</f>
        <v>7731.2</v>
      </c>
      <c r="K24" s="57" t="n">
        <f aca="false">3_Calc_From_Gross!DD26</f>
        <v>4354.778</v>
      </c>
      <c r="L24" s="57" t="n">
        <f aca="false">3_Calc_From_Gross!DS26</f>
        <v>5160.425</v>
      </c>
      <c r="M24" s="57" t="n">
        <f aca="false">3_Calc_From_Gross!EH26</f>
        <v>2885.4925</v>
      </c>
    </row>
    <row r="25" customFormat="false" ht="15" hidden="false" customHeight="false" outlineLevel="0" collapsed="false">
      <c r="A25" s="41" t="n">
        <v>22</v>
      </c>
      <c r="B25" s="28" t="s">
        <v>259</v>
      </c>
      <c r="C25" s="8" t="s">
        <v>261</v>
      </c>
      <c r="D25" s="65" t="s">
        <v>249</v>
      </c>
      <c r="E25" s="63" t="n">
        <f aca="false">3_Calc_From_Gross!H27</f>
        <v>4785</v>
      </c>
      <c r="F25" s="60" t="n">
        <f aca="false">3_Calc_From_Gross!AG27</f>
        <v>7560.287</v>
      </c>
      <c r="G25" s="60" t="n">
        <f aca="false">3_Calc_From_Gross!AV27</f>
        <v>9018.05</v>
      </c>
      <c r="H25" s="60" t="n">
        <f aca="false">3_Calc_From_Gross!BK27</f>
        <v>15596</v>
      </c>
      <c r="I25" s="60" t="n">
        <f aca="false">3_Calc_From_Gross!BZ27</f>
        <v>9729.88</v>
      </c>
      <c r="J25" s="60" t="n">
        <f aca="false">3_Calc_From_Gross!CO27</f>
        <v>11235.2</v>
      </c>
      <c r="K25" s="60" t="n">
        <f aca="false">3_Calc_From_Gross!DD27</f>
        <v>6606.632</v>
      </c>
      <c r="L25" s="60" t="n">
        <f aca="false">3_Calc_From_Gross!DS27</f>
        <v>7491.875</v>
      </c>
      <c r="M25" s="60" t="n">
        <f aca="false">3_Calc_From_Gross!EH27</f>
        <v>4316.9925</v>
      </c>
    </row>
    <row r="26" customFormat="false" ht="15" hidden="false" customHeight="false" outlineLevel="0" collapsed="false">
      <c r="A26" s="37" t="n">
        <v>23</v>
      </c>
      <c r="B26" s="32" t="s">
        <v>259</v>
      </c>
      <c r="C26" s="32" t="s">
        <v>262</v>
      </c>
      <c r="D26" s="62" t="s">
        <v>248</v>
      </c>
      <c r="E26" s="63" t="n">
        <f aca="false">3_Calc_From_Gross!H28</f>
        <v>1535</v>
      </c>
      <c r="F26" s="57" t="n">
        <f aca="false">3_Calc_From_Gross!AG28</f>
        <v>4797.566</v>
      </c>
      <c r="G26" s="57" t="n">
        <f aca="false">3_Calc_From_Gross!AV28</f>
        <v>5977.45</v>
      </c>
      <c r="H26" s="57" t="n">
        <f aca="false">3_Calc_From_Gross!BK28</f>
        <v>12710</v>
      </c>
      <c r="I26" s="57" t="n">
        <f aca="false">3_Calc_From_Gross!BZ28</f>
        <v>7222.76</v>
      </c>
      <c r="J26" s="57" t="n">
        <f aca="false">3_Calc_From_Gross!CO28</f>
        <v>7731.2</v>
      </c>
      <c r="K26" s="57" t="n">
        <f aca="false">3_Calc_From_Gross!DD28</f>
        <v>4354.778</v>
      </c>
      <c r="L26" s="57" t="n">
        <f aca="false">3_Calc_From_Gross!DS28</f>
        <v>5160.425</v>
      </c>
      <c r="M26" s="57" t="n">
        <f aca="false">3_Calc_From_Gross!EH28</f>
        <v>2885.4925</v>
      </c>
    </row>
    <row r="27" customFormat="false" ht="15" hidden="false" customHeight="false" outlineLevel="0" collapsed="false">
      <c r="A27" s="41" t="n">
        <v>24</v>
      </c>
      <c r="B27" s="28" t="s">
        <v>259</v>
      </c>
      <c r="C27" s="8" t="s">
        <v>262</v>
      </c>
      <c r="D27" s="65" t="s">
        <v>249</v>
      </c>
      <c r="E27" s="63" t="n">
        <f aca="false">3_Calc_From_Gross!H29</f>
        <v>4785</v>
      </c>
      <c r="F27" s="60" t="n">
        <f aca="false">3_Calc_From_Gross!AG29</f>
        <v>7560.287</v>
      </c>
      <c r="G27" s="60" t="n">
        <f aca="false">3_Calc_From_Gross!AV29</f>
        <v>9018.05</v>
      </c>
      <c r="H27" s="60" t="n">
        <f aca="false">3_Calc_From_Gross!BK29</f>
        <v>15596</v>
      </c>
      <c r="I27" s="60" t="n">
        <f aca="false">3_Calc_From_Gross!BZ29</f>
        <v>9729.88</v>
      </c>
      <c r="J27" s="60" t="n">
        <f aca="false">3_Calc_From_Gross!CO29</f>
        <v>11235.2</v>
      </c>
      <c r="K27" s="60" t="n">
        <f aca="false">3_Calc_From_Gross!DD29</f>
        <v>6606.632</v>
      </c>
      <c r="L27" s="60" t="n">
        <f aca="false">3_Calc_From_Gross!DS29</f>
        <v>7491.875</v>
      </c>
      <c r="M27" s="60" t="n">
        <f aca="false">3_Calc_From_Gross!EH29</f>
        <v>4316.9925</v>
      </c>
    </row>
    <row r="28" customFormat="false" ht="15" hidden="false" customHeight="false" outlineLevel="0" collapsed="false">
      <c r="A28" s="37" t="n">
        <v>25</v>
      </c>
      <c r="B28" s="32" t="s">
        <v>259</v>
      </c>
      <c r="C28" s="32" t="s">
        <v>263</v>
      </c>
      <c r="D28" s="62" t="s">
        <v>248</v>
      </c>
      <c r="E28" s="63" t="n">
        <f aca="false">3_Calc_From_Gross!H30</f>
        <v>1266</v>
      </c>
      <c r="F28" s="57" t="n">
        <f aca="false">3_Calc_From_Gross!AG30</f>
        <v>4337.7144</v>
      </c>
      <c r="G28" s="57" t="n">
        <f aca="false">3_Calc_From_Gross!AV30</f>
        <v>5367.95</v>
      </c>
      <c r="H28" s="57" t="n">
        <f aca="false">3_Calc_From_Gross!BK30</f>
        <v>11045</v>
      </c>
      <c r="I28" s="57" t="n">
        <f aca="false">3_Calc_From_Gross!BZ30</f>
        <v>6311.63</v>
      </c>
      <c r="J28" s="57" t="n">
        <f aca="false">3_Calc_From_Gross!CO30</f>
        <v>7280</v>
      </c>
      <c r="K28" s="57" t="n">
        <f aca="false">3_Calc_From_Gross!DD30</f>
        <v>3926.618</v>
      </c>
      <c r="L28" s="57" t="n">
        <f aca="false">3_Calc_From_Gross!DS30</f>
        <v>4695.125</v>
      </c>
      <c r="M28" s="57" t="n">
        <f aca="false">3_Calc_From_Gross!EH30</f>
        <v>2629.8675</v>
      </c>
    </row>
    <row r="29" customFormat="false" ht="15" hidden="false" customHeight="false" outlineLevel="0" collapsed="false">
      <c r="A29" s="41" t="n">
        <v>26</v>
      </c>
      <c r="B29" s="28" t="s">
        <v>259</v>
      </c>
      <c r="C29" s="8" t="s">
        <v>263</v>
      </c>
      <c r="D29" s="65" t="s">
        <v>249</v>
      </c>
      <c r="E29" s="63" t="n">
        <f aca="false">3_Calc_From_Gross!H31</f>
        <v>4035</v>
      </c>
      <c r="F29" s="60" t="n">
        <f aca="false">3_Calc_From_Gross!AG31</f>
        <v>6639.38</v>
      </c>
      <c r="G29" s="60" t="n">
        <f aca="false">3_Calc_From_Gross!AV31</f>
        <v>7802.5</v>
      </c>
      <c r="H29" s="60" t="n">
        <f aca="false">3_Calc_From_Gross!BK31</f>
        <v>13709</v>
      </c>
      <c r="I29" s="60" t="n">
        <f aca="false">3_Calc_From_Gross!BZ31</f>
        <v>8703.8</v>
      </c>
      <c r="J29" s="60" t="n">
        <f aca="false">3_Calc_From_Gross!CO31</f>
        <v>10670</v>
      </c>
      <c r="K29" s="60" t="n">
        <f aca="false">3_Calc_From_Gross!DD31</f>
        <v>5712.848</v>
      </c>
      <c r="L29" s="60" t="n">
        <f aca="false">3_Calc_From_Gross!DS31</f>
        <v>6909.0125</v>
      </c>
      <c r="M29" s="60" t="n">
        <f aca="false">3_Calc_From_Gross!EH31</f>
        <v>3935.6</v>
      </c>
    </row>
    <row r="30" customFormat="false" ht="15" hidden="false" customHeight="false" outlineLevel="0" collapsed="false">
      <c r="A30" s="37" t="n">
        <v>27</v>
      </c>
      <c r="B30" s="32" t="s">
        <v>264</v>
      </c>
      <c r="C30" s="32" t="s">
        <v>265</v>
      </c>
      <c r="D30" s="62" t="s">
        <v>248</v>
      </c>
      <c r="E30" s="63" t="n">
        <f aca="false">3_Calc_From_Gross!H32</f>
        <v>1385</v>
      </c>
      <c r="F30" s="57" t="n">
        <f aca="false">3_Calc_From_Gross!AG32</f>
        <v>4030.7454</v>
      </c>
      <c r="G30" s="57" t="n">
        <f aca="false">3_Calc_From_Gross!AV32</f>
        <v>5367.95</v>
      </c>
      <c r="H30" s="57" t="n">
        <f aca="false">3_Calc_From_Gross!BK32</f>
        <v>10490</v>
      </c>
      <c r="I30" s="57" t="n">
        <f aca="false">3_Calc_From_Gross!BZ32</f>
        <v>5969.2</v>
      </c>
      <c r="J30" s="57" t="n">
        <f aca="false">3_Calc_From_Gross!CO32</f>
        <v>6714.8</v>
      </c>
      <c r="K30" s="57" t="n">
        <f aca="false">3_Calc_From_Gross!DD32</f>
        <v>3641.624</v>
      </c>
      <c r="L30" s="57" t="n">
        <f aca="false">3_Calc_From_Gross!DS32</f>
        <v>4578.8</v>
      </c>
      <c r="M30" s="57" t="n">
        <f aca="false">3_Calc_From_Gross!EH32</f>
        <v>2460.1325</v>
      </c>
    </row>
    <row r="31" customFormat="false" ht="15" hidden="false" customHeight="false" outlineLevel="0" collapsed="false">
      <c r="A31" s="41" t="n">
        <v>28</v>
      </c>
      <c r="B31" s="28" t="s">
        <v>264</v>
      </c>
      <c r="C31" s="8" t="s">
        <v>265</v>
      </c>
      <c r="D31" s="65" t="s">
        <v>249</v>
      </c>
      <c r="E31" s="63" t="n">
        <f aca="false">3_Calc_From_Gross!H33</f>
        <v>3285</v>
      </c>
      <c r="F31" s="60" t="n">
        <f aca="false">3_Calc_From_Gross!AG33</f>
        <v>6025.442</v>
      </c>
      <c r="G31" s="60" t="n">
        <f aca="false">3_Calc_From_Gross!AV33</f>
        <v>8106.1</v>
      </c>
      <c r="H31" s="60" t="n">
        <f aca="false">3_Calc_From_Gross!BK33</f>
        <v>12765.5</v>
      </c>
      <c r="I31" s="60" t="n">
        <f aca="false">3_Calc_From_Gross!BZ33</f>
        <v>8362.58</v>
      </c>
      <c r="J31" s="60" t="n">
        <f aca="false">3_Calc_From_Gross!CO33</f>
        <v>9314</v>
      </c>
      <c r="K31" s="60" t="n">
        <f aca="false">3_Calc_From_Gross!DD33</f>
        <v>5340.884</v>
      </c>
      <c r="L31" s="60" t="n">
        <f aca="false">3_Calc_From_Gross!DS33</f>
        <v>6558.8</v>
      </c>
      <c r="M31" s="60" t="n">
        <f aca="false">3_Calc_From_Gross!EH33</f>
        <v>3840.5075</v>
      </c>
    </row>
    <row r="32" customFormat="false" ht="15" hidden="false" customHeight="false" outlineLevel="0" collapsed="false">
      <c r="A32" s="37" t="n">
        <v>29</v>
      </c>
      <c r="B32" s="32" t="s">
        <v>266</v>
      </c>
      <c r="C32" s="32" t="s">
        <v>267</v>
      </c>
      <c r="D32" s="62" t="s">
        <v>248</v>
      </c>
      <c r="E32" s="63" t="n">
        <f aca="false">3_Calc_From_Gross!H34</f>
        <v>1885</v>
      </c>
      <c r="F32" s="57" t="n">
        <f aca="false">3_Calc_From_Gross!AG34</f>
        <v>5718.473</v>
      </c>
      <c r="G32" s="57" t="n">
        <f aca="false">3_Calc_From_Gross!AV34</f>
        <v>7802.5</v>
      </c>
      <c r="H32" s="57" t="n">
        <f aca="false">3_Calc_From_Gross!BK34</f>
        <v>16128.8</v>
      </c>
      <c r="I32" s="57" t="n">
        <f aca="false">3_Calc_From_Gross!BZ34</f>
        <v>8590.06</v>
      </c>
      <c r="J32" s="57" t="n">
        <f aca="false">3_Calc_From_Gross!CO34</f>
        <v>9087.2</v>
      </c>
      <c r="K32" s="57" t="n">
        <f aca="false">3_Calc_From_Gross!DD34</f>
        <v>4784.276</v>
      </c>
      <c r="L32" s="57" t="n">
        <f aca="false">3_Calc_From_Gross!DS34</f>
        <v>6093.5</v>
      </c>
      <c r="M32" s="57" t="n">
        <f aca="false">3_Calc_From_Gross!EH34</f>
        <v>3311.875</v>
      </c>
    </row>
    <row r="33" customFormat="false" ht="15" hidden="false" customHeight="false" outlineLevel="0" collapsed="false">
      <c r="A33" s="41" t="n">
        <v>30</v>
      </c>
      <c r="B33" s="28" t="s">
        <v>266</v>
      </c>
      <c r="C33" s="8" t="s">
        <v>267</v>
      </c>
      <c r="D33" s="65" t="s">
        <v>249</v>
      </c>
      <c r="E33" s="63" t="n">
        <f aca="false">3_Calc_From_Gross!H35</f>
        <v>4810</v>
      </c>
      <c r="F33" s="60" t="n">
        <f aca="false">3_Calc_From_Gross!AG35</f>
        <v>8788.163</v>
      </c>
      <c r="G33" s="60" t="n">
        <f aca="false">3_Calc_From_Gross!AV35</f>
        <v>11453.75</v>
      </c>
      <c r="H33" s="60" t="n">
        <f aca="false">3_Calc_From_Gross!BK35</f>
        <v>17954.75</v>
      </c>
      <c r="I33" s="60" t="n">
        <f aca="false">3_Calc_From_Gross!BZ35</f>
        <v>12122.05</v>
      </c>
      <c r="J33" s="60" t="n">
        <f aca="false">3_Calc_From_Gross!CO35</f>
        <v>12930.8</v>
      </c>
      <c r="K33" s="60" t="n">
        <f aca="false">3_Calc_From_Gross!DD35</f>
        <v>7351.898</v>
      </c>
      <c r="L33" s="60" t="n">
        <f aca="false">3_Calc_From_Gross!DS35</f>
        <v>8890.25</v>
      </c>
      <c r="M33" s="60" t="n">
        <f aca="false">3_Calc_From_Gross!EH35</f>
        <v>5080.8</v>
      </c>
    </row>
    <row r="34" customFormat="false" ht="15" hidden="false" customHeight="false" outlineLevel="0" collapsed="false">
      <c r="A34" s="37" t="n">
        <v>31</v>
      </c>
      <c r="B34" s="32" t="s">
        <v>268</v>
      </c>
      <c r="C34" s="32" t="s">
        <v>269</v>
      </c>
      <c r="D34" s="62" t="s">
        <v>248</v>
      </c>
      <c r="E34" s="63" t="n">
        <f aca="false">3_Calc_From_Gross!H36</f>
        <v>1435</v>
      </c>
      <c r="F34" s="57" t="n">
        <f aca="false">3_Calc_From_Gross!AG36</f>
        <v>4797.566</v>
      </c>
      <c r="G34" s="57" t="n">
        <f aca="false">3_Calc_From_Gross!AV36</f>
        <v>5977.45</v>
      </c>
      <c r="H34" s="57" t="n">
        <f aca="false">3_Calc_From_Gross!BK36</f>
        <v>12710</v>
      </c>
      <c r="I34" s="57" t="n">
        <f aca="false">3_Calc_From_Gross!BZ36</f>
        <v>6881.54</v>
      </c>
      <c r="J34" s="57" t="n">
        <f aca="false">3_Calc_From_Gross!CO36</f>
        <v>7845.2</v>
      </c>
      <c r="K34" s="57" t="n">
        <f aca="false">3_Calc_From_Gross!DD36</f>
        <v>4069.784</v>
      </c>
      <c r="L34" s="57" t="n">
        <f aca="false">3_Calc_From_Gross!DS36</f>
        <v>4929.0125</v>
      </c>
      <c r="M34" s="57" t="n">
        <f aca="false">3_Calc_From_Gross!EH36</f>
        <v>2715.7575</v>
      </c>
    </row>
    <row r="35" customFormat="false" ht="15" hidden="false" customHeight="false" outlineLevel="0" collapsed="false">
      <c r="A35" s="41" t="n">
        <v>32</v>
      </c>
      <c r="B35" s="28" t="s">
        <v>268</v>
      </c>
      <c r="C35" s="8" t="s">
        <v>269</v>
      </c>
      <c r="D35" s="65" t="s">
        <v>249</v>
      </c>
      <c r="E35" s="63" t="n">
        <f aca="false">3_Calc_From_Gross!H37</f>
        <v>3235</v>
      </c>
      <c r="F35" s="60" t="n">
        <f aca="false">3_Calc_From_Gross!AG37</f>
        <v>6639.38</v>
      </c>
      <c r="G35" s="60" t="n">
        <f aca="false">3_Calc_From_Gross!AV37</f>
        <v>8410.85</v>
      </c>
      <c r="H35" s="60" t="n">
        <f aca="false">3_Calc_From_Gross!BK37</f>
        <v>14652.5</v>
      </c>
      <c r="I35" s="60" t="n">
        <f aca="false">3_Calc_From_Gross!BZ37</f>
        <v>9387.45</v>
      </c>
      <c r="J35" s="60" t="n">
        <f aca="false">3_Calc_From_Gross!CO37</f>
        <v>10670</v>
      </c>
      <c r="K35" s="60" t="n">
        <f aca="false">3_Calc_From_Gross!DD37</f>
        <v>6011.222</v>
      </c>
      <c r="L35" s="60" t="n">
        <f aca="false">3_Calc_From_Gross!DS37</f>
        <v>7257.9875</v>
      </c>
      <c r="M35" s="60" t="n">
        <f aca="false">3_Calc_From_Gross!EH37</f>
        <v>4126.8075</v>
      </c>
    </row>
    <row r="36" customFormat="false" ht="15" hidden="false" customHeight="false" outlineLevel="0" collapsed="false">
      <c r="A36" s="37" t="n">
        <v>33</v>
      </c>
      <c r="B36" s="32" t="s">
        <v>270</v>
      </c>
      <c r="C36" s="32" t="s">
        <v>271</v>
      </c>
      <c r="D36" s="62" t="s">
        <v>248</v>
      </c>
      <c r="E36" s="63" t="n">
        <f aca="false">3_Calc_From_Gross!H38</f>
        <v>1185</v>
      </c>
      <c r="F36" s="57" t="n">
        <f aca="false">3_Calc_From_Gross!AG38</f>
        <v>4183.628</v>
      </c>
      <c r="G36" s="57" t="n">
        <f aca="false">3_Calc_From_Gross!AV38</f>
        <v>5367.95</v>
      </c>
      <c r="H36" s="57" t="n">
        <f aca="false">3_Calc_From_Gross!BK38</f>
        <v>11600</v>
      </c>
      <c r="I36" s="57" t="n">
        <f aca="false">3_Calc_From_Gross!BZ38</f>
        <v>6197.89</v>
      </c>
      <c r="J36" s="57" t="n">
        <f aca="false">3_Calc_From_Gross!CO38</f>
        <v>7167.2</v>
      </c>
      <c r="K36" s="57" t="n">
        <f aca="false">3_Calc_From_Gross!DD38</f>
        <v>3498.458</v>
      </c>
      <c r="L36" s="57" t="n">
        <f aca="false">3_Calc_From_Gross!DS38</f>
        <v>4578.8</v>
      </c>
      <c r="M36" s="57" t="n">
        <f aca="false">3_Calc_From_Gross!EH38</f>
        <v>2374.2425</v>
      </c>
    </row>
    <row r="37" customFormat="false" ht="15" hidden="false" customHeight="false" outlineLevel="0" collapsed="false">
      <c r="A37" s="41" t="n">
        <v>34</v>
      </c>
      <c r="B37" s="28" t="s">
        <v>270</v>
      </c>
      <c r="C37" s="8" t="s">
        <v>271</v>
      </c>
      <c r="D37" s="65" t="s">
        <v>249</v>
      </c>
      <c r="E37" s="63" t="n">
        <f aca="false">3_Calc_From_Gross!H39</f>
        <v>2785</v>
      </c>
      <c r="F37" s="60" t="n">
        <f aca="false">3_Calc_From_Gross!AG39</f>
        <v>6025.442</v>
      </c>
      <c r="G37" s="60" t="n">
        <f aca="false">3_Calc_From_Gross!AV39</f>
        <v>7193</v>
      </c>
      <c r="H37" s="60" t="n">
        <f aca="false">3_Calc_From_Gross!BK39</f>
        <v>13237.25</v>
      </c>
      <c r="I37" s="60" t="n">
        <f aca="false">3_Calc_From_Gross!BZ39</f>
        <v>8475.11</v>
      </c>
      <c r="J37" s="60" t="n">
        <f aca="false">3_Calc_From_Gross!CO39</f>
        <v>9879.2</v>
      </c>
      <c r="K37" s="60" t="n">
        <f aca="false">3_Calc_From_Gross!DD39</f>
        <v>4968.92</v>
      </c>
      <c r="L37" s="60" t="n">
        <f aca="false">3_Calc_From_Gross!DS39</f>
        <v>6327.3875</v>
      </c>
      <c r="M37" s="60" t="n">
        <f aca="false">3_Calc_From_Gross!EH39</f>
        <v>3649.3</v>
      </c>
    </row>
    <row r="38" customFormat="false" ht="15" hidden="false" customHeight="false" outlineLevel="0" collapsed="false">
      <c r="A38" s="37" t="n">
        <v>35</v>
      </c>
      <c r="B38" s="32" t="s">
        <v>272</v>
      </c>
      <c r="C38" s="32" t="s">
        <v>273</v>
      </c>
      <c r="D38" s="62" t="s">
        <v>248</v>
      </c>
      <c r="E38" s="63" t="n">
        <f aca="false">3_Calc_From_Gross!H40</f>
        <v>1535</v>
      </c>
      <c r="F38" s="57" t="n">
        <f aca="false">3_Calc_From_Gross!AG40</f>
        <v>4951.6524</v>
      </c>
      <c r="G38" s="57" t="n">
        <f aca="false">3_Calc_From_Gross!AV40</f>
        <v>6585.8</v>
      </c>
      <c r="H38" s="57" t="n">
        <f aca="false">3_Calc_From_Gross!BK40</f>
        <v>15485</v>
      </c>
      <c r="I38" s="57" t="n">
        <f aca="false">3_Calc_From_Gross!BZ40</f>
        <v>7336.5</v>
      </c>
      <c r="J38" s="57" t="n">
        <f aca="false">3_Calc_From_Gross!CO40</f>
        <v>8409.2</v>
      </c>
      <c r="K38" s="57" t="n">
        <f aca="false">3_Calc_From_Gross!DD40</f>
        <v>4497.944</v>
      </c>
      <c r="L38" s="57" t="n">
        <f aca="false">3_Calc_From_Gross!DS40</f>
        <v>5394.3125</v>
      </c>
      <c r="M38" s="57" t="n">
        <f aca="false">3_Calc_From_Gross!EH40</f>
        <v>3056.25</v>
      </c>
    </row>
    <row r="39" customFormat="false" ht="15" hidden="false" customHeight="false" outlineLevel="0" collapsed="false">
      <c r="A39" s="41" t="n">
        <v>36</v>
      </c>
      <c r="B39" s="28" t="s">
        <v>272</v>
      </c>
      <c r="C39" s="8" t="s">
        <v>273</v>
      </c>
      <c r="D39" s="65" t="s">
        <v>249</v>
      </c>
      <c r="E39" s="63" t="n">
        <f aca="false">3_Calc_From_Gross!H41</f>
        <v>4285</v>
      </c>
      <c r="F39" s="60" t="n">
        <f aca="false">3_Calc_From_Gross!AG41</f>
        <v>7867.256</v>
      </c>
      <c r="G39" s="60" t="n">
        <f aca="false">3_Calc_From_Gross!AV41</f>
        <v>9628.7</v>
      </c>
      <c r="H39" s="60" t="n">
        <f aca="false">3_Calc_From_Gross!BK41</f>
        <v>16539.5</v>
      </c>
      <c r="I39" s="60" t="n">
        <f aca="false">3_Calc_From_Gross!BZ41</f>
        <v>10413.53</v>
      </c>
      <c r="J39" s="60" t="n">
        <f aca="false">3_Calc_From_Gross!CO41</f>
        <v>11800.4</v>
      </c>
      <c r="K39" s="60" t="n">
        <f aca="false">3_Calc_From_Gross!DD41</f>
        <v>6830.078</v>
      </c>
      <c r="L39" s="60" t="n">
        <f aca="false">3_Calc_From_Gross!DS41</f>
        <v>8191.0625</v>
      </c>
      <c r="M39" s="60" t="n">
        <f aca="false">3_Calc_From_Gross!EH41</f>
        <v>4794.5</v>
      </c>
    </row>
    <row r="40" customFormat="false" ht="15" hidden="false" customHeight="false" outlineLevel="0" collapsed="false">
      <c r="A40" s="37" t="n">
        <v>37</v>
      </c>
      <c r="B40" s="32" t="s">
        <v>272</v>
      </c>
      <c r="C40" s="32" t="s">
        <v>274</v>
      </c>
      <c r="D40" s="62" t="s">
        <v>248</v>
      </c>
      <c r="E40" s="63" t="n">
        <f aca="false">3_Calc_From_Gross!H42</f>
        <v>1285</v>
      </c>
      <c r="F40" s="57" t="n">
        <f aca="false">3_Calc_From_Gross!AG42</f>
        <v>4644.6834</v>
      </c>
      <c r="G40" s="57" t="n">
        <f aca="false">3_Calc_From_Gross!AV42</f>
        <v>5977.45</v>
      </c>
      <c r="H40" s="57" t="n">
        <f aca="false">3_Calc_From_Gross!BK42</f>
        <v>12710</v>
      </c>
      <c r="I40" s="57" t="n">
        <f aca="false">3_Calc_From_Gross!BZ42</f>
        <v>6766.59</v>
      </c>
      <c r="J40" s="57" t="n">
        <f aca="false">3_Calc_From_Gross!CO42</f>
        <v>7845.2</v>
      </c>
      <c r="K40" s="57" t="n">
        <f aca="false">3_Calc_From_Gross!DD42</f>
        <v>4069.784</v>
      </c>
      <c r="L40" s="57" t="n">
        <f aca="false">3_Calc_From_Gross!DS42</f>
        <v>4929.0125</v>
      </c>
      <c r="M40" s="57" t="n">
        <f aca="false">3_Calc_From_Gross!EH42</f>
        <v>2885.4925</v>
      </c>
    </row>
    <row r="41" customFormat="false" ht="15" hidden="false" customHeight="false" outlineLevel="0" collapsed="false">
      <c r="A41" s="41" t="n">
        <v>38</v>
      </c>
      <c r="B41" s="28" t="s">
        <v>272</v>
      </c>
      <c r="C41" s="8" t="s">
        <v>274</v>
      </c>
      <c r="D41" s="65" t="s">
        <v>249</v>
      </c>
      <c r="E41" s="63" t="n">
        <f aca="false">3_Calc_From_Gross!H43</f>
        <v>4035</v>
      </c>
      <c r="F41" s="60" t="n">
        <f aca="false">3_Calc_From_Gross!AG43</f>
        <v>6946.349</v>
      </c>
      <c r="G41" s="60" t="n">
        <f aca="false">3_Calc_From_Gross!AV43</f>
        <v>8410.85</v>
      </c>
      <c r="H41" s="60" t="n">
        <f aca="false">3_Calc_From_Gross!BK43</f>
        <v>14652.5</v>
      </c>
      <c r="I41" s="60" t="n">
        <f aca="false">3_Calc_From_Gross!BZ43</f>
        <v>9387.45</v>
      </c>
      <c r="J41" s="60" t="n">
        <f aca="false">3_Calc_From_Gross!CO43</f>
        <v>10670</v>
      </c>
      <c r="K41" s="60" t="n">
        <f aca="false">3_Calc_From_Gross!DD43</f>
        <v>6159.74</v>
      </c>
      <c r="L41" s="60" t="n">
        <f aca="false">3_Calc_From_Gross!DS43</f>
        <v>7491.875</v>
      </c>
      <c r="M41" s="60" t="n">
        <f aca="false">3_Calc_From_Gross!EH43</f>
        <v>4316.9925</v>
      </c>
    </row>
    <row r="42" customFormat="false" ht="15" hidden="false" customHeight="false" outlineLevel="0" collapsed="false">
      <c r="A42" s="37" t="n">
        <v>39</v>
      </c>
      <c r="B42" s="32" t="s">
        <v>272</v>
      </c>
      <c r="C42" s="32" t="s">
        <v>275</v>
      </c>
      <c r="D42" s="62" t="s">
        <v>248</v>
      </c>
      <c r="E42" s="63" t="n">
        <f aca="false">3_Calc_From_Gross!H44</f>
        <v>1285</v>
      </c>
      <c r="F42" s="57" t="n">
        <f aca="false">3_Calc_From_Gross!AG44</f>
        <v>4490.597</v>
      </c>
      <c r="G42" s="57" t="n">
        <f aca="false">3_Calc_From_Gross!AV44</f>
        <v>5977.45</v>
      </c>
      <c r="H42" s="57" t="n">
        <f aca="false">3_Calc_From_Gross!BK44</f>
        <v>13820</v>
      </c>
      <c r="I42" s="57" t="n">
        <f aca="false">3_Calc_From_Gross!BZ44</f>
        <v>6652.85</v>
      </c>
      <c r="J42" s="57" t="n">
        <f aca="false">3_Calc_From_Gross!CO44</f>
        <v>7280</v>
      </c>
      <c r="K42" s="57" t="n">
        <f aca="false">3_Calc_From_Gross!DD44</f>
        <v>3926.618</v>
      </c>
      <c r="L42" s="57" t="n">
        <f aca="false">3_Calc_From_Gross!DS44</f>
        <v>4695.125</v>
      </c>
      <c r="M42" s="57" t="n">
        <f aca="false">3_Calc_From_Gross!EH44</f>
        <v>2715.7575</v>
      </c>
    </row>
    <row r="43" customFormat="false" ht="15" hidden="false" customHeight="false" outlineLevel="0" collapsed="false">
      <c r="A43" s="41" t="n">
        <v>40</v>
      </c>
      <c r="B43" s="28" t="s">
        <v>272</v>
      </c>
      <c r="C43" s="8" t="s">
        <v>275</v>
      </c>
      <c r="D43" s="65" t="s">
        <v>249</v>
      </c>
      <c r="E43" s="63" t="n">
        <f aca="false">3_Calc_From_Gross!H45</f>
        <v>4285</v>
      </c>
      <c r="F43" s="60" t="n">
        <f aca="false">3_Calc_From_Gross!AG45</f>
        <v>7253.318</v>
      </c>
      <c r="G43" s="60" t="n">
        <f aca="false">3_Calc_From_Gross!AV45</f>
        <v>8410.85</v>
      </c>
      <c r="H43" s="60" t="n">
        <f aca="false">3_Calc_From_Gross!BK45</f>
        <v>15596</v>
      </c>
      <c r="I43" s="60" t="n">
        <f aca="false">3_Calc_From_Gross!BZ45</f>
        <v>9729.88</v>
      </c>
      <c r="J43" s="60" t="n">
        <f aca="false">3_Calc_From_Gross!CO45</f>
        <v>10670</v>
      </c>
      <c r="K43" s="60" t="n">
        <f aca="false">3_Calc_From_Gross!DD45</f>
        <v>6308.258</v>
      </c>
      <c r="L43" s="60" t="n">
        <f aca="false">3_Calc_From_Gross!DS45</f>
        <v>7491.875</v>
      </c>
      <c r="M43" s="60" t="n">
        <f aca="false">3_Calc_From_Gross!EH45</f>
        <v>4126.8075</v>
      </c>
    </row>
    <row r="44" customFormat="false" ht="15" hidden="false" customHeight="false" outlineLevel="0" collapsed="false">
      <c r="A44" s="37" t="n">
        <v>41</v>
      </c>
      <c r="B44" s="32" t="s">
        <v>276</v>
      </c>
      <c r="C44" s="32" t="s">
        <v>277</v>
      </c>
      <c r="D44" s="62" t="s">
        <v>248</v>
      </c>
      <c r="E44" s="63" t="n">
        <f aca="false">3_Calc_From_Gross!H46</f>
        <v>2035</v>
      </c>
      <c r="F44" s="57" t="n">
        <f aca="false">3_Calc_From_Gross!AG46</f>
        <v>5718.473</v>
      </c>
      <c r="G44" s="57" t="n">
        <f aca="false">3_Calc_From_Gross!AV46</f>
        <v>7802.5</v>
      </c>
      <c r="H44" s="57" t="n">
        <f aca="false">3_Calc_From_Gross!BK46</f>
        <v>18260</v>
      </c>
      <c r="I44" s="57" t="n">
        <f aca="false">3_Calc_From_Gross!BZ46</f>
        <v>8475.11</v>
      </c>
      <c r="J44" s="57" t="n">
        <f aca="false">3_Calc_From_Gross!CO46</f>
        <v>9426.8</v>
      </c>
      <c r="K44" s="57" t="n">
        <f aca="false">3_Calc_From_Gross!DD46</f>
        <v>4926.104</v>
      </c>
      <c r="L44" s="57" t="n">
        <f aca="false">3_Calc_From_Gross!DS46</f>
        <v>6327.3875</v>
      </c>
      <c r="M44" s="57" t="n">
        <f aca="false">3_Calc_From_Gross!EH46</f>
        <v>3482.6325</v>
      </c>
    </row>
    <row r="45" customFormat="false" ht="15" hidden="false" customHeight="false" outlineLevel="0" collapsed="false">
      <c r="A45" s="41" t="n">
        <v>42</v>
      </c>
      <c r="B45" s="28" t="s">
        <v>276</v>
      </c>
      <c r="C45" s="8" t="s">
        <v>277</v>
      </c>
      <c r="D45" s="65" t="s">
        <v>249</v>
      </c>
      <c r="E45" s="63" t="n">
        <f aca="false">3_Calc_From_Gross!H47</f>
        <v>5535</v>
      </c>
      <c r="F45" s="60" t="n">
        <f aca="false">3_Calc_From_Gross!AG47</f>
        <v>8788.163</v>
      </c>
      <c r="G45" s="60" t="n">
        <f aca="false">3_Calc_From_Gross!AV47</f>
        <v>12060.95</v>
      </c>
      <c r="H45" s="60" t="n">
        <f aca="false">3_Calc_From_Gross!BK47</f>
        <v>22672.25</v>
      </c>
      <c r="I45" s="60" t="n">
        <f aca="false">3_Calc_From_Gross!BZ47</f>
        <v>12122.05</v>
      </c>
      <c r="J45" s="60" t="n">
        <f aca="false">3_Calc_From_Gross!CO47</f>
        <v>14060</v>
      </c>
      <c r="K45" s="60" t="n">
        <f aca="false">3_Calc_From_Gross!DD47</f>
        <v>7575.344</v>
      </c>
      <c r="L45" s="60" t="n">
        <f aca="false">3_Calc_From_Gross!DS47</f>
        <v>9589.4375</v>
      </c>
      <c r="M45" s="60" t="n">
        <f aca="false">3_Calc_From_Gross!EH47</f>
        <v>5462.1925</v>
      </c>
    </row>
    <row r="46" customFormat="false" ht="15" hidden="false" customHeight="false" outlineLevel="0" collapsed="false">
      <c r="A46" s="37" t="n">
        <v>43</v>
      </c>
      <c r="B46" s="32" t="s">
        <v>278</v>
      </c>
      <c r="C46" s="32" t="s">
        <v>279</v>
      </c>
      <c r="D46" s="62" t="s">
        <v>248</v>
      </c>
      <c r="E46" s="63" t="n">
        <f aca="false">3_Calc_From_Gross!H48</f>
        <v>1910</v>
      </c>
      <c r="F46" s="57" t="n">
        <f aca="false">3_Calc_From_Gross!AG48</f>
        <v>5411.504</v>
      </c>
      <c r="G46" s="57" t="n">
        <f aca="false">3_Calc_From_Gross!AV48</f>
        <v>6585.8</v>
      </c>
      <c r="H46" s="57" t="n">
        <f aca="false">3_Calc_From_Gross!BK48</f>
        <v>16040</v>
      </c>
      <c r="I46" s="57" t="n">
        <f aca="false">3_Calc_From_Gross!BZ48</f>
        <v>7906.41</v>
      </c>
      <c r="J46" s="57" t="n">
        <f aca="false">3_Calc_From_Gross!CO48</f>
        <v>8409.2</v>
      </c>
      <c r="K46" s="57" t="n">
        <f aca="false">3_Calc_From_Gross!DD48</f>
        <v>4784.276</v>
      </c>
      <c r="L46" s="57" t="n">
        <f aca="false">3_Calc_From_Gross!DS48</f>
        <v>5628.2</v>
      </c>
      <c r="M46" s="57" t="n">
        <f aca="false">3_Calc_From_Gross!EH48</f>
        <v>3311.875</v>
      </c>
    </row>
    <row r="47" customFormat="false" ht="15" hidden="false" customHeight="false" outlineLevel="0" collapsed="false">
      <c r="A47" s="41" t="n">
        <v>44</v>
      </c>
      <c r="B47" s="28" t="s">
        <v>278</v>
      </c>
      <c r="C47" s="8" t="s">
        <v>279</v>
      </c>
      <c r="D47" s="65" t="s">
        <v>249</v>
      </c>
      <c r="E47" s="63" t="n">
        <f aca="false">3_Calc_From_Gross!H49</f>
        <v>4635</v>
      </c>
      <c r="F47" s="60" t="n">
        <f aca="false">3_Calc_From_Gross!AG49</f>
        <v>8481.194</v>
      </c>
      <c r="G47" s="60" t="n">
        <f aca="false">3_Calc_From_Gross!AV49</f>
        <v>9628.7</v>
      </c>
      <c r="H47" s="60" t="n">
        <f aca="false">3_Calc_From_Gross!BK49</f>
        <v>18426.5</v>
      </c>
      <c r="I47" s="60" t="n">
        <f aca="false">3_Calc_From_Gross!BZ49</f>
        <v>10754.75</v>
      </c>
      <c r="J47" s="60" t="n">
        <f aca="false">3_Calc_From_Gross!CO49</f>
        <v>11913.2</v>
      </c>
      <c r="K47" s="60" t="n">
        <f aca="false">3_Calc_From_Gross!DD49</f>
        <v>7202.042</v>
      </c>
      <c r="L47" s="60" t="n">
        <f aca="false">3_Calc_From_Gross!DS49</f>
        <v>8424.95</v>
      </c>
      <c r="M47" s="60" t="n">
        <f aca="false">3_Calc_From_Gross!EH49</f>
        <v>5080.8</v>
      </c>
    </row>
    <row r="48" customFormat="false" ht="15" hidden="false" customHeight="false" outlineLevel="0" collapsed="false">
      <c r="A48" s="37" t="n">
        <v>45</v>
      </c>
      <c r="B48" s="32" t="s">
        <v>280</v>
      </c>
      <c r="C48" s="32" t="s">
        <v>281</v>
      </c>
      <c r="D48" s="62" t="s">
        <v>248</v>
      </c>
      <c r="E48" s="63" t="n">
        <f aca="false">3_Calc_From_Gross!H50</f>
        <v>1760</v>
      </c>
      <c r="F48" s="57" t="n">
        <f aca="false">3_Calc_From_Gross!AG50</f>
        <v>5104.535</v>
      </c>
      <c r="G48" s="57" t="n">
        <f aca="false">3_Calc_From_Gross!AV50</f>
        <v>7193</v>
      </c>
      <c r="H48" s="57" t="n">
        <f aca="false">3_Calc_From_Gross!BK50</f>
        <v>17150</v>
      </c>
      <c r="I48" s="57" t="n">
        <f aca="false">3_Calc_From_Gross!BZ50</f>
        <v>7450.24</v>
      </c>
      <c r="J48" s="57" t="n">
        <f aca="false">3_Calc_From_Gross!CO50</f>
        <v>8184.8</v>
      </c>
      <c r="K48" s="57" t="n">
        <f aca="false">3_Calc_From_Gross!DD50</f>
        <v>4641.11</v>
      </c>
      <c r="L48" s="57" t="n">
        <f aca="false">3_Calc_From_Gross!DS50</f>
        <v>5394.3125</v>
      </c>
      <c r="M48" s="57" t="n">
        <f aca="false">3_Calc_From_Gross!EH50</f>
        <v>3141.1175</v>
      </c>
    </row>
    <row r="49" customFormat="false" ht="15" hidden="false" customHeight="false" outlineLevel="0" collapsed="false">
      <c r="A49" s="41" t="n">
        <v>46</v>
      </c>
      <c r="B49" s="28" t="s">
        <v>280</v>
      </c>
      <c r="C49" s="8" t="s">
        <v>281</v>
      </c>
      <c r="D49" s="65" t="s">
        <v>249</v>
      </c>
      <c r="E49" s="63" t="n">
        <f aca="false">3_Calc_From_Gross!H51</f>
        <v>4285</v>
      </c>
      <c r="F49" s="60" t="n">
        <f aca="false">3_Calc_From_Gross!AG51</f>
        <v>8174.225</v>
      </c>
      <c r="G49" s="60" t="n">
        <f aca="false">3_Calc_From_Gross!AV51</f>
        <v>10237.05</v>
      </c>
      <c r="H49" s="60" t="n">
        <f aca="false">3_Calc_From_Gross!BK51</f>
        <v>20313.5</v>
      </c>
      <c r="I49" s="60" t="n">
        <f aca="false">3_Calc_From_Gross!BZ51</f>
        <v>10071.1</v>
      </c>
      <c r="J49" s="60" t="n">
        <f aca="false">3_Calc_From_Gross!CO51</f>
        <v>11800.4</v>
      </c>
      <c r="K49" s="60" t="n">
        <f aca="false">3_Calc_From_Gross!DD51</f>
        <v>7053.524</v>
      </c>
      <c r="L49" s="60" t="n">
        <f aca="false">3_Calc_From_Gross!DS51</f>
        <v>8191.0625</v>
      </c>
      <c r="M49" s="60" t="n">
        <f aca="false">3_Calc_From_Gross!EH51</f>
        <v>4889.5925</v>
      </c>
    </row>
    <row r="50" customFormat="false" ht="18" hidden="false" customHeight="true" outlineLevel="0" collapsed="false">
      <c r="A50" s="98" t="s">
        <v>955</v>
      </c>
      <c r="B50" s="98"/>
      <c r="C50" s="98"/>
      <c r="D50" s="98"/>
      <c r="E50" s="99" t="n">
        <f aca="false">AVERAGE(E4:E49)</f>
        <v>2914.63043478261</v>
      </c>
      <c r="F50" s="99" t="n">
        <f aca="false">AVERAGE(F4:F49)</f>
        <v>6232.41709130435</v>
      </c>
      <c r="G50" s="99" t="n">
        <f aca="false">AVERAGE(G4:G49)</f>
        <v>7776</v>
      </c>
      <c r="H50" s="99" t="n">
        <f aca="false">AVERAGE(H4:H49)</f>
        <v>14608.5826086957</v>
      </c>
      <c r="I50" s="99" t="n">
        <f aca="false">AVERAGE(I4:I49)</f>
        <v>8558.83673913044</v>
      </c>
      <c r="J50" s="99" t="n">
        <f aca="false">AVERAGE(J4:J49)</f>
        <v>9579.35652173913</v>
      </c>
      <c r="K50" s="99" t="n">
        <f aca="false">AVERAGE(K4:K49)</f>
        <v>5441.17582608696</v>
      </c>
      <c r="L50" s="99" t="n">
        <f aca="false">AVERAGE(L4:L49)</f>
        <v>6463.37798913044</v>
      </c>
      <c r="M50" s="99" t="n">
        <f aca="false">AVERAGE(M4:M49)</f>
        <v>3698.86902173913</v>
      </c>
    </row>
  </sheetData>
  <mergeCells count="3">
    <mergeCell ref="A1:M1"/>
    <mergeCell ref="A2:M2"/>
    <mergeCell ref="A50:D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"/>
    <col collapsed="false" customWidth="true" hidden="false" outlineLevel="0" max="3" min="3" style="1" width="18"/>
    <col collapsed="false" customWidth="true" hidden="false" outlineLevel="0" max="4" min="4" style="1" width="9"/>
    <col collapsed="false" customWidth="true" hidden="false" outlineLevel="0" max="13" min="5" style="1" width="13"/>
  </cols>
  <sheetData>
    <row r="1" customFormat="false" ht="25.5" hidden="false" customHeight="true" outlineLevel="0" collapsed="false">
      <c r="A1" s="35" t="s">
        <v>980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customFormat="false" ht="15" hidden="false" customHeight="true" outlineLevel="0" collapsed="false">
      <c r="A2" s="44" t="s">
        <v>981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customFormat="false" ht="31.5" hidden="false" customHeight="true" outlineLevel="0" collapsed="false">
      <c r="A3" s="14" t="s">
        <v>233</v>
      </c>
      <c r="B3" s="14" t="s">
        <v>284</v>
      </c>
      <c r="C3" s="14" t="s">
        <v>235</v>
      </c>
      <c r="D3" s="14" t="s">
        <v>236</v>
      </c>
      <c r="E3" s="49" t="s">
        <v>946</v>
      </c>
      <c r="F3" s="45" t="s">
        <v>947</v>
      </c>
      <c r="G3" s="45" t="s">
        <v>948</v>
      </c>
      <c r="H3" s="45" t="s">
        <v>949</v>
      </c>
      <c r="I3" s="45" t="s">
        <v>950</v>
      </c>
      <c r="J3" s="45" t="s">
        <v>951</v>
      </c>
      <c r="K3" s="45" t="s">
        <v>952</v>
      </c>
      <c r="L3" s="45" t="s">
        <v>953</v>
      </c>
      <c r="M3" s="45" t="s">
        <v>954</v>
      </c>
    </row>
    <row r="4" customFormat="false" ht="15" hidden="false" customHeight="false" outlineLevel="0" collapsed="false">
      <c r="A4" s="37" t="n">
        <v>1</v>
      </c>
      <c r="B4" s="32" t="s">
        <v>246</v>
      </c>
      <c r="C4" s="32" t="s">
        <v>247</v>
      </c>
      <c r="D4" s="62" t="s">
        <v>248</v>
      </c>
      <c r="E4" s="100" t="n">
        <f aca="false">3_Calc_From_Gross!I6</f>
        <v>0.0233333333333333</v>
      </c>
      <c r="F4" s="101" t="n">
        <f aca="false">3_Calc_From_Gross!X6</f>
        <v>0.2038</v>
      </c>
      <c r="G4" s="101" t="n">
        <f aca="false">3_Calc_From_Gross!AM6</f>
        <v>0.15</v>
      </c>
      <c r="H4" s="101" t="n">
        <f aca="false">3_Calc_From_Gross!BB6</f>
        <v>0.11</v>
      </c>
      <c r="I4" s="101" t="n">
        <f aca="false">3_Calc_From_Gross!BQ6</f>
        <v>0.21</v>
      </c>
      <c r="J4" s="101" t="n">
        <f aca="false">3_Calc_From_Gross!CF6</f>
        <v>0.2</v>
      </c>
      <c r="K4" s="101" t="n">
        <f aca="false">3_Calc_From_Gross!CU6</f>
        <v>0.338</v>
      </c>
      <c r="L4" s="101" t="n">
        <f aca="false">3_Calc_From_Gross!DJ6</f>
        <v>0.2375</v>
      </c>
      <c r="M4" s="101" t="n">
        <f aca="false">3_Calc_From_Gross!DY6</f>
        <v>0.0225</v>
      </c>
    </row>
    <row r="5" customFormat="false" ht="15" hidden="false" customHeight="false" outlineLevel="0" collapsed="false">
      <c r="A5" s="41" t="n">
        <v>2</v>
      </c>
      <c r="B5" s="28" t="s">
        <v>246</v>
      </c>
      <c r="C5" s="8" t="s">
        <v>247</v>
      </c>
      <c r="D5" s="65" t="s">
        <v>249</v>
      </c>
      <c r="E5" s="100" t="n">
        <f aca="false">3_Calc_From_Gross!I7</f>
        <v>0.00736842105263158</v>
      </c>
      <c r="F5" s="102" t="n">
        <f aca="false">3_Calc_From_Gross!X7</f>
        <v>0.2038</v>
      </c>
      <c r="G5" s="102" t="n">
        <f aca="false">3_Calc_From_Gross!AM7</f>
        <v>0.15</v>
      </c>
      <c r="H5" s="102" t="n">
        <f aca="false">3_Calc_From_Gross!BB7</f>
        <v>0.11</v>
      </c>
      <c r="I5" s="102" t="n">
        <f aca="false">3_Calc_From_Gross!BQ7</f>
        <v>0.21</v>
      </c>
      <c r="J5" s="102" t="n">
        <f aca="false">3_Calc_From_Gross!CF7</f>
        <v>0.2</v>
      </c>
      <c r="K5" s="102" t="n">
        <f aca="false">3_Calc_From_Gross!CU7</f>
        <v>0.338</v>
      </c>
      <c r="L5" s="102" t="n">
        <f aca="false">3_Calc_From_Gross!DJ7</f>
        <v>0.2375</v>
      </c>
      <c r="M5" s="102" t="n">
        <f aca="false">3_Calc_From_Gross!DY7</f>
        <v>0.0225</v>
      </c>
    </row>
    <row r="6" customFormat="false" ht="15" hidden="false" customHeight="false" outlineLevel="0" collapsed="false">
      <c r="A6" s="37" t="n">
        <v>3</v>
      </c>
      <c r="B6" s="32" t="s">
        <v>246</v>
      </c>
      <c r="C6" s="32" t="s">
        <v>250</v>
      </c>
      <c r="D6" s="62" t="s">
        <v>248</v>
      </c>
      <c r="E6" s="100" t="n">
        <f aca="false">3_Calc_From_Gross!I8</f>
        <v>0.021875</v>
      </c>
      <c r="F6" s="101" t="n">
        <f aca="false">3_Calc_From_Gross!X8</f>
        <v>0.2038</v>
      </c>
      <c r="G6" s="101" t="n">
        <f aca="false">3_Calc_From_Gross!AM8</f>
        <v>0.15</v>
      </c>
      <c r="H6" s="101" t="n">
        <f aca="false">3_Calc_From_Gross!BB8</f>
        <v>0.11</v>
      </c>
      <c r="I6" s="101" t="n">
        <f aca="false">3_Calc_From_Gross!BQ8</f>
        <v>0.21</v>
      </c>
      <c r="J6" s="101" t="n">
        <f aca="false">3_Calc_From_Gross!CF8</f>
        <v>0.2</v>
      </c>
      <c r="K6" s="101" t="n">
        <f aca="false">3_Calc_From_Gross!CU8</f>
        <v>0.338</v>
      </c>
      <c r="L6" s="101" t="n">
        <f aca="false">3_Calc_From_Gross!DJ8</f>
        <v>0.2375</v>
      </c>
      <c r="M6" s="101" t="n">
        <f aca="false">3_Calc_From_Gross!DY8</f>
        <v>0.0225</v>
      </c>
    </row>
    <row r="7" customFormat="false" ht="15" hidden="false" customHeight="false" outlineLevel="0" collapsed="false">
      <c r="A7" s="41" t="n">
        <v>4</v>
      </c>
      <c r="B7" s="28" t="s">
        <v>246</v>
      </c>
      <c r="C7" s="8" t="s">
        <v>250</v>
      </c>
      <c r="D7" s="65" t="s">
        <v>249</v>
      </c>
      <c r="E7" s="100" t="n">
        <f aca="false">3_Calc_From_Gross!I9</f>
        <v>0.00777777777777778</v>
      </c>
      <c r="F7" s="102" t="n">
        <f aca="false">3_Calc_From_Gross!X9</f>
        <v>0.2038</v>
      </c>
      <c r="G7" s="102" t="n">
        <f aca="false">3_Calc_From_Gross!AM9</f>
        <v>0.15</v>
      </c>
      <c r="H7" s="102" t="n">
        <f aca="false">3_Calc_From_Gross!BB9</f>
        <v>0.11</v>
      </c>
      <c r="I7" s="102" t="n">
        <f aca="false">3_Calc_From_Gross!BQ9</f>
        <v>0.21</v>
      </c>
      <c r="J7" s="102" t="n">
        <f aca="false">3_Calc_From_Gross!CF9</f>
        <v>0.2</v>
      </c>
      <c r="K7" s="102" t="n">
        <f aca="false">3_Calc_From_Gross!CU9</f>
        <v>0.338</v>
      </c>
      <c r="L7" s="102" t="n">
        <f aca="false">3_Calc_From_Gross!DJ9</f>
        <v>0.2375</v>
      </c>
      <c r="M7" s="102" t="n">
        <f aca="false">3_Calc_From_Gross!DY9</f>
        <v>0.0225</v>
      </c>
    </row>
    <row r="8" customFormat="false" ht="15" hidden="false" customHeight="false" outlineLevel="0" collapsed="false">
      <c r="A8" s="37" t="n">
        <v>5</v>
      </c>
      <c r="B8" s="32" t="s">
        <v>246</v>
      </c>
      <c r="C8" s="32" t="s">
        <v>251</v>
      </c>
      <c r="D8" s="62" t="s">
        <v>248</v>
      </c>
      <c r="E8" s="100" t="n">
        <f aca="false">3_Calc_From_Gross!I10</f>
        <v>0.0235215053763441</v>
      </c>
      <c r="F8" s="101" t="n">
        <f aca="false">3_Calc_From_Gross!X10</f>
        <v>0.2038</v>
      </c>
      <c r="G8" s="101" t="n">
        <f aca="false">3_Calc_From_Gross!AM10</f>
        <v>0.15</v>
      </c>
      <c r="H8" s="101" t="n">
        <f aca="false">3_Calc_From_Gross!BB10</f>
        <v>0.11</v>
      </c>
      <c r="I8" s="101" t="n">
        <f aca="false">3_Calc_From_Gross!BQ10</f>
        <v>0.21</v>
      </c>
      <c r="J8" s="101" t="n">
        <f aca="false">3_Calc_From_Gross!CF10</f>
        <v>0.2</v>
      </c>
      <c r="K8" s="101" t="n">
        <f aca="false">3_Calc_From_Gross!CU10</f>
        <v>0.338</v>
      </c>
      <c r="L8" s="101" t="n">
        <f aca="false">3_Calc_From_Gross!DJ10</f>
        <v>0.2375</v>
      </c>
      <c r="M8" s="101" t="n">
        <f aca="false">3_Calc_From_Gross!DY10</f>
        <v>0.0225</v>
      </c>
    </row>
    <row r="9" customFormat="false" ht="15" hidden="false" customHeight="false" outlineLevel="0" collapsed="false">
      <c r="A9" s="41" t="n">
        <v>6</v>
      </c>
      <c r="B9" s="28" t="s">
        <v>246</v>
      </c>
      <c r="C9" s="8" t="s">
        <v>251</v>
      </c>
      <c r="D9" s="65" t="s">
        <v>249</v>
      </c>
      <c r="E9" s="100" t="n">
        <f aca="false">3_Calc_From_Gross!I11</f>
        <v>0.00777777777777778</v>
      </c>
      <c r="F9" s="102" t="n">
        <f aca="false">3_Calc_From_Gross!X11</f>
        <v>0.2038</v>
      </c>
      <c r="G9" s="102" t="n">
        <f aca="false">3_Calc_From_Gross!AM11</f>
        <v>0.15</v>
      </c>
      <c r="H9" s="102" t="n">
        <f aca="false">3_Calc_From_Gross!BB11</f>
        <v>0.11</v>
      </c>
      <c r="I9" s="102" t="n">
        <f aca="false">3_Calc_From_Gross!BQ11</f>
        <v>0.21</v>
      </c>
      <c r="J9" s="102" t="n">
        <f aca="false">3_Calc_From_Gross!CF11</f>
        <v>0.2</v>
      </c>
      <c r="K9" s="102" t="n">
        <f aca="false">3_Calc_From_Gross!CU11</f>
        <v>0.338</v>
      </c>
      <c r="L9" s="102" t="n">
        <f aca="false">3_Calc_From_Gross!DJ11</f>
        <v>0.2375</v>
      </c>
      <c r="M9" s="102" t="n">
        <f aca="false">3_Calc_From_Gross!DY11</f>
        <v>0.0225</v>
      </c>
    </row>
    <row r="10" customFormat="false" ht="15" hidden="false" customHeight="false" outlineLevel="0" collapsed="false">
      <c r="A10" s="37" t="n">
        <v>7</v>
      </c>
      <c r="B10" s="32" t="s">
        <v>246</v>
      </c>
      <c r="C10" s="32" t="s">
        <v>252</v>
      </c>
      <c r="D10" s="62" t="s">
        <v>248</v>
      </c>
      <c r="E10" s="100" t="n">
        <f aca="false">3_Calc_From_Gross!I12</f>
        <v>0.0233333333333333</v>
      </c>
      <c r="F10" s="101" t="n">
        <f aca="false">3_Calc_From_Gross!X12</f>
        <v>0.2038</v>
      </c>
      <c r="G10" s="101" t="n">
        <f aca="false">3_Calc_From_Gross!AM12</f>
        <v>0.15</v>
      </c>
      <c r="H10" s="101" t="n">
        <f aca="false">3_Calc_From_Gross!BB12</f>
        <v>0.11</v>
      </c>
      <c r="I10" s="101" t="n">
        <f aca="false">3_Calc_From_Gross!BQ12</f>
        <v>0.21</v>
      </c>
      <c r="J10" s="101" t="n">
        <f aca="false">3_Calc_From_Gross!CF12</f>
        <v>0.2</v>
      </c>
      <c r="K10" s="101" t="n">
        <f aca="false">3_Calc_From_Gross!CU12</f>
        <v>0.338</v>
      </c>
      <c r="L10" s="101" t="n">
        <f aca="false">3_Calc_From_Gross!DJ12</f>
        <v>0.2375</v>
      </c>
      <c r="M10" s="101" t="n">
        <f aca="false">3_Calc_From_Gross!DY12</f>
        <v>0.0225</v>
      </c>
    </row>
    <row r="11" customFormat="false" ht="15" hidden="false" customHeight="false" outlineLevel="0" collapsed="false">
      <c r="A11" s="41" t="n">
        <v>8</v>
      </c>
      <c r="B11" s="28" t="s">
        <v>246</v>
      </c>
      <c r="C11" s="8" t="s">
        <v>252</v>
      </c>
      <c r="D11" s="65" t="s">
        <v>249</v>
      </c>
      <c r="E11" s="100" t="n">
        <f aca="false">3_Calc_From_Gross!I13</f>
        <v>0.00736842105263158</v>
      </c>
      <c r="F11" s="102" t="n">
        <f aca="false">3_Calc_From_Gross!X13</f>
        <v>0.2038</v>
      </c>
      <c r="G11" s="102" t="n">
        <f aca="false">3_Calc_From_Gross!AM13</f>
        <v>0.15</v>
      </c>
      <c r="H11" s="102" t="n">
        <f aca="false">3_Calc_From_Gross!BB13</f>
        <v>0.11</v>
      </c>
      <c r="I11" s="102" t="n">
        <f aca="false">3_Calc_From_Gross!BQ13</f>
        <v>0.21</v>
      </c>
      <c r="J11" s="102" t="n">
        <f aca="false">3_Calc_From_Gross!CF13</f>
        <v>0.2</v>
      </c>
      <c r="K11" s="102" t="n">
        <f aca="false">3_Calc_From_Gross!CU13</f>
        <v>0.338</v>
      </c>
      <c r="L11" s="102" t="n">
        <f aca="false">3_Calc_From_Gross!DJ13</f>
        <v>0.2375</v>
      </c>
      <c r="M11" s="102" t="n">
        <f aca="false">3_Calc_From_Gross!DY13</f>
        <v>0.0225</v>
      </c>
    </row>
    <row r="12" customFormat="false" ht="15" hidden="false" customHeight="false" outlineLevel="0" collapsed="false">
      <c r="A12" s="37" t="n">
        <v>9</v>
      </c>
      <c r="B12" s="32" t="s">
        <v>253</v>
      </c>
      <c r="C12" s="32" t="s">
        <v>254</v>
      </c>
      <c r="D12" s="62" t="s">
        <v>248</v>
      </c>
      <c r="E12" s="100" t="n">
        <f aca="false">3_Calc_From_Gross!I14</f>
        <v>0.0233333333333333</v>
      </c>
      <c r="F12" s="101" t="n">
        <f aca="false">3_Calc_From_Gross!X14</f>
        <v>0.2038</v>
      </c>
      <c r="G12" s="101" t="n">
        <f aca="false">3_Calc_From_Gross!AM14</f>
        <v>0.15</v>
      </c>
      <c r="H12" s="101" t="n">
        <f aca="false">3_Calc_From_Gross!BB14</f>
        <v>0.11</v>
      </c>
      <c r="I12" s="101" t="n">
        <f aca="false">3_Calc_From_Gross!BQ14</f>
        <v>0.21</v>
      </c>
      <c r="J12" s="101" t="n">
        <f aca="false">3_Calc_From_Gross!CF14</f>
        <v>0.2</v>
      </c>
      <c r="K12" s="101" t="n">
        <f aca="false">3_Calc_From_Gross!CU14</f>
        <v>0.338</v>
      </c>
      <c r="L12" s="101" t="n">
        <f aca="false">3_Calc_From_Gross!DJ14</f>
        <v>0.2375</v>
      </c>
      <c r="M12" s="101" t="n">
        <f aca="false">3_Calc_From_Gross!DY14</f>
        <v>0.0225</v>
      </c>
    </row>
    <row r="13" customFormat="false" ht="15" hidden="false" customHeight="false" outlineLevel="0" collapsed="false">
      <c r="A13" s="41" t="n">
        <v>10</v>
      </c>
      <c r="B13" s="28" t="s">
        <v>253</v>
      </c>
      <c r="C13" s="8" t="s">
        <v>254</v>
      </c>
      <c r="D13" s="65" t="s">
        <v>249</v>
      </c>
      <c r="E13" s="100" t="n">
        <f aca="false">3_Calc_From_Gross!I15</f>
        <v>0.00736842105263158</v>
      </c>
      <c r="F13" s="102" t="n">
        <f aca="false">3_Calc_From_Gross!X15</f>
        <v>0.2038</v>
      </c>
      <c r="G13" s="102" t="n">
        <f aca="false">3_Calc_From_Gross!AM15</f>
        <v>0.15</v>
      </c>
      <c r="H13" s="102" t="n">
        <f aca="false">3_Calc_From_Gross!BB15</f>
        <v>0.11</v>
      </c>
      <c r="I13" s="102" t="n">
        <f aca="false">3_Calc_From_Gross!BQ15</f>
        <v>0.21</v>
      </c>
      <c r="J13" s="102" t="n">
        <f aca="false">3_Calc_From_Gross!CF15</f>
        <v>0.2</v>
      </c>
      <c r="K13" s="102" t="n">
        <f aca="false">3_Calc_From_Gross!CU15</f>
        <v>0.338</v>
      </c>
      <c r="L13" s="102" t="n">
        <f aca="false">3_Calc_From_Gross!DJ15</f>
        <v>0.2375</v>
      </c>
      <c r="M13" s="102" t="n">
        <f aca="false">3_Calc_From_Gross!DY15</f>
        <v>0.0225</v>
      </c>
    </row>
    <row r="14" customFormat="false" ht="15" hidden="false" customHeight="false" outlineLevel="0" collapsed="false">
      <c r="A14" s="37" t="n">
        <v>11</v>
      </c>
      <c r="B14" s="32" t="s">
        <v>253</v>
      </c>
      <c r="C14" s="32" t="s">
        <v>255</v>
      </c>
      <c r="D14" s="62" t="s">
        <v>248</v>
      </c>
      <c r="E14" s="100" t="n">
        <f aca="false">3_Calc_From_Gross!I16</f>
        <v>0.021875</v>
      </c>
      <c r="F14" s="101" t="n">
        <f aca="false">3_Calc_From_Gross!X16</f>
        <v>0.2038</v>
      </c>
      <c r="G14" s="101" t="n">
        <f aca="false">3_Calc_From_Gross!AM16</f>
        <v>0.15</v>
      </c>
      <c r="H14" s="101" t="n">
        <f aca="false">3_Calc_From_Gross!BB16</f>
        <v>0.11</v>
      </c>
      <c r="I14" s="101" t="n">
        <f aca="false">3_Calc_From_Gross!BQ16</f>
        <v>0.21</v>
      </c>
      <c r="J14" s="101" t="n">
        <f aca="false">3_Calc_From_Gross!CF16</f>
        <v>0.2</v>
      </c>
      <c r="K14" s="101" t="n">
        <f aca="false">3_Calc_From_Gross!CU16</f>
        <v>0.338</v>
      </c>
      <c r="L14" s="101" t="n">
        <f aca="false">3_Calc_From_Gross!DJ16</f>
        <v>0.2375</v>
      </c>
      <c r="M14" s="101" t="n">
        <f aca="false">3_Calc_From_Gross!DY16</f>
        <v>0.0225</v>
      </c>
    </row>
    <row r="15" customFormat="false" ht="15" hidden="false" customHeight="false" outlineLevel="0" collapsed="false">
      <c r="A15" s="41" t="n">
        <v>12</v>
      </c>
      <c r="B15" s="28" t="s">
        <v>253</v>
      </c>
      <c r="C15" s="8" t="s">
        <v>255</v>
      </c>
      <c r="D15" s="65" t="s">
        <v>249</v>
      </c>
      <c r="E15" s="100" t="n">
        <f aca="false">3_Calc_From_Gross!I17</f>
        <v>0.00777777777777778</v>
      </c>
      <c r="F15" s="102" t="n">
        <f aca="false">3_Calc_From_Gross!X17</f>
        <v>0.2038</v>
      </c>
      <c r="G15" s="102" t="n">
        <f aca="false">3_Calc_From_Gross!AM17</f>
        <v>0.15</v>
      </c>
      <c r="H15" s="102" t="n">
        <f aca="false">3_Calc_From_Gross!BB17</f>
        <v>0.11</v>
      </c>
      <c r="I15" s="102" t="n">
        <f aca="false">3_Calc_From_Gross!BQ17</f>
        <v>0.21</v>
      </c>
      <c r="J15" s="102" t="n">
        <f aca="false">3_Calc_From_Gross!CF17</f>
        <v>0.2</v>
      </c>
      <c r="K15" s="102" t="n">
        <f aca="false">3_Calc_From_Gross!CU17</f>
        <v>0.338</v>
      </c>
      <c r="L15" s="102" t="n">
        <f aca="false">3_Calc_From_Gross!DJ17</f>
        <v>0.2375</v>
      </c>
      <c r="M15" s="102" t="n">
        <f aca="false">3_Calc_From_Gross!DY17</f>
        <v>0.0225</v>
      </c>
    </row>
    <row r="16" customFormat="false" ht="15" hidden="false" customHeight="false" outlineLevel="0" collapsed="false">
      <c r="A16" s="37" t="n">
        <v>13</v>
      </c>
      <c r="B16" s="32" t="s">
        <v>253</v>
      </c>
      <c r="C16" s="32" t="s">
        <v>256</v>
      </c>
      <c r="D16" s="62" t="s">
        <v>248</v>
      </c>
      <c r="E16" s="100" t="n">
        <f aca="false">3_Calc_From_Gross!I18</f>
        <v>0.028</v>
      </c>
      <c r="F16" s="101" t="n">
        <f aca="false">3_Calc_From_Gross!X18</f>
        <v>0.2038</v>
      </c>
      <c r="G16" s="101" t="n">
        <f aca="false">3_Calc_From_Gross!AM18</f>
        <v>0.15</v>
      </c>
      <c r="H16" s="101" t="n">
        <f aca="false">3_Calc_From_Gross!BB18</f>
        <v>0.11</v>
      </c>
      <c r="I16" s="101" t="n">
        <f aca="false">3_Calc_From_Gross!BQ18</f>
        <v>0.21</v>
      </c>
      <c r="J16" s="101" t="n">
        <f aca="false">3_Calc_From_Gross!CF18</f>
        <v>0.2</v>
      </c>
      <c r="K16" s="101" t="n">
        <f aca="false">3_Calc_From_Gross!CU18</f>
        <v>0.338</v>
      </c>
      <c r="L16" s="101" t="n">
        <f aca="false">3_Calc_From_Gross!DJ18</f>
        <v>0.2375</v>
      </c>
      <c r="M16" s="101" t="n">
        <f aca="false">3_Calc_From_Gross!DY18</f>
        <v>0.0225</v>
      </c>
    </row>
    <row r="17" customFormat="false" ht="15" hidden="false" customHeight="false" outlineLevel="0" collapsed="false">
      <c r="A17" s="41" t="n">
        <v>14</v>
      </c>
      <c r="B17" s="28" t="s">
        <v>253</v>
      </c>
      <c r="C17" s="8" t="s">
        <v>256</v>
      </c>
      <c r="D17" s="65" t="s">
        <v>249</v>
      </c>
      <c r="E17" s="100" t="n">
        <f aca="false">3_Calc_From_Gross!I19</f>
        <v>0.0107692307692308</v>
      </c>
      <c r="F17" s="102" t="n">
        <f aca="false">3_Calc_From_Gross!X19</f>
        <v>0.2038</v>
      </c>
      <c r="G17" s="102" t="n">
        <f aca="false">3_Calc_From_Gross!AM19</f>
        <v>0.15</v>
      </c>
      <c r="H17" s="102" t="n">
        <f aca="false">3_Calc_From_Gross!BB19</f>
        <v>0.11</v>
      </c>
      <c r="I17" s="102" t="n">
        <f aca="false">3_Calc_From_Gross!BQ19</f>
        <v>0.21</v>
      </c>
      <c r="J17" s="102" t="n">
        <f aca="false">3_Calc_From_Gross!CF19</f>
        <v>0.2</v>
      </c>
      <c r="K17" s="102" t="n">
        <f aca="false">3_Calc_From_Gross!CU19</f>
        <v>0.338</v>
      </c>
      <c r="L17" s="102" t="n">
        <f aca="false">3_Calc_From_Gross!DJ19</f>
        <v>0.2375</v>
      </c>
      <c r="M17" s="102" t="n">
        <f aca="false">3_Calc_From_Gross!DY19</f>
        <v>0.0225</v>
      </c>
    </row>
    <row r="18" customFormat="false" ht="15" hidden="false" customHeight="false" outlineLevel="0" collapsed="false">
      <c r="A18" s="37" t="n">
        <v>15</v>
      </c>
      <c r="B18" s="32" t="s">
        <v>253</v>
      </c>
      <c r="C18" s="32" t="s">
        <v>257</v>
      </c>
      <c r="D18" s="62" t="s">
        <v>248</v>
      </c>
      <c r="E18" s="100" t="n">
        <f aca="false">3_Calc_From_Gross!I20</f>
        <v>0.0241379310344828</v>
      </c>
      <c r="F18" s="101" t="n">
        <f aca="false">3_Calc_From_Gross!X20</f>
        <v>0.2038</v>
      </c>
      <c r="G18" s="101" t="n">
        <f aca="false">3_Calc_From_Gross!AM20</f>
        <v>0.15</v>
      </c>
      <c r="H18" s="101" t="n">
        <f aca="false">3_Calc_From_Gross!BB20</f>
        <v>0.11</v>
      </c>
      <c r="I18" s="101" t="n">
        <f aca="false">3_Calc_From_Gross!BQ20</f>
        <v>0.21</v>
      </c>
      <c r="J18" s="101" t="n">
        <f aca="false">3_Calc_From_Gross!CF20</f>
        <v>0.2</v>
      </c>
      <c r="K18" s="101" t="n">
        <f aca="false">3_Calc_From_Gross!CU20</f>
        <v>0.338</v>
      </c>
      <c r="L18" s="101" t="n">
        <f aca="false">3_Calc_From_Gross!DJ20</f>
        <v>0.2375</v>
      </c>
      <c r="M18" s="101" t="n">
        <f aca="false">3_Calc_From_Gross!DY20</f>
        <v>0.0225</v>
      </c>
    </row>
    <row r="19" customFormat="false" ht="15" hidden="false" customHeight="false" outlineLevel="0" collapsed="false">
      <c r="A19" s="41" t="n">
        <v>16</v>
      </c>
      <c r="B19" s="28" t="s">
        <v>253</v>
      </c>
      <c r="C19" s="8" t="s">
        <v>257</v>
      </c>
      <c r="D19" s="65" t="s">
        <v>249</v>
      </c>
      <c r="E19" s="100" t="n">
        <f aca="false">3_Calc_From_Gross!I21</f>
        <v>0.00786516853932584</v>
      </c>
      <c r="F19" s="102" t="n">
        <f aca="false">3_Calc_From_Gross!X21</f>
        <v>0.2038</v>
      </c>
      <c r="G19" s="102" t="n">
        <f aca="false">3_Calc_From_Gross!AM21</f>
        <v>0.15</v>
      </c>
      <c r="H19" s="102" t="n">
        <f aca="false">3_Calc_From_Gross!BB21</f>
        <v>0.11</v>
      </c>
      <c r="I19" s="102" t="n">
        <f aca="false">3_Calc_From_Gross!BQ21</f>
        <v>0.21</v>
      </c>
      <c r="J19" s="102" t="n">
        <f aca="false">3_Calc_From_Gross!CF21</f>
        <v>0.2</v>
      </c>
      <c r="K19" s="102" t="n">
        <f aca="false">3_Calc_From_Gross!CU21</f>
        <v>0.338</v>
      </c>
      <c r="L19" s="102" t="n">
        <f aca="false">3_Calc_From_Gross!DJ21</f>
        <v>0.2375</v>
      </c>
      <c r="M19" s="102" t="n">
        <f aca="false">3_Calc_From_Gross!DY21</f>
        <v>0.0225</v>
      </c>
    </row>
    <row r="20" customFormat="false" ht="15" hidden="false" customHeight="false" outlineLevel="0" collapsed="false">
      <c r="A20" s="37" t="n">
        <v>17</v>
      </c>
      <c r="B20" s="32" t="s">
        <v>253</v>
      </c>
      <c r="C20" s="32" t="s">
        <v>258</v>
      </c>
      <c r="D20" s="62" t="s">
        <v>248</v>
      </c>
      <c r="E20" s="100" t="n">
        <f aca="false">3_Calc_From_Gross!I22</f>
        <v>0.0235215053763441</v>
      </c>
      <c r="F20" s="101" t="n">
        <f aca="false">3_Calc_From_Gross!X22</f>
        <v>0.2038</v>
      </c>
      <c r="G20" s="101" t="n">
        <f aca="false">3_Calc_From_Gross!AM22</f>
        <v>0.15</v>
      </c>
      <c r="H20" s="101" t="n">
        <f aca="false">3_Calc_From_Gross!BB22</f>
        <v>0.11</v>
      </c>
      <c r="I20" s="101" t="n">
        <f aca="false">3_Calc_From_Gross!BQ22</f>
        <v>0.21</v>
      </c>
      <c r="J20" s="101" t="n">
        <f aca="false">3_Calc_From_Gross!CF22</f>
        <v>0.2</v>
      </c>
      <c r="K20" s="101" t="n">
        <f aca="false">3_Calc_From_Gross!CU22</f>
        <v>0.338</v>
      </c>
      <c r="L20" s="101" t="n">
        <f aca="false">3_Calc_From_Gross!DJ22</f>
        <v>0.2375</v>
      </c>
      <c r="M20" s="101" t="n">
        <f aca="false">3_Calc_From_Gross!DY22</f>
        <v>0.0225</v>
      </c>
    </row>
    <row r="21" customFormat="false" ht="15" hidden="false" customHeight="false" outlineLevel="0" collapsed="false">
      <c r="A21" s="41" t="n">
        <v>18</v>
      </c>
      <c r="B21" s="28" t="s">
        <v>253</v>
      </c>
      <c r="C21" s="8" t="s">
        <v>258</v>
      </c>
      <c r="D21" s="65" t="s">
        <v>249</v>
      </c>
      <c r="E21" s="100" t="n">
        <f aca="false">3_Calc_From_Gross!I23</f>
        <v>0.00777777777777778</v>
      </c>
      <c r="F21" s="102" t="n">
        <f aca="false">3_Calc_From_Gross!X23</f>
        <v>0.2038</v>
      </c>
      <c r="G21" s="102" t="n">
        <f aca="false">3_Calc_From_Gross!AM23</f>
        <v>0.15</v>
      </c>
      <c r="H21" s="102" t="n">
        <f aca="false">3_Calc_From_Gross!BB23</f>
        <v>0.11</v>
      </c>
      <c r="I21" s="102" t="n">
        <f aca="false">3_Calc_From_Gross!BQ23</f>
        <v>0.21</v>
      </c>
      <c r="J21" s="102" t="n">
        <f aca="false">3_Calc_From_Gross!CF23</f>
        <v>0.2</v>
      </c>
      <c r="K21" s="102" t="n">
        <f aca="false">3_Calc_From_Gross!CU23</f>
        <v>0.338</v>
      </c>
      <c r="L21" s="102" t="n">
        <f aca="false">3_Calc_From_Gross!DJ23</f>
        <v>0.2375</v>
      </c>
      <c r="M21" s="102" t="n">
        <f aca="false">3_Calc_From_Gross!DY23</f>
        <v>0.0225</v>
      </c>
    </row>
    <row r="22" customFormat="false" ht="15" hidden="false" customHeight="false" outlineLevel="0" collapsed="false">
      <c r="A22" s="37" t="n">
        <v>19</v>
      </c>
      <c r="B22" s="32" t="s">
        <v>259</v>
      </c>
      <c r="C22" s="32" t="s">
        <v>260</v>
      </c>
      <c r="D22" s="62" t="s">
        <v>248</v>
      </c>
      <c r="E22" s="100" t="n">
        <f aca="false">3_Calc_From_Gross!I24</f>
        <v>0.0284321689683184</v>
      </c>
      <c r="F22" s="101" t="n">
        <f aca="false">3_Calc_From_Gross!X24</f>
        <v>0.2038</v>
      </c>
      <c r="G22" s="101" t="n">
        <f aca="false">3_Calc_From_Gross!AM24</f>
        <v>0.15</v>
      </c>
      <c r="H22" s="101" t="n">
        <f aca="false">3_Calc_From_Gross!BB24</f>
        <v>0.11</v>
      </c>
      <c r="I22" s="101" t="n">
        <f aca="false">3_Calc_From_Gross!BQ24</f>
        <v>0.21</v>
      </c>
      <c r="J22" s="101" t="n">
        <f aca="false">3_Calc_From_Gross!CF24</f>
        <v>0.2</v>
      </c>
      <c r="K22" s="101" t="n">
        <f aca="false">3_Calc_From_Gross!CU24</f>
        <v>0.338</v>
      </c>
      <c r="L22" s="101" t="n">
        <f aca="false">3_Calc_From_Gross!DJ24</f>
        <v>0.2375</v>
      </c>
      <c r="M22" s="101" t="n">
        <f aca="false">3_Calc_From_Gross!DY24</f>
        <v>0.0225</v>
      </c>
    </row>
    <row r="23" customFormat="false" ht="15" hidden="false" customHeight="false" outlineLevel="0" collapsed="false">
      <c r="A23" s="41" t="n">
        <v>20</v>
      </c>
      <c r="B23" s="28" t="s">
        <v>259</v>
      </c>
      <c r="C23" s="8" t="s">
        <v>260</v>
      </c>
      <c r="D23" s="65" t="s">
        <v>249</v>
      </c>
      <c r="E23" s="100" t="n">
        <f aca="false">3_Calc_From_Gross!I25</f>
        <v>0.00875</v>
      </c>
      <c r="F23" s="102" t="n">
        <f aca="false">3_Calc_From_Gross!X25</f>
        <v>0.2038</v>
      </c>
      <c r="G23" s="102" t="n">
        <f aca="false">3_Calc_From_Gross!AM25</f>
        <v>0.15</v>
      </c>
      <c r="H23" s="102" t="n">
        <f aca="false">3_Calc_From_Gross!BB25</f>
        <v>0.11</v>
      </c>
      <c r="I23" s="102" t="n">
        <f aca="false">3_Calc_From_Gross!BQ25</f>
        <v>0.21</v>
      </c>
      <c r="J23" s="102" t="n">
        <f aca="false">3_Calc_From_Gross!CF25</f>
        <v>0.2</v>
      </c>
      <c r="K23" s="102" t="n">
        <f aca="false">3_Calc_From_Gross!CU25</f>
        <v>0.338</v>
      </c>
      <c r="L23" s="102" t="n">
        <f aca="false">3_Calc_From_Gross!DJ25</f>
        <v>0.2375</v>
      </c>
      <c r="M23" s="102" t="n">
        <f aca="false">3_Calc_From_Gross!DY25</f>
        <v>0.0225</v>
      </c>
    </row>
    <row r="24" customFormat="false" ht="15" hidden="false" customHeight="false" outlineLevel="0" collapsed="false">
      <c r="A24" s="37" t="n">
        <v>21</v>
      </c>
      <c r="B24" s="32" t="s">
        <v>259</v>
      </c>
      <c r="C24" s="32" t="s">
        <v>261</v>
      </c>
      <c r="D24" s="62" t="s">
        <v>248</v>
      </c>
      <c r="E24" s="100" t="n">
        <f aca="false">3_Calc_From_Gross!I26</f>
        <v>0.0233333333333333</v>
      </c>
      <c r="F24" s="101" t="n">
        <f aca="false">3_Calc_From_Gross!X26</f>
        <v>0.2038</v>
      </c>
      <c r="G24" s="101" t="n">
        <f aca="false">3_Calc_From_Gross!AM26</f>
        <v>0.15</v>
      </c>
      <c r="H24" s="101" t="n">
        <f aca="false">3_Calc_From_Gross!BB26</f>
        <v>0.11</v>
      </c>
      <c r="I24" s="101" t="n">
        <f aca="false">3_Calc_From_Gross!BQ26</f>
        <v>0.21</v>
      </c>
      <c r="J24" s="101" t="n">
        <f aca="false">3_Calc_From_Gross!CF26</f>
        <v>0.2</v>
      </c>
      <c r="K24" s="101" t="n">
        <f aca="false">3_Calc_From_Gross!CU26</f>
        <v>0.338</v>
      </c>
      <c r="L24" s="101" t="n">
        <f aca="false">3_Calc_From_Gross!DJ26</f>
        <v>0.2375</v>
      </c>
      <c r="M24" s="101" t="n">
        <f aca="false">3_Calc_From_Gross!DY26</f>
        <v>0.0225</v>
      </c>
    </row>
    <row r="25" customFormat="false" ht="15" hidden="false" customHeight="false" outlineLevel="0" collapsed="false">
      <c r="A25" s="41" t="n">
        <v>22</v>
      </c>
      <c r="B25" s="28" t="s">
        <v>259</v>
      </c>
      <c r="C25" s="8" t="s">
        <v>261</v>
      </c>
      <c r="D25" s="65" t="s">
        <v>249</v>
      </c>
      <c r="E25" s="100" t="n">
        <f aca="false">3_Calc_From_Gross!I27</f>
        <v>0.00736842105263158</v>
      </c>
      <c r="F25" s="102" t="n">
        <f aca="false">3_Calc_From_Gross!X27</f>
        <v>0.2038</v>
      </c>
      <c r="G25" s="102" t="n">
        <f aca="false">3_Calc_From_Gross!AM27</f>
        <v>0.15</v>
      </c>
      <c r="H25" s="102" t="n">
        <f aca="false">3_Calc_From_Gross!BB27</f>
        <v>0.11</v>
      </c>
      <c r="I25" s="102" t="n">
        <f aca="false">3_Calc_From_Gross!BQ27</f>
        <v>0.21</v>
      </c>
      <c r="J25" s="102" t="n">
        <f aca="false">3_Calc_From_Gross!CF27</f>
        <v>0.2</v>
      </c>
      <c r="K25" s="102" t="n">
        <f aca="false">3_Calc_From_Gross!CU27</f>
        <v>0.338</v>
      </c>
      <c r="L25" s="102" t="n">
        <f aca="false">3_Calc_From_Gross!DJ27</f>
        <v>0.2375</v>
      </c>
      <c r="M25" s="102" t="n">
        <f aca="false">3_Calc_From_Gross!DY27</f>
        <v>0.0225</v>
      </c>
    </row>
    <row r="26" customFormat="false" ht="15" hidden="false" customHeight="false" outlineLevel="0" collapsed="false">
      <c r="A26" s="37" t="n">
        <v>23</v>
      </c>
      <c r="B26" s="32" t="s">
        <v>259</v>
      </c>
      <c r="C26" s="32" t="s">
        <v>262</v>
      </c>
      <c r="D26" s="62" t="s">
        <v>248</v>
      </c>
      <c r="E26" s="100" t="n">
        <f aca="false">3_Calc_From_Gross!I28</f>
        <v>0.0233333333333333</v>
      </c>
      <c r="F26" s="101" t="n">
        <f aca="false">3_Calc_From_Gross!X28</f>
        <v>0.2038</v>
      </c>
      <c r="G26" s="101" t="n">
        <f aca="false">3_Calc_From_Gross!AM28</f>
        <v>0.15</v>
      </c>
      <c r="H26" s="101" t="n">
        <f aca="false">3_Calc_From_Gross!BB28</f>
        <v>0.11</v>
      </c>
      <c r="I26" s="101" t="n">
        <f aca="false">3_Calc_From_Gross!BQ28</f>
        <v>0.21</v>
      </c>
      <c r="J26" s="101" t="n">
        <f aca="false">3_Calc_From_Gross!CF28</f>
        <v>0.2</v>
      </c>
      <c r="K26" s="101" t="n">
        <f aca="false">3_Calc_From_Gross!CU28</f>
        <v>0.338</v>
      </c>
      <c r="L26" s="101" t="n">
        <f aca="false">3_Calc_From_Gross!DJ28</f>
        <v>0.2375</v>
      </c>
      <c r="M26" s="101" t="n">
        <f aca="false">3_Calc_From_Gross!DY28</f>
        <v>0.0225</v>
      </c>
    </row>
    <row r="27" customFormat="false" ht="15" hidden="false" customHeight="false" outlineLevel="0" collapsed="false">
      <c r="A27" s="41" t="n">
        <v>24</v>
      </c>
      <c r="B27" s="28" t="s">
        <v>259</v>
      </c>
      <c r="C27" s="8" t="s">
        <v>262</v>
      </c>
      <c r="D27" s="65" t="s">
        <v>249</v>
      </c>
      <c r="E27" s="100" t="n">
        <f aca="false">3_Calc_From_Gross!I29</f>
        <v>0.00736842105263158</v>
      </c>
      <c r="F27" s="102" t="n">
        <f aca="false">3_Calc_From_Gross!X29</f>
        <v>0.2038</v>
      </c>
      <c r="G27" s="102" t="n">
        <f aca="false">3_Calc_From_Gross!AM29</f>
        <v>0.15</v>
      </c>
      <c r="H27" s="102" t="n">
        <f aca="false">3_Calc_From_Gross!BB29</f>
        <v>0.11</v>
      </c>
      <c r="I27" s="102" t="n">
        <f aca="false">3_Calc_From_Gross!BQ29</f>
        <v>0.21</v>
      </c>
      <c r="J27" s="102" t="n">
        <f aca="false">3_Calc_From_Gross!CF29</f>
        <v>0.2</v>
      </c>
      <c r="K27" s="102" t="n">
        <f aca="false">3_Calc_From_Gross!CU29</f>
        <v>0.338</v>
      </c>
      <c r="L27" s="102" t="n">
        <f aca="false">3_Calc_From_Gross!DJ29</f>
        <v>0.2375</v>
      </c>
      <c r="M27" s="102" t="n">
        <f aca="false">3_Calc_From_Gross!DY29</f>
        <v>0.0225</v>
      </c>
    </row>
    <row r="28" customFormat="false" ht="15" hidden="false" customHeight="false" outlineLevel="0" collapsed="false">
      <c r="A28" s="37" t="n">
        <v>25</v>
      </c>
      <c r="B28" s="32" t="s">
        <v>259</v>
      </c>
      <c r="C28" s="32" t="s">
        <v>263</v>
      </c>
      <c r="D28" s="62" t="s">
        <v>248</v>
      </c>
      <c r="E28" s="100" t="n">
        <f aca="false">3_Calc_From_Gross!I30</f>
        <v>0.0284321689683184</v>
      </c>
      <c r="F28" s="101" t="n">
        <f aca="false">3_Calc_From_Gross!X30</f>
        <v>0.2038</v>
      </c>
      <c r="G28" s="101" t="n">
        <f aca="false">3_Calc_From_Gross!AM30</f>
        <v>0.15</v>
      </c>
      <c r="H28" s="101" t="n">
        <f aca="false">3_Calc_From_Gross!BB30</f>
        <v>0.11</v>
      </c>
      <c r="I28" s="101" t="n">
        <f aca="false">3_Calc_From_Gross!BQ30</f>
        <v>0.21</v>
      </c>
      <c r="J28" s="101" t="n">
        <f aca="false">3_Calc_From_Gross!CF30</f>
        <v>0.2</v>
      </c>
      <c r="K28" s="101" t="n">
        <f aca="false">3_Calc_From_Gross!CU30</f>
        <v>0.338</v>
      </c>
      <c r="L28" s="101" t="n">
        <f aca="false">3_Calc_From_Gross!DJ30</f>
        <v>0.2375</v>
      </c>
      <c r="M28" s="101" t="n">
        <f aca="false">3_Calc_From_Gross!DY30</f>
        <v>0.0225</v>
      </c>
    </row>
    <row r="29" customFormat="false" ht="15" hidden="false" customHeight="false" outlineLevel="0" collapsed="false">
      <c r="A29" s="41" t="n">
        <v>26</v>
      </c>
      <c r="B29" s="28" t="s">
        <v>259</v>
      </c>
      <c r="C29" s="8" t="s">
        <v>263</v>
      </c>
      <c r="D29" s="65" t="s">
        <v>249</v>
      </c>
      <c r="E29" s="100" t="n">
        <f aca="false">3_Calc_From_Gross!I31</f>
        <v>0.00875</v>
      </c>
      <c r="F29" s="102" t="n">
        <f aca="false">3_Calc_From_Gross!X31</f>
        <v>0.2038</v>
      </c>
      <c r="G29" s="102" t="n">
        <f aca="false">3_Calc_From_Gross!AM31</f>
        <v>0.15</v>
      </c>
      <c r="H29" s="102" t="n">
        <f aca="false">3_Calc_From_Gross!BB31</f>
        <v>0.11</v>
      </c>
      <c r="I29" s="102" t="n">
        <f aca="false">3_Calc_From_Gross!BQ31</f>
        <v>0.21</v>
      </c>
      <c r="J29" s="102" t="n">
        <f aca="false">3_Calc_From_Gross!CF31</f>
        <v>0.2</v>
      </c>
      <c r="K29" s="102" t="n">
        <f aca="false">3_Calc_From_Gross!CU31</f>
        <v>0.338</v>
      </c>
      <c r="L29" s="102" t="n">
        <f aca="false">3_Calc_From_Gross!DJ31</f>
        <v>0.2375</v>
      </c>
      <c r="M29" s="102" t="n">
        <f aca="false">3_Calc_From_Gross!DY31</f>
        <v>0.0225</v>
      </c>
    </row>
    <row r="30" customFormat="false" ht="15" hidden="false" customHeight="false" outlineLevel="0" collapsed="false">
      <c r="A30" s="37" t="n">
        <v>27</v>
      </c>
      <c r="B30" s="32" t="s">
        <v>264</v>
      </c>
      <c r="C30" s="32" t="s">
        <v>265</v>
      </c>
      <c r="D30" s="62" t="s">
        <v>248</v>
      </c>
      <c r="E30" s="100" t="n">
        <f aca="false">3_Calc_From_Gross!I32</f>
        <v>0.0259259259259259</v>
      </c>
      <c r="F30" s="101" t="n">
        <f aca="false">3_Calc_From_Gross!X32</f>
        <v>0.2038</v>
      </c>
      <c r="G30" s="101" t="n">
        <f aca="false">3_Calc_From_Gross!AM32</f>
        <v>0.15</v>
      </c>
      <c r="H30" s="101" t="n">
        <f aca="false">3_Calc_From_Gross!BB32</f>
        <v>0.11</v>
      </c>
      <c r="I30" s="101" t="n">
        <f aca="false">3_Calc_From_Gross!BQ32</f>
        <v>0.21</v>
      </c>
      <c r="J30" s="101" t="n">
        <f aca="false">3_Calc_From_Gross!CF32</f>
        <v>0.2</v>
      </c>
      <c r="K30" s="101" t="n">
        <f aca="false">3_Calc_From_Gross!CU32</f>
        <v>0.338</v>
      </c>
      <c r="L30" s="101" t="n">
        <f aca="false">3_Calc_From_Gross!DJ32</f>
        <v>0.2375</v>
      </c>
      <c r="M30" s="101" t="n">
        <f aca="false">3_Calc_From_Gross!DY32</f>
        <v>0.0225</v>
      </c>
    </row>
    <row r="31" customFormat="false" ht="15" hidden="false" customHeight="false" outlineLevel="0" collapsed="false">
      <c r="A31" s="41" t="n">
        <v>28</v>
      </c>
      <c r="B31" s="28" t="s">
        <v>264</v>
      </c>
      <c r="C31" s="8" t="s">
        <v>265</v>
      </c>
      <c r="D31" s="65" t="s">
        <v>249</v>
      </c>
      <c r="E31" s="100" t="n">
        <f aca="false">3_Calc_From_Gross!I33</f>
        <v>0.0107692307692308</v>
      </c>
      <c r="F31" s="102" t="n">
        <f aca="false">3_Calc_From_Gross!X33</f>
        <v>0.2038</v>
      </c>
      <c r="G31" s="102" t="n">
        <f aca="false">3_Calc_From_Gross!AM33</f>
        <v>0.15</v>
      </c>
      <c r="H31" s="102" t="n">
        <f aca="false">3_Calc_From_Gross!BB33</f>
        <v>0.11</v>
      </c>
      <c r="I31" s="102" t="n">
        <f aca="false">3_Calc_From_Gross!BQ33</f>
        <v>0.21</v>
      </c>
      <c r="J31" s="102" t="n">
        <f aca="false">3_Calc_From_Gross!CF33</f>
        <v>0.2</v>
      </c>
      <c r="K31" s="102" t="n">
        <f aca="false">3_Calc_From_Gross!CU33</f>
        <v>0.338</v>
      </c>
      <c r="L31" s="102" t="n">
        <f aca="false">3_Calc_From_Gross!DJ33</f>
        <v>0.2375</v>
      </c>
      <c r="M31" s="102" t="n">
        <f aca="false">3_Calc_From_Gross!DY33</f>
        <v>0.0225</v>
      </c>
    </row>
    <row r="32" customFormat="false" ht="15" hidden="false" customHeight="false" outlineLevel="0" collapsed="false">
      <c r="A32" s="37" t="n">
        <v>29</v>
      </c>
      <c r="B32" s="32" t="s">
        <v>266</v>
      </c>
      <c r="C32" s="32" t="s">
        <v>267</v>
      </c>
      <c r="D32" s="62" t="s">
        <v>248</v>
      </c>
      <c r="E32" s="100" t="n">
        <f aca="false">3_Calc_From_Gross!I34</f>
        <v>0.0189189189189189</v>
      </c>
      <c r="F32" s="101" t="n">
        <f aca="false">3_Calc_From_Gross!X34</f>
        <v>0.2038</v>
      </c>
      <c r="G32" s="101" t="n">
        <f aca="false">3_Calc_From_Gross!AM34</f>
        <v>0.15</v>
      </c>
      <c r="H32" s="101" t="n">
        <f aca="false">3_Calc_From_Gross!BB34</f>
        <v>0.11</v>
      </c>
      <c r="I32" s="101" t="n">
        <f aca="false">3_Calc_From_Gross!BQ34</f>
        <v>0.21</v>
      </c>
      <c r="J32" s="101" t="n">
        <f aca="false">3_Calc_From_Gross!CF34</f>
        <v>0.2</v>
      </c>
      <c r="K32" s="101" t="n">
        <f aca="false">3_Calc_From_Gross!CU34</f>
        <v>0.338</v>
      </c>
      <c r="L32" s="101" t="n">
        <f aca="false">3_Calc_From_Gross!DJ34</f>
        <v>0.2375</v>
      </c>
      <c r="M32" s="101" t="n">
        <f aca="false">3_Calc_From_Gross!DY34</f>
        <v>0.0225</v>
      </c>
    </row>
    <row r="33" customFormat="false" ht="15" hidden="false" customHeight="false" outlineLevel="0" collapsed="false">
      <c r="A33" s="41" t="n">
        <v>30</v>
      </c>
      <c r="B33" s="28" t="s">
        <v>266</v>
      </c>
      <c r="C33" s="8" t="s">
        <v>267</v>
      </c>
      <c r="D33" s="65" t="s">
        <v>249</v>
      </c>
      <c r="E33" s="100" t="n">
        <f aca="false">3_Calc_From_Gross!I35</f>
        <v>0.00732984293193717</v>
      </c>
      <c r="F33" s="102" t="n">
        <f aca="false">3_Calc_From_Gross!X35</f>
        <v>0.2038</v>
      </c>
      <c r="G33" s="102" t="n">
        <f aca="false">3_Calc_From_Gross!AM35</f>
        <v>0.15</v>
      </c>
      <c r="H33" s="102" t="n">
        <f aca="false">3_Calc_From_Gross!BB35</f>
        <v>0.11</v>
      </c>
      <c r="I33" s="102" t="n">
        <f aca="false">3_Calc_From_Gross!BQ35</f>
        <v>0.21</v>
      </c>
      <c r="J33" s="102" t="n">
        <f aca="false">3_Calc_From_Gross!CF35</f>
        <v>0.2</v>
      </c>
      <c r="K33" s="102" t="n">
        <f aca="false">3_Calc_From_Gross!CU35</f>
        <v>0.338</v>
      </c>
      <c r="L33" s="102" t="n">
        <f aca="false">3_Calc_From_Gross!DJ35</f>
        <v>0.2375</v>
      </c>
      <c r="M33" s="102" t="n">
        <f aca="false">3_Calc_From_Gross!DY35</f>
        <v>0.0225</v>
      </c>
    </row>
    <row r="34" customFormat="false" ht="15" hidden="false" customHeight="false" outlineLevel="0" collapsed="false">
      <c r="A34" s="37" t="n">
        <v>31</v>
      </c>
      <c r="B34" s="32" t="s">
        <v>268</v>
      </c>
      <c r="C34" s="32" t="s">
        <v>269</v>
      </c>
      <c r="D34" s="62" t="s">
        <v>248</v>
      </c>
      <c r="E34" s="100" t="n">
        <f aca="false">3_Calc_From_Gross!I36</f>
        <v>0.025</v>
      </c>
      <c r="F34" s="101" t="n">
        <f aca="false">3_Calc_From_Gross!X36</f>
        <v>0.2038</v>
      </c>
      <c r="G34" s="101" t="n">
        <f aca="false">3_Calc_From_Gross!AM36</f>
        <v>0.15</v>
      </c>
      <c r="H34" s="101" t="n">
        <f aca="false">3_Calc_From_Gross!BB36</f>
        <v>0.11</v>
      </c>
      <c r="I34" s="101" t="n">
        <f aca="false">3_Calc_From_Gross!BQ36</f>
        <v>0.21</v>
      </c>
      <c r="J34" s="101" t="n">
        <f aca="false">3_Calc_From_Gross!CF36</f>
        <v>0.2</v>
      </c>
      <c r="K34" s="101" t="n">
        <f aca="false">3_Calc_From_Gross!CU36</f>
        <v>0.338</v>
      </c>
      <c r="L34" s="101" t="n">
        <f aca="false">3_Calc_From_Gross!DJ36</f>
        <v>0.2375</v>
      </c>
      <c r="M34" s="101" t="n">
        <f aca="false">3_Calc_From_Gross!DY36</f>
        <v>0.0225</v>
      </c>
    </row>
    <row r="35" customFormat="false" ht="15" hidden="false" customHeight="false" outlineLevel="0" collapsed="false">
      <c r="A35" s="41" t="n">
        <v>32</v>
      </c>
      <c r="B35" s="28" t="s">
        <v>268</v>
      </c>
      <c r="C35" s="8" t="s">
        <v>269</v>
      </c>
      <c r="D35" s="65" t="s">
        <v>249</v>
      </c>
      <c r="E35" s="100" t="n">
        <f aca="false">3_Calc_From_Gross!I37</f>
        <v>0.0109375</v>
      </c>
      <c r="F35" s="102" t="n">
        <f aca="false">3_Calc_From_Gross!X37</f>
        <v>0.2038</v>
      </c>
      <c r="G35" s="102" t="n">
        <f aca="false">3_Calc_From_Gross!AM37</f>
        <v>0.15</v>
      </c>
      <c r="H35" s="102" t="n">
        <f aca="false">3_Calc_From_Gross!BB37</f>
        <v>0.11</v>
      </c>
      <c r="I35" s="102" t="n">
        <f aca="false">3_Calc_From_Gross!BQ37</f>
        <v>0.21</v>
      </c>
      <c r="J35" s="102" t="n">
        <f aca="false">3_Calc_From_Gross!CF37</f>
        <v>0.2</v>
      </c>
      <c r="K35" s="102" t="n">
        <f aca="false">3_Calc_From_Gross!CU37</f>
        <v>0.338</v>
      </c>
      <c r="L35" s="102" t="n">
        <f aca="false">3_Calc_From_Gross!DJ37</f>
        <v>0.2375</v>
      </c>
      <c r="M35" s="102" t="n">
        <f aca="false">3_Calc_From_Gross!DY37</f>
        <v>0.0225</v>
      </c>
    </row>
    <row r="36" customFormat="false" ht="15" hidden="false" customHeight="false" outlineLevel="0" collapsed="false">
      <c r="A36" s="37" t="n">
        <v>33</v>
      </c>
      <c r="B36" s="32" t="s">
        <v>270</v>
      </c>
      <c r="C36" s="32" t="s">
        <v>271</v>
      </c>
      <c r="D36" s="62" t="s">
        <v>248</v>
      </c>
      <c r="E36" s="100" t="n">
        <f aca="false">3_Calc_From_Gross!I38</f>
        <v>0.0304347826086957</v>
      </c>
      <c r="F36" s="101" t="n">
        <f aca="false">3_Calc_From_Gross!X38</f>
        <v>0.2038</v>
      </c>
      <c r="G36" s="101" t="n">
        <f aca="false">3_Calc_From_Gross!AM38</f>
        <v>0.15</v>
      </c>
      <c r="H36" s="101" t="n">
        <f aca="false">3_Calc_From_Gross!BB38</f>
        <v>0.11</v>
      </c>
      <c r="I36" s="101" t="n">
        <f aca="false">3_Calc_From_Gross!BQ38</f>
        <v>0.21</v>
      </c>
      <c r="J36" s="101" t="n">
        <f aca="false">3_Calc_From_Gross!CF38</f>
        <v>0.2</v>
      </c>
      <c r="K36" s="101" t="n">
        <f aca="false">3_Calc_From_Gross!CU38</f>
        <v>0.338</v>
      </c>
      <c r="L36" s="101" t="n">
        <f aca="false">3_Calc_From_Gross!DJ38</f>
        <v>0.2375</v>
      </c>
      <c r="M36" s="101" t="n">
        <f aca="false">3_Calc_From_Gross!DY38</f>
        <v>0.0225</v>
      </c>
    </row>
    <row r="37" customFormat="false" ht="15" hidden="false" customHeight="false" outlineLevel="0" collapsed="false">
      <c r="A37" s="41" t="n">
        <v>34</v>
      </c>
      <c r="B37" s="28" t="s">
        <v>270</v>
      </c>
      <c r="C37" s="8" t="s">
        <v>271</v>
      </c>
      <c r="D37" s="65" t="s">
        <v>249</v>
      </c>
      <c r="E37" s="100" t="n">
        <f aca="false">3_Calc_From_Gross!I39</f>
        <v>0.0127272727272727</v>
      </c>
      <c r="F37" s="102" t="n">
        <f aca="false">3_Calc_From_Gross!X39</f>
        <v>0.2038</v>
      </c>
      <c r="G37" s="102" t="n">
        <f aca="false">3_Calc_From_Gross!AM39</f>
        <v>0.15</v>
      </c>
      <c r="H37" s="102" t="n">
        <f aca="false">3_Calc_From_Gross!BB39</f>
        <v>0.11</v>
      </c>
      <c r="I37" s="102" t="n">
        <f aca="false">3_Calc_From_Gross!BQ39</f>
        <v>0.21</v>
      </c>
      <c r="J37" s="102" t="n">
        <f aca="false">3_Calc_From_Gross!CF39</f>
        <v>0.2</v>
      </c>
      <c r="K37" s="102" t="n">
        <f aca="false">3_Calc_From_Gross!CU39</f>
        <v>0.338</v>
      </c>
      <c r="L37" s="102" t="n">
        <f aca="false">3_Calc_From_Gross!DJ39</f>
        <v>0.2375</v>
      </c>
      <c r="M37" s="102" t="n">
        <f aca="false">3_Calc_From_Gross!DY39</f>
        <v>0.0225</v>
      </c>
    </row>
    <row r="38" customFormat="false" ht="15" hidden="false" customHeight="false" outlineLevel="0" collapsed="false">
      <c r="A38" s="37" t="n">
        <v>35</v>
      </c>
      <c r="B38" s="32" t="s">
        <v>272</v>
      </c>
      <c r="C38" s="32" t="s">
        <v>273</v>
      </c>
      <c r="D38" s="62" t="s">
        <v>248</v>
      </c>
      <c r="E38" s="100" t="n">
        <f aca="false">3_Calc_From_Gross!I40</f>
        <v>0.0233333333333333</v>
      </c>
      <c r="F38" s="101" t="n">
        <f aca="false">3_Calc_From_Gross!X40</f>
        <v>0.2038</v>
      </c>
      <c r="G38" s="101" t="n">
        <f aca="false">3_Calc_From_Gross!AM40</f>
        <v>0.15</v>
      </c>
      <c r="H38" s="101" t="n">
        <f aca="false">3_Calc_From_Gross!BB40</f>
        <v>0.11</v>
      </c>
      <c r="I38" s="101" t="n">
        <f aca="false">3_Calc_From_Gross!BQ40</f>
        <v>0.21</v>
      </c>
      <c r="J38" s="101" t="n">
        <f aca="false">3_Calc_From_Gross!CF40</f>
        <v>0.2</v>
      </c>
      <c r="K38" s="101" t="n">
        <f aca="false">3_Calc_From_Gross!CU40</f>
        <v>0.338</v>
      </c>
      <c r="L38" s="101" t="n">
        <f aca="false">3_Calc_From_Gross!DJ40</f>
        <v>0.2375</v>
      </c>
      <c r="M38" s="101" t="n">
        <f aca="false">3_Calc_From_Gross!DY40</f>
        <v>0.0225</v>
      </c>
    </row>
    <row r="39" customFormat="false" ht="15" hidden="false" customHeight="false" outlineLevel="0" collapsed="false">
      <c r="A39" s="41" t="n">
        <v>36</v>
      </c>
      <c r="B39" s="28" t="s">
        <v>272</v>
      </c>
      <c r="C39" s="8" t="s">
        <v>273</v>
      </c>
      <c r="D39" s="65" t="s">
        <v>249</v>
      </c>
      <c r="E39" s="100" t="n">
        <f aca="false">3_Calc_From_Gross!I41</f>
        <v>0.00823529411764706</v>
      </c>
      <c r="F39" s="102" t="n">
        <f aca="false">3_Calc_From_Gross!X41</f>
        <v>0.2038</v>
      </c>
      <c r="G39" s="102" t="n">
        <f aca="false">3_Calc_From_Gross!AM41</f>
        <v>0.15</v>
      </c>
      <c r="H39" s="102" t="n">
        <f aca="false">3_Calc_From_Gross!BB41</f>
        <v>0.11</v>
      </c>
      <c r="I39" s="102" t="n">
        <f aca="false">3_Calc_From_Gross!BQ41</f>
        <v>0.21</v>
      </c>
      <c r="J39" s="102" t="n">
        <f aca="false">3_Calc_From_Gross!CF41</f>
        <v>0.2</v>
      </c>
      <c r="K39" s="102" t="n">
        <f aca="false">3_Calc_From_Gross!CU41</f>
        <v>0.338</v>
      </c>
      <c r="L39" s="102" t="n">
        <f aca="false">3_Calc_From_Gross!DJ41</f>
        <v>0.2375</v>
      </c>
      <c r="M39" s="102" t="n">
        <f aca="false">3_Calc_From_Gross!DY41</f>
        <v>0.0225</v>
      </c>
    </row>
    <row r="40" customFormat="false" ht="15" hidden="false" customHeight="false" outlineLevel="0" collapsed="false">
      <c r="A40" s="37" t="n">
        <v>37</v>
      </c>
      <c r="B40" s="32" t="s">
        <v>272</v>
      </c>
      <c r="C40" s="32" t="s">
        <v>274</v>
      </c>
      <c r="D40" s="62" t="s">
        <v>248</v>
      </c>
      <c r="E40" s="100" t="n">
        <f aca="false">3_Calc_From_Gross!I42</f>
        <v>0.028</v>
      </c>
      <c r="F40" s="101" t="n">
        <f aca="false">3_Calc_From_Gross!X42</f>
        <v>0.2038</v>
      </c>
      <c r="G40" s="101" t="n">
        <f aca="false">3_Calc_From_Gross!AM42</f>
        <v>0.15</v>
      </c>
      <c r="H40" s="101" t="n">
        <f aca="false">3_Calc_From_Gross!BB42</f>
        <v>0.11</v>
      </c>
      <c r="I40" s="101" t="n">
        <f aca="false">3_Calc_From_Gross!BQ42</f>
        <v>0.21</v>
      </c>
      <c r="J40" s="101" t="n">
        <f aca="false">3_Calc_From_Gross!CF42</f>
        <v>0.2</v>
      </c>
      <c r="K40" s="101" t="n">
        <f aca="false">3_Calc_From_Gross!CU42</f>
        <v>0.338</v>
      </c>
      <c r="L40" s="101" t="n">
        <f aca="false">3_Calc_From_Gross!DJ42</f>
        <v>0.2375</v>
      </c>
      <c r="M40" s="101" t="n">
        <f aca="false">3_Calc_From_Gross!DY42</f>
        <v>0.0225</v>
      </c>
    </row>
    <row r="41" customFormat="false" ht="15" hidden="false" customHeight="false" outlineLevel="0" collapsed="false">
      <c r="A41" s="41" t="n">
        <v>38</v>
      </c>
      <c r="B41" s="28" t="s">
        <v>272</v>
      </c>
      <c r="C41" s="8" t="s">
        <v>274</v>
      </c>
      <c r="D41" s="65" t="s">
        <v>249</v>
      </c>
      <c r="E41" s="100" t="n">
        <f aca="false">3_Calc_From_Gross!I43</f>
        <v>0.00875</v>
      </c>
      <c r="F41" s="102" t="n">
        <f aca="false">3_Calc_From_Gross!X43</f>
        <v>0.2038</v>
      </c>
      <c r="G41" s="102" t="n">
        <f aca="false">3_Calc_From_Gross!AM43</f>
        <v>0.15</v>
      </c>
      <c r="H41" s="102" t="n">
        <f aca="false">3_Calc_From_Gross!BB43</f>
        <v>0.11</v>
      </c>
      <c r="I41" s="102" t="n">
        <f aca="false">3_Calc_From_Gross!BQ43</f>
        <v>0.21</v>
      </c>
      <c r="J41" s="102" t="n">
        <f aca="false">3_Calc_From_Gross!CF43</f>
        <v>0.2</v>
      </c>
      <c r="K41" s="102" t="n">
        <f aca="false">3_Calc_From_Gross!CU43</f>
        <v>0.338</v>
      </c>
      <c r="L41" s="102" t="n">
        <f aca="false">3_Calc_From_Gross!DJ43</f>
        <v>0.2375</v>
      </c>
      <c r="M41" s="102" t="n">
        <f aca="false">3_Calc_From_Gross!DY43</f>
        <v>0.0225</v>
      </c>
    </row>
    <row r="42" customFormat="false" ht="15" hidden="false" customHeight="false" outlineLevel="0" collapsed="false">
      <c r="A42" s="37" t="n">
        <v>39</v>
      </c>
      <c r="B42" s="32" t="s">
        <v>272</v>
      </c>
      <c r="C42" s="32" t="s">
        <v>275</v>
      </c>
      <c r="D42" s="62" t="s">
        <v>248</v>
      </c>
      <c r="E42" s="100" t="n">
        <f aca="false">3_Calc_From_Gross!I44</f>
        <v>0.028</v>
      </c>
      <c r="F42" s="101" t="n">
        <f aca="false">3_Calc_From_Gross!X44</f>
        <v>0.2038</v>
      </c>
      <c r="G42" s="101" t="n">
        <f aca="false">3_Calc_From_Gross!AM44</f>
        <v>0.15</v>
      </c>
      <c r="H42" s="101" t="n">
        <f aca="false">3_Calc_From_Gross!BB44</f>
        <v>0.11</v>
      </c>
      <c r="I42" s="101" t="n">
        <f aca="false">3_Calc_From_Gross!BQ44</f>
        <v>0.21</v>
      </c>
      <c r="J42" s="101" t="n">
        <f aca="false">3_Calc_From_Gross!CF44</f>
        <v>0.2</v>
      </c>
      <c r="K42" s="101" t="n">
        <f aca="false">3_Calc_From_Gross!CU44</f>
        <v>0.338</v>
      </c>
      <c r="L42" s="101" t="n">
        <f aca="false">3_Calc_From_Gross!DJ44</f>
        <v>0.2375</v>
      </c>
      <c r="M42" s="101" t="n">
        <f aca="false">3_Calc_From_Gross!DY44</f>
        <v>0.0225</v>
      </c>
    </row>
    <row r="43" customFormat="false" ht="15" hidden="false" customHeight="false" outlineLevel="0" collapsed="false">
      <c r="A43" s="41" t="n">
        <v>40</v>
      </c>
      <c r="B43" s="28" t="s">
        <v>272</v>
      </c>
      <c r="C43" s="8" t="s">
        <v>275</v>
      </c>
      <c r="D43" s="65" t="s">
        <v>249</v>
      </c>
      <c r="E43" s="100" t="n">
        <f aca="false">3_Calc_From_Gross!I45</f>
        <v>0.00823529411764706</v>
      </c>
      <c r="F43" s="102" t="n">
        <f aca="false">3_Calc_From_Gross!X45</f>
        <v>0.2038</v>
      </c>
      <c r="G43" s="102" t="n">
        <f aca="false">3_Calc_From_Gross!AM45</f>
        <v>0.15</v>
      </c>
      <c r="H43" s="102" t="n">
        <f aca="false">3_Calc_From_Gross!BB45</f>
        <v>0.11</v>
      </c>
      <c r="I43" s="102" t="n">
        <f aca="false">3_Calc_From_Gross!BQ45</f>
        <v>0.21</v>
      </c>
      <c r="J43" s="102" t="n">
        <f aca="false">3_Calc_From_Gross!CF45</f>
        <v>0.2</v>
      </c>
      <c r="K43" s="102" t="n">
        <f aca="false">3_Calc_From_Gross!CU45</f>
        <v>0.338</v>
      </c>
      <c r="L43" s="102" t="n">
        <f aca="false">3_Calc_From_Gross!DJ45</f>
        <v>0.2375</v>
      </c>
      <c r="M43" s="102" t="n">
        <f aca="false">3_Calc_From_Gross!DY45</f>
        <v>0.0225</v>
      </c>
    </row>
    <row r="44" customFormat="false" ht="15" hidden="false" customHeight="false" outlineLevel="0" collapsed="false">
      <c r="A44" s="37" t="n">
        <v>41</v>
      </c>
      <c r="B44" s="32" t="s">
        <v>276</v>
      </c>
      <c r="C44" s="32" t="s">
        <v>277</v>
      </c>
      <c r="D44" s="62" t="s">
        <v>248</v>
      </c>
      <c r="E44" s="100" t="n">
        <f aca="false">3_Calc_From_Gross!I46</f>
        <v>0.0175</v>
      </c>
      <c r="F44" s="101" t="n">
        <f aca="false">3_Calc_From_Gross!X46</f>
        <v>0.2038</v>
      </c>
      <c r="G44" s="101" t="n">
        <f aca="false">3_Calc_From_Gross!AM46</f>
        <v>0.15</v>
      </c>
      <c r="H44" s="101" t="n">
        <f aca="false">3_Calc_From_Gross!BB46</f>
        <v>0.11</v>
      </c>
      <c r="I44" s="101" t="n">
        <f aca="false">3_Calc_From_Gross!BQ46</f>
        <v>0.21</v>
      </c>
      <c r="J44" s="101" t="n">
        <f aca="false">3_Calc_From_Gross!CF46</f>
        <v>0.2</v>
      </c>
      <c r="K44" s="101" t="n">
        <f aca="false">3_Calc_From_Gross!CU46</f>
        <v>0.338</v>
      </c>
      <c r="L44" s="101" t="n">
        <f aca="false">3_Calc_From_Gross!DJ46</f>
        <v>0.2375</v>
      </c>
      <c r="M44" s="101" t="n">
        <f aca="false">3_Calc_From_Gross!DY46</f>
        <v>0.0225</v>
      </c>
    </row>
    <row r="45" customFormat="false" ht="15" hidden="false" customHeight="false" outlineLevel="0" collapsed="false">
      <c r="A45" s="41" t="n">
        <v>42</v>
      </c>
      <c r="B45" s="28" t="s">
        <v>276</v>
      </c>
      <c r="C45" s="8" t="s">
        <v>277</v>
      </c>
      <c r="D45" s="65" t="s">
        <v>249</v>
      </c>
      <c r="E45" s="100" t="n">
        <f aca="false">3_Calc_From_Gross!I47</f>
        <v>0.00636363636363636</v>
      </c>
      <c r="F45" s="102" t="n">
        <f aca="false">3_Calc_From_Gross!X47</f>
        <v>0.2038</v>
      </c>
      <c r="G45" s="102" t="n">
        <f aca="false">3_Calc_From_Gross!AM47</f>
        <v>0.15</v>
      </c>
      <c r="H45" s="102" t="n">
        <f aca="false">3_Calc_From_Gross!BB47</f>
        <v>0.11</v>
      </c>
      <c r="I45" s="102" t="n">
        <f aca="false">3_Calc_From_Gross!BQ47</f>
        <v>0.21</v>
      </c>
      <c r="J45" s="102" t="n">
        <f aca="false">3_Calc_From_Gross!CF47</f>
        <v>0.2</v>
      </c>
      <c r="K45" s="102" t="n">
        <f aca="false">3_Calc_From_Gross!CU47</f>
        <v>0.338</v>
      </c>
      <c r="L45" s="102" t="n">
        <f aca="false">3_Calc_From_Gross!DJ47</f>
        <v>0.2375</v>
      </c>
      <c r="M45" s="102" t="n">
        <f aca="false">3_Calc_From_Gross!DY47</f>
        <v>0.0225</v>
      </c>
    </row>
    <row r="46" customFormat="false" ht="15" hidden="false" customHeight="false" outlineLevel="0" collapsed="false">
      <c r="A46" s="37" t="n">
        <v>43</v>
      </c>
      <c r="B46" s="32" t="s">
        <v>278</v>
      </c>
      <c r="C46" s="32" t="s">
        <v>279</v>
      </c>
      <c r="D46" s="62" t="s">
        <v>248</v>
      </c>
      <c r="E46" s="100" t="n">
        <f aca="false">3_Calc_From_Gross!I48</f>
        <v>0.0186666666666667</v>
      </c>
      <c r="F46" s="101" t="n">
        <f aca="false">3_Calc_From_Gross!X48</f>
        <v>0.2038</v>
      </c>
      <c r="G46" s="101" t="n">
        <f aca="false">3_Calc_From_Gross!AM48</f>
        <v>0.15</v>
      </c>
      <c r="H46" s="101" t="n">
        <f aca="false">3_Calc_From_Gross!BB48</f>
        <v>0.11</v>
      </c>
      <c r="I46" s="101" t="n">
        <f aca="false">3_Calc_From_Gross!BQ48</f>
        <v>0.21</v>
      </c>
      <c r="J46" s="101" t="n">
        <f aca="false">3_Calc_From_Gross!CF48</f>
        <v>0.2</v>
      </c>
      <c r="K46" s="101" t="n">
        <f aca="false">3_Calc_From_Gross!CU48</f>
        <v>0.338</v>
      </c>
      <c r="L46" s="101" t="n">
        <f aca="false">3_Calc_From_Gross!DJ48</f>
        <v>0.2375</v>
      </c>
      <c r="M46" s="101" t="n">
        <f aca="false">3_Calc_From_Gross!DY48</f>
        <v>0.0225</v>
      </c>
    </row>
    <row r="47" customFormat="false" ht="15" hidden="false" customHeight="false" outlineLevel="0" collapsed="false">
      <c r="A47" s="41" t="n">
        <v>44</v>
      </c>
      <c r="B47" s="28" t="s">
        <v>278</v>
      </c>
      <c r="C47" s="8" t="s">
        <v>279</v>
      </c>
      <c r="D47" s="65" t="s">
        <v>249</v>
      </c>
      <c r="E47" s="100" t="n">
        <f aca="false">3_Calc_From_Gross!I49</f>
        <v>0.00760869565217391</v>
      </c>
      <c r="F47" s="102" t="n">
        <f aca="false">3_Calc_From_Gross!X49</f>
        <v>0.2038</v>
      </c>
      <c r="G47" s="102" t="n">
        <f aca="false">3_Calc_From_Gross!AM49</f>
        <v>0.15</v>
      </c>
      <c r="H47" s="102" t="n">
        <f aca="false">3_Calc_From_Gross!BB49</f>
        <v>0.11</v>
      </c>
      <c r="I47" s="102" t="n">
        <f aca="false">3_Calc_From_Gross!BQ49</f>
        <v>0.21</v>
      </c>
      <c r="J47" s="102" t="n">
        <f aca="false">3_Calc_From_Gross!CF49</f>
        <v>0.2</v>
      </c>
      <c r="K47" s="102" t="n">
        <f aca="false">3_Calc_From_Gross!CU49</f>
        <v>0.338</v>
      </c>
      <c r="L47" s="102" t="n">
        <f aca="false">3_Calc_From_Gross!DJ49</f>
        <v>0.2375</v>
      </c>
      <c r="M47" s="102" t="n">
        <f aca="false">3_Calc_From_Gross!DY49</f>
        <v>0.0225</v>
      </c>
    </row>
    <row r="48" customFormat="false" ht="15" hidden="false" customHeight="false" outlineLevel="0" collapsed="false">
      <c r="A48" s="37" t="n">
        <v>45</v>
      </c>
      <c r="B48" s="32" t="s">
        <v>280</v>
      </c>
      <c r="C48" s="32" t="s">
        <v>281</v>
      </c>
      <c r="D48" s="62" t="s">
        <v>248</v>
      </c>
      <c r="E48" s="100" t="n">
        <f aca="false">3_Calc_From_Gross!I50</f>
        <v>0.0202898550724638</v>
      </c>
      <c r="F48" s="101" t="n">
        <f aca="false">3_Calc_From_Gross!X50</f>
        <v>0.2038</v>
      </c>
      <c r="G48" s="101" t="n">
        <f aca="false">3_Calc_From_Gross!AM50</f>
        <v>0.15</v>
      </c>
      <c r="H48" s="101" t="n">
        <f aca="false">3_Calc_From_Gross!BB50</f>
        <v>0.11</v>
      </c>
      <c r="I48" s="101" t="n">
        <f aca="false">3_Calc_From_Gross!BQ50</f>
        <v>0.21</v>
      </c>
      <c r="J48" s="101" t="n">
        <f aca="false">3_Calc_From_Gross!CF50</f>
        <v>0.2</v>
      </c>
      <c r="K48" s="101" t="n">
        <f aca="false">3_Calc_From_Gross!CU50</f>
        <v>0.338</v>
      </c>
      <c r="L48" s="101" t="n">
        <f aca="false">3_Calc_From_Gross!DJ50</f>
        <v>0.2375</v>
      </c>
      <c r="M48" s="101" t="n">
        <f aca="false">3_Calc_From_Gross!DY50</f>
        <v>0.0225</v>
      </c>
    </row>
    <row r="49" customFormat="false" ht="15" hidden="false" customHeight="false" outlineLevel="0" collapsed="false">
      <c r="A49" s="41" t="n">
        <v>46</v>
      </c>
      <c r="B49" s="28" t="s">
        <v>280</v>
      </c>
      <c r="C49" s="8" t="s">
        <v>281</v>
      </c>
      <c r="D49" s="65" t="s">
        <v>249</v>
      </c>
      <c r="E49" s="100" t="n">
        <f aca="false">3_Calc_From_Gross!I51</f>
        <v>0.00823529411764706</v>
      </c>
      <c r="F49" s="102" t="n">
        <f aca="false">3_Calc_From_Gross!X51</f>
        <v>0.2038</v>
      </c>
      <c r="G49" s="102" t="n">
        <f aca="false">3_Calc_From_Gross!AM51</f>
        <v>0.15</v>
      </c>
      <c r="H49" s="102" t="n">
        <f aca="false">3_Calc_From_Gross!BB51</f>
        <v>0.11</v>
      </c>
      <c r="I49" s="102" t="n">
        <f aca="false">3_Calc_From_Gross!BQ51</f>
        <v>0.21</v>
      </c>
      <c r="J49" s="102" t="n">
        <f aca="false">3_Calc_From_Gross!CF51</f>
        <v>0.2</v>
      </c>
      <c r="K49" s="102" t="n">
        <f aca="false">3_Calc_From_Gross!CU51</f>
        <v>0.338</v>
      </c>
      <c r="L49" s="102" t="n">
        <f aca="false">3_Calc_From_Gross!DJ51</f>
        <v>0.2375</v>
      </c>
      <c r="M49" s="102" t="n">
        <f aca="false">3_Calc_From_Gross!DY51</f>
        <v>0.0225</v>
      </c>
    </row>
    <row r="50" customFormat="false" ht="18" hidden="false" customHeight="true" outlineLevel="0" collapsed="false">
      <c r="A50" s="98" t="s">
        <v>955</v>
      </c>
      <c r="B50" s="98"/>
      <c r="C50" s="98"/>
      <c r="D50" s="98"/>
      <c r="E50" s="103" t="n">
        <f aca="false">AVERAGE(E4:E49)</f>
        <v>0.0162132848999238</v>
      </c>
      <c r="F50" s="103" t="n">
        <f aca="false">AVERAGE(F4:F49)</f>
        <v>0.2038</v>
      </c>
      <c r="G50" s="103" t="n">
        <f aca="false">AVERAGE(G4:G49)</f>
        <v>0.15</v>
      </c>
      <c r="H50" s="103" t="n">
        <f aca="false">AVERAGE(H4:H49)</f>
        <v>0.11</v>
      </c>
      <c r="I50" s="103" t="n">
        <f aca="false">AVERAGE(I4:I49)</f>
        <v>0.21</v>
      </c>
      <c r="J50" s="103" t="n">
        <f aca="false">AVERAGE(J4:J49)</f>
        <v>0.2</v>
      </c>
      <c r="K50" s="103" t="n">
        <f aca="false">AVERAGE(K4:K49)</f>
        <v>0.338</v>
      </c>
      <c r="L50" s="103" t="n">
        <f aca="false">AVERAGE(L4:L49)</f>
        <v>0.2375</v>
      </c>
      <c r="M50" s="103" t="n">
        <f aca="false">AVERAGE(M4:M49)</f>
        <v>0.0225</v>
      </c>
    </row>
  </sheetData>
  <mergeCells count="3">
    <mergeCell ref="A1:M1"/>
    <mergeCell ref="A2:M2"/>
    <mergeCell ref="A50:D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"/>
    <col collapsed="false" customWidth="true" hidden="false" outlineLevel="0" max="3" min="3" style="1" width="18"/>
    <col collapsed="false" customWidth="true" hidden="false" outlineLevel="0" max="4" min="4" style="1" width="9"/>
    <col collapsed="false" customWidth="true" hidden="false" outlineLevel="0" max="13" min="5" style="1" width="13"/>
  </cols>
  <sheetData>
    <row r="1" customFormat="false" ht="25.5" hidden="false" customHeight="true" outlineLevel="0" collapsed="false">
      <c r="A1" s="35" t="s">
        <v>982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customFormat="false" ht="15" hidden="false" customHeight="true" outlineLevel="0" collapsed="false">
      <c r="A2" s="44" t="s">
        <v>983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customFormat="false" ht="31.5" hidden="false" customHeight="true" outlineLevel="0" collapsed="false">
      <c r="A3" s="14" t="s">
        <v>233</v>
      </c>
      <c r="B3" s="14" t="s">
        <v>284</v>
      </c>
      <c r="C3" s="14" t="s">
        <v>235</v>
      </c>
      <c r="D3" s="14" t="s">
        <v>236</v>
      </c>
      <c r="E3" s="49" t="s">
        <v>946</v>
      </c>
      <c r="F3" s="45" t="s">
        <v>947</v>
      </c>
      <c r="G3" s="45" t="s">
        <v>948</v>
      </c>
      <c r="H3" s="45" t="s">
        <v>949</v>
      </c>
      <c r="I3" s="45" t="s">
        <v>950</v>
      </c>
      <c r="J3" s="45" t="s">
        <v>951</v>
      </c>
      <c r="K3" s="45" t="s">
        <v>952</v>
      </c>
      <c r="L3" s="45" t="s">
        <v>953</v>
      </c>
      <c r="M3" s="45" t="s">
        <v>954</v>
      </c>
    </row>
    <row r="4" customFormat="false" ht="15" hidden="false" customHeight="false" outlineLevel="0" collapsed="false">
      <c r="A4" s="37" t="n">
        <v>1</v>
      </c>
      <c r="B4" s="32" t="s">
        <v>246</v>
      </c>
      <c r="C4" s="32" t="s">
        <v>247</v>
      </c>
      <c r="D4" s="62" t="s">
        <v>248</v>
      </c>
      <c r="E4" s="63" t="n">
        <f aca="false">3_Calc_From_Gross!H6</f>
        <v>1535</v>
      </c>
      <c r="F4" s="57" t="n">
        <f aca="false">3_Calc_From_Gross!W6</f>
        <v>4604.535</v>
      </c>
      <c r="G4" s="57" t="n">
        <f aca="false">3_Calc_From_Gross!AL6</f>
        <v>6085.8</v>
      </c>
      <c r="H4" s="57" t="n">
        <f aca="false">3_Calc_From_Gross!BA6</f>
        <v>12210</v>
      </c>
      <c r="I4" s="57" t="n">
        <f aca="false">3_Calc_From_Gross!BP6</f>
        <v>6928.46</v>
      </c>
      <c r="J4" s="57" t="n">
        <f aca="false">3_Calc_From_Gross!CE6</f>
        <v>7684.8</v>
      </c>
      <c r="K4" s="57" t="n">
        <f aca="false">3_Calc_From_Gross!CT6</f>
        <v>4141.11</v>
      </c>
      <c r="L4" s="57" t="n">
        <f aca="false">3_Calc_From_Gross!DI6</f>
        <v>4894.3125</v>
      </c>
      <c r="M4" s="57" t="n">
        <f aca="false">3_Calc_From_Gross!DX6</f>
        <v>2556.25</v>
      </c>
    </row>
    <row r="5" customFormat="false" ht="15" hidden="false" customHeight="false" outlineLevel="0" collapsed="false">
      <c r="A5" s="41" t="n">
        <v>2</v>
      </c>
      <c r="B5" s="28" t="s">
        <v>246</v>
      </c>
      <c r="C5" s="28" t="s">
        <v>250</v>
      </c>
      <c r="D5" s="65" t="s">
        <v>248</v>
      </c>
      <c r="E5" s="63" t="n">
        <f aca="false">3_Calc_From_Gross!H8</f>
        <v>1635</v>
      </c>
      <c r="F5" s="60" t="n">
        <f aca="false">3_Calc_From_Gross!W8</f>
        <v>4604.535</v>
      </c>
      <c r="G5" s="60" t="n">
        <f aca="false">3_Calc_From_Gross!AL8</f>
        <v>6085.8</v>
      </c>
      <c r="H5" s="60" t="n">
        <f aca="false">3_Calc_From_Gross!BA8</f>
        <v>12210</v>
      </c>
      <c r="I5" s="60" t="n">
        <f aca="false">3_Calc_From_Gross!BP8</f>
        <v>6836.5</v>
      </c>
      <c r="J5" s="60" t="n">
        <f aca="false">3_Calc_From_Gross!CE8</f>
        <v>7345.2</v>
      </c>
      <c r="K5" s="60" t="n">
        <f aca="false">3_Calc_From_Gross!CT8</f>
        <v>3927.03</v>
      </c>
      <c r="L5" s="60" t="n">
        <f aca="false">3_Calc_From_Gross!DI8</f>
        <v>4660.425</v>
      </c>
      <c r="M5" s="60" t="n">
        <f aca="false">3_Calc_From_Gross!DX8</f>
        <v>2556.25</v>
      </c>
    </row>
    <row r="6" customFormat="false" ht="15" hidden="false" customHeight="false" outlineLevel="0" collapsed="false">
      <c r="A6" s="37" t="n">
        <v>3</v>
      </c>
      <c r="B6" s="32" t="s">
        <v>246</v>
      </c>
      <c r="C6" s="32" t="s">
        <v>251</v>
      </c>
      <c r="D6" s="62" t="s">
        <v>248</v>
      </c>
      <c r="E6" s="63" t="n">
        <f aca="false">3_Calc_From_Gross!H10</f>
        <v>1523</v>
      </c>
      <c r="F6" s="57" t="n">
        <f aca="false">3_Calc_From_Gross!W10</f>
        <v>4604.535</v>
      </c>
      <c r="G6" s="57" t="n">
        <f aca="false">3_Calc_From_Gross!AL10</f>
        <v>6693</v>
      </c>
      <c r="H6" s="57" t="n">
        <f aca="false">3_Calc_From_Gross!BA10</f>
        <v>12765</v>
      </c>
      <c r="I6" s="57" t="n">
        <f aca="false">3_Calc_From_Gross!BP10</f>
        <v>6950.24</v>
      </c>
      <c r="J6" s="57" t="n">
        <f aca="false">3_Calc_From_Gross!CE10</f>
        <v>7458</v>
      </c>
      <c r="K6" s="57" t="n">
        <f aca="false">3_Calc_From_Gross!CT10</f>
        <v>3997.944</v>
      </c>
      <c r="L6" s="57" t="n">
        <f aca="false">3_Calc_From_Gross!DI10</f>
        <v>4894.3125</v>
      </c>
      <c r="M6" s="57" t="n">
        <f aca="false">3_Calc_From_Gross!DX10</f>
        <v>2556.25</v>
      </c>
    </row>
    <row r="7" customFormat="false" ht="15" hidden="false" customHeight="false" outlineLevel="0" collapsed="false">
      <c r="A7" s="41" t="n">
        <v>4</v>
      </c>
      <c r="B7" s="28" t="s">
        <v>246</v>
      </c>
      <c r="C7" s="28" t="s">
        <v>252</v>
      </c>
      <c r="D7" s="65" t="s">
        <v>248</v>
      </c>
      <c r="E7" s="63" t="n">
        <f aca="false">3_Calc_From_Gross!H12</f>
        <v>1535</v>
      </c>
      <c r="F7" s="60" t="n">
        <f aca="false">3_Calc_From_Gross!W12</f>
        <v>4604.535</v>
      </c>
      <c r="G7" s="60" t="n">
        <f aca="false">3_Calc_From_Gross!AL12</f>
        <v>6085.8</v>
      </c>
      <c r="H7" s="60" t="n">
        <f aca="false">3_Calc_From_Gross!BA12</f>
        <v>12210</v>
      </c>
      <c r="I7" s="60" t="n">
        <f aca="false">3_Calc_From_Gross!BP12</f>
        <v>6928.46</v>
      </c>
      <c r="J7" s="60" t="n">
        <f aca="false">3_Calc_From_Gross!CE12</f>
        <v>7684.8</v>
      </c>
      <c r="K7" s="60" t="n">
        <f aca="false">3_Calc_From_Gross!CT12</f>
        <v>4141.11</v>
      </c>
      <c r="L7" s="60" t="n">
        <f aca="false">3_Calc_From_Gross!DI12</f>
        <v>4894.3125</v>
      </c>
      <c r="M7" s="60" t="n">
        <f aca="false">3_Calc_From_Gross!DX12</f>
        <v>2556.25</v>
      </c>
    </row>
    <row r="8" customFormat="false" ht="15" hidden="false" customHeight="false" outlineLevel="0" collapsed="false">
      <c r="A8" s="37" t="n">
        <v>5</v>
      </c>
      <c r="B8" s="32" t="s">
        <v>253</v>
      </c>
      <c r="C8" s="32" t="s">
        <v>254</v>
      </c>
      <c r="D8" s="62" t="s">
        <v>248</v>
      </c>
      <c r="E8" s="63" t="n">
        <f aca="false">3_Calc_From_Gross!H14</f>
        <v>1535</v>
      </c>
      <c r="F8" s="57" t="n">
        <f aca="false">3_Calc_From_Gross!W14</f>
        <v>4604.535</v>
      </c>
      <c r="G8" s="57" t="n">
        <f aca="false">3_Calc_From_Gross!AL14</f>
        <v>6085.8</v>
      </c>
      <c r="H8" s="57" t="n">
        <f aca="false">3_Calc_From_Gross!BA14</f>
        <v>12765</v>
      </c>
      <c r="I8" s="57" t="n">
        <f aca="false">3_Calc_From_Gross!BP14</f>
        <v>6928.46</v>
      </c>
      <c r="J8" s="57" t="n">
        <f aca="false">3_Calc_From_Gross!CE14</f>
        <v>7684.8</v>
      </c>
      <c r="K8" s="57" t="n">
        <f aca="false">3_Calc_From_Gross!CT14</f>
        <v>4141.11</v>
      </c>
      <c r="L8" s="57" t="n">
        <f aca="false">3_Calc_From_Gross!DI14</f>
        <v>4894.3125</v>
      </c>
      <c r="M8" s="57" t="n">
        <f aca="false">3_Calc_From_Gross!DX14</f>
        <v>2556.25</v>
      </c>
    </row>
    <row r="9" customFormat="false" ht="15" hidden="false" customHeight="false" outlineLevel="0" collapsed="false">
      <c r="A9" s="41" t="n">
        <v>6</v>
      </c>
      <c r="B9" s="28" t="s">
        <v>253</v>
      </c>
      <c r="C9" s="28" t="s">
        <v>255</v>
      </c>
      <c r="D9" s="65" t="s">
        <v>248</v>
      </c>
      <c r="E9" s="63" t="n">
        <f aca="false">3_Calc_From_Gross!H16</f>
        <v>1635</v>
      </c>
      <c r="F9" s="60" t="n">
        <f aca="false">3_Calc_From_Gross!W16</f>
        <v>4297.566</v>
      </c>
      <c r="G9" s="60" t="n">
        <f aca="false">3_Calc_From_Gross!AL16</f>
        <v>5477.45</v>
      </c>
      <c r="H9" s="60" t="n">
        <f aca="false">3_Calc_From_Gross!BA16</f>
        <v>12210</v>
      </c>
      <c r="I9" s="60" t="n">
        <f aca="false">3_Calc_From_Gross!BP16</f>
        <v>6722.76</v>
      </c>
      <c r="J9" s="60" t="n">
        <f aca="false">3_Calc_From_Gross!CE16</f>
        <v>7345.2</v>
      </c>
      <c r="K9" s="60" t="n">
        <f aca="false">3_Calc_From_Gross!CT16</f>
        <v>3854.778</v>
      </c>
      <c r="L9" s="60" t="n">
        <f aca="false">3_Calc_From_Gross!DI16</f>
        <v>4660.425</v>
      </c>
      <c r="M9" s="60" t="n">
        <f aca="false">3_Calc_From_Gross!DX16</f>
        <v>2385.4925</v>
      </c>
    </row>
    <row r="10" customFormat="false" ht="15" hidden="false" customHeight="false" outlineLevel="0" collapsed="false">
      <c r="A10" s="37" t="n">
        <v>7</v>
      </c>
      <c r="B10" s="32" t="s">
        <v>253</v>
      </c>
      <c r="C10" s="32" t="s">
        <v>256</v>
      </c>
      <c r="D10" s="62" t="s">
        <v>248</v>
      </c>
      <c r="E10" s="63" t="n">
        <f aca="false">3_Calc_From_Gross!H18</f>
        <v>1285</v>
      </c>
      <c r="F10" s="57" t="n">
        <f aca="false">3_Calc_From_Gross!W18</f>
        <v>3990.597</v>
      </c>
      <c r="G10" s="57" t="n">
        <f aca="false">3_Calc_From_Gross!AL18</f>
        <v>5172.7</v>
      </c>
      <c r="H10" s="57" t="n">
        <f aca="false">3_Calc_From_Gross!BA18</f>
        <v>9990</v>
      </c>
      <c r="I10" s="57" t="n">
        <f aca="false">3_Calc_From_Gross!BP18</f>
        <v>6039.11</v>
      </c>
      <c r="J10" s="57" t="n">
        <f aca="false">3_Calc_From_Gross!CE18</f>
        <v>6553.2</v>
      </c>
      <c r="K10" s="57" t="n">
        <f aca="false">3_Calc_From_Gross!CT18</f>
        <v>3426.618</v>
      </c>
      <c r="L10" s="57" t="n">
        <f aca="false">3_Calc_From_Gross!DI18</f>
        <v>4195.125</v>
      </c>
      <c r="M10" s="57" t="n">
        <f aca="false">3_Calc_From_Gross!DX18</f>
        <v>2129.8675</v>
      </c>
    </row>
    <row r="11" customFormat="false" ht="15" hidden="false" customHeight="false" outlineLevel="0" collapsed="false">
      <c r="A11" s="41" t="n">
        <v>8</v>
      </c>
      <c r="B11" s="28" t="s">
        <v>253</v>
      </c>
      <c r="C11" s="28" t="s">
        <v>257</v>
      </c>
      <c r="D11" s="65" t="s">
        <v>248</v>
      </c>
      <c r="E11" s="63" t="n">
        <f aca="false">3_Calc_From_Gross!H20</f>
        <v>1485</v>
      </c>
      <c r="F11" s="60" t="n">
        <f aca="false">3_Calc_From_Gross!W20</f>
        <v>4451.6524</v>
      </c>
      <c r="G11" s="60" t="n">
        <f aca="false">3_Calc_From_Gross!AL20</f>
        <v>6085.8</v>
      </c>
      <c r="H11" s="60" t="n">
        <f aca="false">3_Calc_From_Gross!BA20</f>
        <v>12210</v>
      </c>
      <c r="I11" s="60" t="n">
        <f aca="false">3_Calc_From_Gross!BP20</f>
        <v>6722.76</v>
      </c>
      <c r="J11" s="60" t="n">
        <f aca="false">3_Calc_From_Gross!CE20</f>
        <v>7231.2</v>
      </c>
      <c r="K11" s="60" t="n">
        <f aca="false">3_Calc_From_Gross!CT20</f>
        <v>3927.03</v>
      </c>
      <c r="L11" s="60" t="n">
        <f aca="false">3_Calc_From_Gross!DI20</f>
        <v>4660.425</v>
      </c>
      <c r="M11" s="60" t="n">
        <f aca="false">3_Calc_From_Gross!DX20</f>
        <v>2385.4925</v>
      </c>
    </row>
    <row r="12" customFormat="false" ht="15" hidden="false" customHeight="false" outlineLevel="0" collapsed="false">
      <c r="A12" s="37" t="n">
        <v>9</v>
      </c>
      <c r="B12" s="32" t="s">
        <v>253</v>
      </c>
      <c r="C12" s="32" t="s">
        <v>258</v>
      </c>
      <c r="D12" s="62" t="s">
        <v>248</v>
      </c>
      <c r="E12" s="63" t="n">
        <f aca="false">3_Calc_From_Gross!H22</f>
        <v>1523</v>
      </c>
      <c r="F12" s="57" t="n">
        <f aca="false">3_Calc_From_Gross!W22</f>
        <v>4451.6524</v>
      </c>
      <c r="G12" s="57" t="n">
        <f aca="false">3_Calc_From_Gross!AL22</f>
        <v>6693</v>
      </c>
      <c r="H12" s="57" t="n">
        <f aca="false">3_Calc_From_Gross!BA22</f>
        <v>12765</v>
      </c>
      <c r="I12" s="57" t="n">
        <f aca="false">3_Calc_From_Gross!BP22</f>
        <v>6950.24</v>
      </c>
      <c r="J12" s="57" t="n">
        <f aca="false">3_Calc_From_Gross!CE22</f>
        <v>7458</v>
      </c>
      <c r="K12" s="57" t="n">
        <f aca="false">3_Calc_From_Gross!CT22</f>
        <v>3997.944</v>
      </c>
      <c r="L12" s="57" t="n">
        <f aca="false">3_Calc_From_Gross!DI22</f>
        <v>4894.3125</v>
      </c>
      <c r="M12" s="57" t="n">
        <f aca="false">3_Calc_From_Gross!DX22</f>
        <v>2556.25</v>
      </c>
    </row>
    <row r="13" customFormat="false" ht="15" hidden="false" customHeight="false" outlineLevel="0" collapsed="false">
      <c r="A13" s="41" t="n">
        <v>10</v>
      </c>
      <c r="B13" s="28" t="s">
        <v>259</v>
      </c>
      <c r="C13" s="28" t="s">
        <v>260</v>
      </c>
      <c r="D13" s="65" t="s">
        <v>248</v>
      </c>
      <c r="E13" s="63" t="n">
        <f aca="false">3_Calc_From_Gross!H24</f>
        <v>1266</v>
      </c>
      <c r="F13" s="60" t="n">
        <f aca="false">3_Calc_From_Gross!W24</f>
        <v>3837.7144</v>
      </c>
      <c r="G13" s="60" t="n">
        <f aca="false">3_Calc_From_Gross!AL24</f>
        <v>4867.95</v>
      </c>
      <c r="H13" s="60" t="n">
        <f aca="false">3_Calc_From_Gross!BA24</f>
        <v>10545</v>
      </c>
      <c r="I13" s="60" t="n">
        <f aca="false">3_Calc_From_Gross!BP24</f>
        <v>5811.63</v>
      </c>
      <c r="J13" s="60" t="n">
        <f aca="false">3_Calc_From_Gross!CE24</f>
        <v>6780</v>
      </c>
      <c r="K13" s="60" t="n">
        <f aca="false">3_Calc_From_Gross!CT24</f>
        <v>3426.618</v>
      </c>
      <c r="L13" s="60" t="n">
        <f aca="false">3_Calc_From_Gross!DI24</f>
        <v>4195.125</v>
      </c>
      <c r="M13" s="60" t="n">
        <f aca="false">3_Calc_From_Gross!DX24</f>
        <v>2129.8675</v>
      </c>
    </row>
    <row r="14" customFormat="false" ht="15" hidden="false" customHeight="false" outlineLevel="0" collapsed="false">
      <c r="A14" s="37" t="n">
        <v>11</v>
      </c>
      <c r="B14" s="32" t="s">
        <v>259</v>
      </c>
      <c r="C14" s="32" t="s">
        <v>261</v>
      </c>
      <c r="D14" s="62" t="s">
        <v>248</v>
      </c>
      <c r="E14" s="63" t="n">
        <f aca="false">3_Calc_From_Gross!H26</f>
        <v>1535</v>
      </c>
      <c r="F14" s="57" t="n">
        <f aca="false">3_Calc_From_Gross!W26</f>
        <v>4297.566</v>
      </c>
      <c r="G14" s="57" t="n">
        <f aca="false">3_Calc_From_Gross!AL26</f>
        <v>5477.45</v>
      </c>
      <c r="H14" s="57" t="n">
        <f aca="false">3_Calc_From_Gross!BA26</f>
        <v>12210</v>
      </c>
      <c r="I14" s="57" t="n">
        <f aca="false">3_Calc_From_Gross!BP26</f>
        <v>6722.76</v>
      </c>
      <c r="J14" s="57" t="n">
        <f aca="false">3_Calc_From_Gross!CE26</f>
        <v>7231.2</v>
      </c>
      <c r="K14" s="57" t="n">
        <f aca="false">3_Calc_From_Gross!CT26</f>
        <v>3854.778</v>
      </c>
      <c r="L14" s="57" t="n">
        <f aca="false">3_Calc_From_Gross!DI26</f>
        <v>4660.425</v>
      </c>
      <c r="M14" s="57" t="n">
        <f aca="false">3_Calc_From_Gross!DX26</f>
        <v>2385.4925</v>
      </c>
    </row>
    <row r="15" customFormat="false" ht="15" hidden="false" customHeight="false" outlineLevel="0" collapsed="false">
      <c r="A15" s="41" t="n">
        <v>12</v>
      </c>
      <c r="B15" s="28" t="s">
        <v>259</v>
      </c>
      <c r="C15" s="28" t="s">
        <v>262</v>
      </c>
      <c r="D15" s="65" t="s">
        <v>248</v>
      </c>
      <c r="E15" s="63" t="n">
        <f aca="false">3_Calc_From_Gross!H28</f>
        <v>1535</v>
      </c>
      <c r="F15" s="60" t="n">
        <f aca="false">3_Calc_From_Gross!W28</f>
        <v>4297.566</v>
      </c>
      <c r="G15" s="60" t="n">
        <f aca="false">3_Calc_From_Gross!AL28</f>
        <v>5477.45</v>
      </c>
      <c r="H15" s="60" t="n">
        <f aca="false">3_Calc_From_Gross!BA28</f>
        <v>12210</v>
      </c>
      <c r="I15" s="60" t="n">
        <f aca="false">3_Calc_From_Gross!BP28</f>
        <v>6722.76</v>
      </c>
      <c r="J15" s="60" t="n">
        <f aca="false">3_Calc_From_Gross!CE28</f>
        <v>7231.2</v>
      </c>
      <c r="K15" s="60" t="n">
        <f aca="false">3_Calc_From_Gross!CT28</f>
        <v>3854.778</v>
      </c>
      <c r="L15" s="60" t="n">
        <f aca="false">3_Calc_From_Gross!DI28</f>
        <v>4660.425</v>
      </c>
      <c r="M15" s="60" t="n">
        <f aca="false">3_Calc_From_Gross!DX28</f>
        <v>2385.4925</v>
      </c>
    </row>
    <row r="16" customFormat="false" ht="15" hidden="false" customHeight="false" outlineLevel="0" collapsed="false">
      <c r="A16" s="37" t="n">
        <v>13</v>
      </c>
      <c r="B16" s="32" t="s">
        <v>259</v>
      </c>
      <c r="C16" s="32" t="s">
        <v>263</v>
      </c>
      <c r="D16" s="62" t="s">
        <v>248</v>
      </c>
      <c r="E16" s="63" t="n">
        <f aca="false">3_Calc_From_Gross!H30</f>
        <v>1266</v>
      </c>
      <c r="F16" s="57" t="n">
        <f aca="false">3_Calc_From_Gross!W30</f>
        <v>3837.7144</v>
      </c>
      <c r="G16" s="57" t="n">
        <f aca="false">3_Calc_From_Gross!AL30</f>
        <v>4867.95</v>
      </c>
      <c r="H16" s="57" t="n">
        <f aca="false">3_Calc_From_Gross!BA30</f>
        <v>10545</v>
      </c>
      <c r="I16" s="57" t="n">
        <f aca="false">3_Calc_From_Gross!BP30</f>
        <v>5811.63</v>
      </c>
      <c r="J16" s="57" t="n">
        <f aca="false">3_Calc_From_Gross!CE30</f>
        <v>6780</v>
      </c>
      <c r="K16" s="57" t="n">
        <f aca="false">3_Calc_From_Gross!CT30</f>
        <v>3426.618</v>
      </c>
      <c r="L16" s="57" t="n">
        <f aca="false">3_Calc_From_Gross!DI30</f>
        <v>4195.125</v>
      </c>
      <c r="M16" s="57" t="n">
        <f aca="false">3_Calc_From_Gross!DX30</f>
        <v>2129.8675</v>
      </c>
    </row>
    <row r="17" customFormat="false" ht="15" hidden="false" customHeight="false" outlineLevel="0" collapsed="false">
      <c r="A17" s="41" t="n">
        <v>14</v>
      </c>
      <c r="B17" s="28" t="s">
        <v>264</v>
      </c>
      <c r="C17" s="28" t="s">
        <v>265</v>
      </c>
      <c r="D17" s="65" t="s">
        <v>248</v>
      </c>
      <c r="E17" s="63" t="n">
        <f aca="false">3_Calc_From_Gross!H32</f>
        <v>1385</v>
      </c>
      <c r="F17" s="60" t="n">
        <f aca="false">3_Calc_From_Gross!W32</f>
        <v>3530.7454</v>
      </c>
      <c r="G17" s="60" t="n">
        <f aca="false">3_Calc_From_Gross!AL32</f>
        <v>4867.95</v>
      </c>
      <c r="H17" s="60" t="n">
        <f aca="false">3_Calc_From_Gross!BA32</f>
        <v>9990</v>
      </c>
      <c r="I17" s="60" t="n">
        <f aca="false">3_Calc_From_Gross!BP32</f>
        <v>5469.2</v>
      </c>
      <c r="J17" s="60" t="n">
        <f aca="false">3_Calc_From_Gross!CE32</f>
        <v>6214.8</v>
      </c>
      <c r="K17" s="60" t="n">
        <f aca="false">3_Calc_From_Gross!CT32</f>
        <v>3141.624</v>
      </c>
      <c r="L17" s="60" t="n">
        <f aca="false">3_Calc_From_Gross!DI32</f>
        <v>4078.8</v>
      </c>
      <c r="M17" s="60" t="n">
        <f aca="false">3_Calc_From_Gross!DX32</f>
        <v>1960.1325</v>
      </c>
    </row>
    <row r="18" customFormat="false" ht="15" hidden="false" customHeight="false" outlineLevel="0" collapsed="false">
      <c r="A18" s="37" t="n">
        <v>15</v>
      </c>
      <c r="B18" s="32" t="s">
        <v>266</v>
      </c>
      <c r="C18" s="32" t="s">
        <v>267</v>
      </c>
      <c r="D18" s="62" t="s">
        <v>248</v>
      </c>
      <c r="E18" s="63" t="n">
        <f aca="false">3_Calc_From_Gross!H34</f>
        <v>1885</v>
      </c>
      <c r="F18" s="57" t="n">
        <f aca="false">3_Calc_From_Gross!W34</f>
        <v>5218.473</v>
      </c>
      <c r="G18" s="57" t="n">
        <f aca="false">3_Calc_From_Gross!AL34</f>
        <v>7302.5</v>
      </c>
      <c r="H18" s="57" t="n">
        <f aca="false">3_Calc_From_Gross!BA34</f>
        <v>15628.8</v>
      </c>
      <c r="I18" s="57" t="n">
        <f aca="false">3_Calc_From_Gross!BP34</f>
        <v>8090.06</v>
      </c>
      <c r="J18" s="57" t="n">
        <f aca="false">3_Calc_From_Gross!CE34</f>
        <v>8587.2</v>
      </c>
      <c r="K18" s="57" t="n">
        <f aca="false">3_Calc_From_Gross!CT34</f>
        <v>4284.276</v>
      </c>
      <c r="L18" s="57" t="n">
        <f aca="false">3_Calc_From_Gross!DI34</f>
        <v>5593.5</v>
      </c>
      <c r="M18" s="57" t="n">
        <f aca="false">3_Calc_From_Gross!DX34</f>
        <v>2811.875</v>
      </c>
    </row>
    <row r="19" customFormat="false" ht="15" hidden="false" customHeight="false" outlineLevel="0" collapsed="false">
      <c r="A19" s="41" t="n">
        <v>16</v>
      </c>
      <c r="B19" s="28" t="s">
        <v>268</v>
      </c>
      <c r="C19" s="28" t="s">
        <v>269</v>
      </c>
      <c r="D19" s="65" t="s">
        <v>248</v>
      </c>
      <c r="E19" s="63" t="n">
        <f aca="false">3_Calc_From_Gross!H36</f>
        <v>1435</v>
      </c>
      <c r="F19" s="60" t="n">
        <f aca="false">3_Calc_From_Gross!W36</f>
        <v>4297.566</v>
      </c>
      <c r="G19" s="60" t="n">
        <f aca="false">3_Calc_From_Gross!AL36</f>
        <v>5477.45</v>
      </c>
      <c r="H19" s="60" t="n">
        <f aca="false">3_Calc_From_Gross!BA36</f>
        <v>12210</v>
      </c>
      <c r="I19" s="60" t="n">
        <f aca="false">3_Calc_From_Gross!BP36</f>
        <v>6381.54</v>
      </c>
      <c r="J19" s="60" t="n">
        <f aca="false">3_Calc_From_Gross!CE36</f>
        <v>7345.2</v>
      </c>
      <c r="K19" s="60" t="n">
        <f aca="false">3_Calc_From_Gross!CT36</f>
        <v>3569.784</v>
      </c>
      <c r="L19" s="60" t="n">
        <f aca="false">3_Calc_From_Gross!DI36</f>
        <v>4429.0125</v>
      </c>
      <c r="M19" s="60" t="n">
        <f aca="false">3_Calc_From_Gross!DX36</f>
        <v>2215.7575</v>
      </c>
    </row>
    <row r="20" customFormat="false" ht="15" hidden="false" customHeight="false" outlineLevel="0" collapsed="false">
      <c r="A20" s="37" t="n">
        <v>17</v>
      </c>
      <c r="B20" s="32" t="s">
        <v>270</v>
      </c>
      <c r="C20" s="32" t="s">
        <v>271</v>
      </c>
      <c r="D20" s="62" t="s">
        <v>248</v>
      </c>
      <c r="E20" s="63" t="n">
        <f aca="false">3_Calc_From_Gross!H38</f>
        <v>1185</v>
      </c>
      <c r="F20" s="57" t="n">
        <f aca="false">3_Calc_From_Gross!W38</f>
        <v>3683.628</v>
      </c>
      <c r="G20" s="57" t="n">
        <f aca="false">3_Calc_From_Gross!AL38</f>
        <v>4867.95</v>
      </c>
      <c r="H20" s="57" t="n">
        <f aca="false">3_Calc_From_Gross!BA38</f>
        <v>11100</v>
      </c>
      <c r="I20" s="57" t="n">
        <f aca="false">3_Calc_From_Gross!BP38</f>
        <v>5697.89</v>
      </c>
      <c r="J20" s="57" t="n">
        <f aca="false">3_Calc_From_Gross!CE38</f>
        <v>6667.2</v>
      </c>
      <c r="K20" s="57" t="n">
        <f aca="false">3_Calc_From_Gross!CT38</f>
        <v>2998.458</v>
      </c>
      <c r="L20" s="57" t="n">
        <f aca="false">3_Calc_From_Gross!DI38</f>
        <v>4078.8</v>
      </c>
      <c r="M20" s="57" t="n">
        <f aca="false">3_Calc_From_Gross!DX38</f>
        <v>1874.2425</v>
      </c>
    </row>
    <row r="21" customFormat="false" ht="15" hidden="false" customHeight="false" outlineLevel="0" collapsed="false">
      <c r="A21" s="41" t="n">
        <v>18</v>
      </c>
      <c r="B21" s="28" t="s">
        <v>272</v>
      </c>
      <c r="C21" s="28" t="s">
        <v>273</v>
      </c>
      <c r="D21" s="65" t="s">
        <v>248</v>
      </c>
      <c r="E21" s="63" t="n">
        <f aca="false">3_Calc_From_Gross!H40</f>
        <v>1535</v>
      </c>
      <c r="F21" s="60" t="n">
        <f aca="false">3_Calc_From_Gross!W40</f>
        <v>4451.6524</v>
      </c>
      <c r="G21" s="60" t="n">
        <f aca="false">3_Calc_From_Gross!AL40</f>
        <v>6085.8</v>
      </c>
      <c r="H21" s="60" t="n">
        <f aca="false">3_Calc_From_Gross!BA40</f>
        <v>14985</v>
      </c>
      <c r="I21" s="60" t="n">
        <f aca="false">3_Calc_From_Gross!BP40</f>
        <v>6836.5</v>
      </c>
      <c r="J21" s="60" t="n">
        <f aca="false">3_Calc_From_Gross!CE40</f>
        <v>7909.2</v>
      </c>
      <c r="K21" s="60" t="n">
        <f aca="false">3_Calc_From_Gross!CT40</f>
        <v>3997.944</v>
      </c>
      <c r="L21" s="60" t="n">
        <f aca="false">3_Calc_From_Gross!DI40</f>
        <v>4894.3125</v>
      </c>
      <c r="M21" s="60" t="n">
        <f aca="false">3_Calc_From_Gross!DX40</f>
        <v>2556.25</v>
      </c>
    </row>
    <row r="22" customFormat="false" ht="15" hidden="false" customHeight="false" outlineLevel="0" collapsed="false">
      <c r="A22" s="37" t="n">
        <v>19</v>
      </c>
      <c r="B22" s="32" t="s">
        <v>272</v>
      </c>
      <c r="C22" s="32" t="s">
        <v>274</v>
      </c>
      <c r="D22" s="62" t="s">
        <v>248</v>
      </c>
      <c r="E22" s="63" t="n">
        <f aca="false">3_Calc_From_Gross!H42</f>
        <v>1285</v>
      </c>
      <c r="F22" s="57" t="n">
        <f aca="false">3_Calc_From_Gross!W42</f>
        <v>4144.6834</v>
      </c>
      <c r="G22" s="57" t="n">
        <f aca="false">3_Calc_From_Gross!AL42</f>
        <v>5477.45</v>
      </c>
      <c r="H22" s="57" t="n">
        <f aca="false">3_Calc_From_Gross!BA42</f>
        <v>12210</v>
      </c>
      <c r="I22" s="57" t="n">
        <f aca="false">3_Calc_From_Gross!BP42</f>
        <v>6266.59</v>
      </c>
      <c r="J22" s="57" t="n">
        <f aca="false">3_Calc_From_Gross!CE42</f>
        <v>7345.2</v>
      </c>
      <c r="K22" s="57" t="n">
        <f aca="false">3_Calc_From_Gross!CT42</f>
        <v>3569.784</v>
      </c>
      <c r="L22" s="57" t="n">
        <f aca="false">3_Calc_From_Gross!DI42</f>
        <v>4429.0125</v>
      </c>
      <c r="M22" s="57" t="n">
        <f aca="false">3_Calc_From_Gross!DX42</f>
        <v>2385.4925</v>
      </c>
    </row>
    <row r="23" customFormat="false" ht="15" hidden="false" customHeight="false" outlineLevel="0" collapsed="false">
      <c r="A23" s="41" t="n">
        <v>20</v>
      </c>
      <c r="B23" s="28" t="s">
        <v>272</v>
      </c>
      <c r="C23" s="28" t="s">
        <v>275</v>
      </c>
      <c r="D23" s="65" t="s">
        <v>248</v>
      </c>
      <c r="E23" s="63" t="n">
        <f aca="false">3_Calc_From_Gross!H44</f>
        <v>1285</v>
      </c>
      <c r="F23" s="60" t="n">
        <f aca="false">3_Calc_From_Gross!W44</f>
        <v>3990.597</v>
      </c>
      <c r="G23" s="60" t="n">
        <f aca="false">3_Calc_From_Gross!AL44</f>
        <v>5477.45</v>
      </c>
      <c r="H23" s="60" t="n">
        <f aca="false">3_Calc_From_Gross!BA44</f>
        <v>13320</v>
      </c>
      <c r="I23" s="60" t="n">
        <f aca="false">3_Calc_From_Gross!BP44</f>
        <v>6152.85</v>
      </c>
      <c r="J23" s="60" t="n">
        <f aca="false">3_Calc_From_Gross!CE44</f>
        <v>6780</v>
      </c>
      <c r="K23" s="60" t="n">
        <f aca="false">3_Calc_From_Gross!CT44</f>
        <v>3426.618</v>
      </c>
      <c r="L23" s="60" t="n">
        <f aca="false">3_Calc_From_Gross!DI44</f>
        <v>4195.125</v>
      </c>
      <c r="M23" s="60" t="n">
        <f aca="false">3_Calc_From_Gross!DX44</f>
        <v>2215.7575</v>
      </c>
    </row>
    <row r="24" customFormat="false" ht="15" hidden="false" customHeight="false" outlineLevel="0" collapsed="false">
      <c r="A24" s="37" t="n">
        <v>21</v>
      </c>
      <c r="B24" s="32" t="s">
        <v>276</v>
      </c>
      <c r="C24" s="32" t="s">
        <v>277</v>
      </c>
      <c r="D24" s="62" t="s">
        <v>248</v>
      </c>
      <c r="E24" s="63" t="n">
        <f aca="false">3_Calc_From_Gross!H46</f>
        <v>2035</v>
      </c>
      <c r="F24" s="57" t="n">
        <f aca="false">3_Calc_From_Gross!W46</f>
        <v>5218.473</v>
      </c>
      <c r="G24" s="57" t="n">
        <f aca="false">3_Calc_From_Gross!AL46</f>
        <v>7302.5</v>
      </c>
      <c r="H24" s="57" t="n">
        <f aca="false">3_Calc_From_Gross!BA46</f>
        <v>17760</v>
      </c>
      <c r="I24" s="57" t="n">
        <f aca="false">3_Calc_From_Gross!BP46</f>
        <v>7975.11</v>
      </c>
      <c r="J24" s="57" t="n">
        <f aca="false">3_Calc_From_Gross!CE46</f>
        <v>8926.8</v>
      </c>
      <c r="K24" s="57" t="n">
        <f aca="false">3_Calc_From_Gross!CT46</f>
        <v>4426.104</v>
      </c>
      <c r="L24" s="57" t="n">
        <f aca="false">3_Calc_From_Gross!DI46</f>
        <v>5827.3875</v>
      </c>
      <c r="M24" s="57" t="n">
        <f aca="false">3_Calc_From_Gross!DX46</f>
        <v>2982.6325</v>
      </c>
    </row>
    <row r="25" customFormat="false" ht="15" hidden="false" customHeight="false" outlineLevel="0" collapsed="false">
      <c r="A25" s="41" t="n">
        <v>22</v>
      </c>
      <c r="B25" s="28" t="s">
        <v>278</v>
      </c>
      <c r="C25" s="28" t="s">
        <v>279</v>
      </c>
      <c r="D25" s="65" t="s">
        <v>248</v>
      </c>
      <c r="E25" s="63" t="n">
        <f aca="false">3_Calc_From_Gross!H48</f>
        <v>1910</v>
      </c>
      <c r="F25" s="60" t="n">
        <f aca="false">3_Calc_From_Gross!W48</f>
        <v>4911.504</v>
      </c>
      <c r="G25" s="60" t="n">
        <f aca="false">3_Calc_From_Gross!AL48</f>
        <v>6085.8</v>
      </c>
      <c r="H25" s="60" t="n">
        <f aca="false">3_Calc_From_Gross!BA48</f>
        <v>15540</v>
      </c>
      <c r="I25" s="60" t="n">
        <f aca="false">3_Calc_From_Gross!BP48</f>
        <v>7406.41</v>
      </c>
      <c r="J25" s="60" t="n">
        <f aca="false">3_Calc_From_Gross!CE48</f>
        <v>7909.2</v>
      </c>
      <c r="K25" s="60" t="n">
        <f aca="false">3_Calc_From_Gross!CT48</f>
        <v>4284.276</v>
      </c>
      <c r="L25" s="60" t="n">
        <f aca="false">3_Calc_From_Gross!DI48</f>
        <v>5128.2</v>
      </c>
      <c r="M25" s="60" t="n">
        <f aca="false">3_Calc_From_Gross!DX48</f>
        <v>2811.875</v>
      </c>
    </row>
    <row r="26" customFormat="false" ht="15" hidden="false" customHeight="false" outlineLevel="0" collapsed="false">
      <c r="A26" s="37" t="n">
        <v>23</v>
      </c>
      <c r="B26" s="32" t="s">
        <v>280</v>
      </c>
      <c r="C26" s="32" t="s">
        <v>281</v>
      </c>
      <c r="D26" s="62" t="s">
        <v>248</v>
      </c>
      <c r="E26" s="63" t="n">
        <f aca="false">3_Calc_From_Gross!H50</f>
        <v>1760</v>
      </c>
      <c r="F26" s="57" t="n">
        <f aca="false">3_Calc_From_Gross!W50</f>
        <v>4604.535</v>
      </c>
      <c r="G26" s="57" t="n">
        <f aca="false">3_Calc_From_Gross!AL50</f>
        <v>6693</v>
      </c>
      <c r="H26" s="57" t="n">
        <f aca="false">3_Calc_From_Gross!BA50</f>
        <v>16650</v>
      </c>
      <c r="I26" s="57" t="n">
        <f aca="false">3_Calc_From_Gross!BP50</f>
        <v>6950.24</v>
      </c>
      <c r="J26" s="57" t="n">
        <f aca="false">3_Calc_From_Gross!CE50</f>
        <v>7684.8</v>
      </c>
      <c r="K26" s="57" t="n">
        <f aca="false">3_Calc_From_Gross!CT50</f>
        <v>4141.11</v>
      </c>
      <c r="L26" s="57" t="n">
        <f aca="false">3_Calc_From_Gross!DI50</f>
        <v>4894.3125</v>
      </c>
      <c r="M26" s="57" t="n">
        <f aca="false">3_Calc_From_Gross!DX50</f>
        <v>2641.1175</v>
      </c>
    </row>
    <row r="27" customFormat="false" ht="18" hidden="false" customHeight="true" outlineLevel="0" collapsed="false">
      <c r="A27" s="98" t="s">
        <v>955</v>
      </c>
      <c r="B27" s="98"/>
      <c r="C27" s="98"/>
      <c r="D27" s="98"/>
      <c r="E27" s="99" t="n">
        <f aca="false">AVERAGE(E4:E26)</f>
        <v>1521.4347826087</v>
      </c>
      <c r="F27" s="99" t="n">
        <f aca="false">AVERAGE(F4:F26)</f>
        <v>4371.1548173913</v>
      </c>
      <c r="G27" s="99" t="n">
        <f aca="false">AVERAGE(G4:G26)</f>
        <v>5860.6</v>
      </c>
      <c r="H27" s="99" t="n">
        <f aca="false">AVERAGE(H4:H26)</f>
        <v>12792.9913043478</v>
      </c>
      <c r="I27" s="99" t="n">
        <f aca="false">AVERAGE(I4:I26)</f>
        <v>6665.31130434783</v>
      </c>
      <c r="J27" s="99" t="n">
        <f aca="false">AVERAGE(J4:J26)</f>
        <v>7384.22608695652</v>
      </c>
      <c r="K27" s="99" t="n">
        <f aca="false">AVERAGE(K4:K26)</f>
        <v>3824.23669565217</v>
      </c>
      <c r="L27" s="99" t="n">
        <f aca="false">AVERAGE(L4:L26)</f>
        <v>4691.63152173913</v>
      </c>
      <c r="M27" s="99" t="n">
        <f aca="false">AVERAGE(M4:M26)</f>
        <v>2422.79152173913</v>
      </c>
    </row>
  </sheetData>
  <mergeCells count="3">
    <mergeCell ref="A1:M1"/>
    <mergeCell ref="A2:M2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"/>
    <col collapsed="false" customWidth="true" hidden="false" outlineLevel="0" max="3" min="3" style="1" width="18"/>
    <col collapsed="false" customWidth="true" hidden="false" outlineLevel="0" max="4" min="4" style="1" width="9"/>
    <col collapsed="false" customWidth="true" hidden="false" outlineLevel="0" max="13" min="5" style="1" width="13"/>
  </cols>
  <sheetData>
    <row r="1" customFormat="false" ht="25.5" hidden="false" customHeight="true" outlineLevel="0" collapsed="false">
      <c r="A1" s="35" t="s">
        <v>984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customFormat="false" ht="15" hidden="false" customHeight="true" outlineLevel="0" collapsed="false">
      <c r="A2" s="44" t="s">
        <v>985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customFormat="false" ht="31.5" hidden="false" customHeight="true" outlineLevel="0" collapsed="false">
      <c r="A3" s="14" t="s">
        <v>233</v>
      </c>
      <c r="B3" s="14" t="s">
        <v>284</v>
      </c>
      <c r="C3" s="14" t="s">
        <v>235</v>
      </c>
      <c r="D3" s="14" t="s">
        <v>236</v>
      </c>
      <c r="E3" s="49" t="s">
        <v>946</v>
      </c>
      <c r="F3" s="45" t="s">
        <v>947</v>
      </c>
      <c r="G3" s="45" t="s">
        <v>948</v>
      </c>
      <c r="H3" s="45" t="s">
        <v>949</v>
      </c>
      <c r="I3" s="45" t="s">
        <v>950</v>
      </c>
      <c r="J3" s="45" t="s">
        <v>951</v>
      </c>
      <c r="K3" s="45" t="s">
        <v>952</v>
      </c>
      <c r="L3" s="45" t="s">
        <v>953</v>
      </c>
      <c r="M3" s="45" t="s">
        <v>954</v>
      </c>
    </row>
    <row r="4" customFormat="false" ht="15" hidden="false" customHeight="false" outlineLevel="0" collapsed="false">
      <c r="A4" s="37" t="n">
        <v>1</v>
      </c>
      <c r="B4" s="32" t="s">
        <v>246</v>
      </c>
      <c r="C4" s="5" t="s">
        <v>247</v>
      </c>
      <c r="D4" s="62" t="s">
        <v>249</v>
      </c>
      <c r="E4" s="63" t="n">
        <f aca="false">3_Calc_From_Gross!H7</f>
        <v>4785</v>
      </c>
      <c r="F4" s="57" t="n">
        <f aca="false">3_Calc_From_Gross!W7</f>
        <v>7674.225</v>
      </c>
      <c r="G4" s="57" t="n">
        <f aca="false">3_Calc_From_Gross!AL7</f>
        <v>9128.7</v>
      </c>
      <c r="H4" s="57" t="n">
        <f aca="false">3_Calc_From_Gross!BA7</f>
        <v>15567.75</v>
      </c>
      <c r="I4" s="57" t="n">
        <f aca="false">3_Calc_From_Gross!BP7</f>
        <v>9913.53</v>
      </c>
      <c r="J4" s="57" t="n">
        <f aca="false">3_Calc_From_Gross!CE7</f>
        <v>11300.4</v>
      </c>
      <c r="K4" s="57" t="n">
        <f aca="false">3_Calc_From_Gross!CT7</f>
        <v>6702.042</v>
      </c>
      <c r="L4" s="57" t="n">
        <f aca="false">3_Calc_From_Gross!DI7</f>
        <v>7691.0625</v>
      </c>
      <c r="M4" s="57" t="n">
        <f aca="false">3_Calc_From_Gross!DX7</f>
        <v>4294.5</v>
      </c>
    </row>
    <row r="5" customFormat="false" ht="15" hidden="false" customHeight="false" outlineLevel="0" collapsed="false">
      <c r="A5" s="41" t="n">
        <v>2</v>
      </c>
      <c r="B5" s="28" t="s">
        <v>246</v>
      </c>
      <c r="C5" s="8" t="s">
        <v>250</v>
      </c>
      <c r="D5" s="65" t="s">
        <v>249</v>
      </c>
      <c r="E5" s="63" t="n">
        <f aca="false">3_Calc_From_Gross!H9</f>
        <v>4535</v>
      </c>
      <c r="F5" s="60" t="n">
        <f aca="false">3_Calc_From_Gross!W9</f>
        <v>7674.225</v>
      </c>
      <c r="G5" s="60" t="n">
        <f aca="false">3_Calc_From_Gross!AL9</f>
        <v>8518.05</v>
      </c>
      <c r="H5" s="60" t="n">
        <f aca="false">3_Calc_From_Gross!BA9</f>
        <v>15096</v>
      </c>
      <c r="I5" s="60" t="n">
        <f aca="false">3_Calc_From_Gross!BP9</f>
        <v>9571.1</v>
      </c>
      <c r="J5" s="60" t="n">
        <f aca="false">3_Calc_From_Gross!CE9</f>
        <v>10848</v>
      </c>
      <c r="K5" s="60" t="n">
        <f aca="false">3_Calc_From_Gross!CT9</f>
        <v>6330.078</v>
      </c>
      <c r="L5" s="60" t="n">
        <f aca="false">3_Calc_From_Gross!DI9</f>
        <v>7225.7625</v>
      </c>
      <c r="M5" s="60" t="n">
        <f aca="false">3_Calc_From_Gross!DX9</f>
        <v>4008.2</v>
      </c>
    </row>
    <row r="6" customFormat="false" ht="15" hidden="false" customHeight="false" outlineLevel="0" collapsed="false">
      <c r="A6" s="37" t="n">
        <v>3</v>
      </c>
      <c r="B6" s="32" t="s">
        <v>246</v>
      </c>
      <c r="C6" s="5" t="s">
        <v>251</v>
      </c>
      <c r="D6" s="62" t="s">
        <v>249</v>
      </c>
      <c r="E6" s="63" t="n">
        <f aca="false">3_Calc_From_Gross!H11</f>
        <v>4535</v>
      </c>
      <c r="F6" s="57" t="n">
        <f aca="false">3_Calc_From_Gross!W11</f>
        <v>7674.225</v>
      </c>
      <c r="G6" s="57" t="n">
        <f aca="false">3_Calc_From_Gross!AL11</f>
        <v>9737.05</v>
      </c>
      <c r="H6" s="57" t="n">
        <f aca="false">3_Calc_From_Gross!BA11</f>
        <v>16039.5</v>
      </c>
      <c r="I6" s="57" t="n">
        <f aca="false">3_Calc_From_Gross!BP11</f>
        <v>10026.06</v>
      </c>
      <c r="J6" s="57" t="n">
        <f aca="false">3_Calc_From_Gross!CE11</f>
        <v>11074.8</v>
      </c>
      <c r="K6" s="57" t="n">
        <f aca="false">3_Calc_From_Gross!CT11</f>
        <v>6330.078</v>
      </c>
      <c r="L6" s="57" t="n">
        <f aca="false">3_Calc_From_Gross!DI11</f>
        <v>7691.0625</v>
      </c>
      <c r="M6" s="57" t="n">
        <f aca="false">3_Calc_From_Gross!DX11</f>
        <v>4294.5</v>
      </c>
    </row>
    <row r="7" customFormat="false" ht="15" hidden="false" customHeight="false" outlineLevel="0" collapsed="false">
      <c r="A7" s="41" t="n">
        <v>4</v>
      </c>
      <c r="B7" s="28" t="s">
        <v>246</v>
      </c>
      <c r="C7" s="8" t="s">
        <v>252</v>
      </c>
      <c r="D7" s="65" t="s">
        <v>249</v>
      </c>
      <c r="E7" s="63" t="n">
        <f aca="false">3_Calc_From_Gross!H13</f>
        <v>4785</v>
      </c>
      <c r="F7" s="60" t="n">
        <f aca="false">3_Calc_From_Gross!W13</f>
        <v>7674.225</v>
      </c>
      <c r="G7" s="60" t="n">
        <f aca="false">3_Calc_From_Gross!AL13</f>
        <v>9128.7</v>
      </c>
      <c r="H7" s="60" t="n">
        <f aca="false">3_Calc_From_Gross!BA13</f>
        <v>15567.75</v>
      </c>
      <c r="I7" s="60" t="n">
        <f aca="false">3_Calc_From_Gross!BP13</f>
        <v>9913.53</v>
      </c>
      <c r="J7" s="60" t="n">
        <f aca="false">3_Calc_From_Gross!CE13</f>
        <v>11300.4</v>
      </c>
      <c r="K7" s="60" t="n">
        <f aca="false">3_Calc_From_Gross!CT13</f>
        <v>6702.042</v>
      </c>
      <c r="L7" s="60" t="n">
        <f aca="false">3_Calc_From_Gross!DI13</f>
        <v>7691.0625</v>
      </c>
      <c r="M7" s="60" t="n">
        <f aca="false">3_Calc_From_Gross!DX13</f>
        <v>4294.5</v>
      </c>
    </row>
    <row r="8" customFormat="false" ht="15" hidden="false" customHeight="false" outlineLevel="0" collapsed="false">
      <c r="A8" s="37" t="n">
        <v>5</v>
      </c>
      <c r="B8" s="32" t="s">
        <v>253</v>
      </c>
      <c r="C8" s="5" t="s">
        <v>254</v>
      </c>
      <c r="D8" s="62" t="s">
        <v>249</v>
      </c>
      <c r="E8" s="63" t="n">
        <f aca="false">3_Calc_From_Gross!H15</f>
        <v>4785</v>
      </c>
      <c r="F8" s="57" t="n">
        <f aca="false">3_Calc_From_Gross!W15</f>
        <v>7674.225</v>
      </c>
      <c r="G8" s="57" t="n">
        <f aca="false">3_Calc_From_Gross!AL15</f>
        <v>9128.7</v>
      </c>
      <c r="H8" s="57" t="n">
        <f aca="false">3_Calc_From_Gross!BA15</f>
        <v>16039.5</v>
      </c>
      <c r="I8" s="57" t="n">
        <f aca="false">3_Calc_From_Gross!BP15</f>
        <v>9913.53</v>
      </c>
      <c r="J8" s="57" t="n">
        <f aca="false">3_Calc_From_Gross!CE15</f>
        <v>11300.4</v>
      </c>
      <c r="K8" s="57" t="n">
        <f aca="false">3_Calc_From_Gross!CT15</f>
        <v>6702.042</v>
      </c>
      <c r="L8" s="57" t="n">
        <f aca="false">3_Calc_From_Gross!DI15</f>
        <v>7691.0625</v>
      </c>
      <c r="M8" s="57" t="n">
        <f aca="false">3_Calc_From_Gross!DX15</f>
        <v>4294.5</v>
      </c>
    </row>
    <row r="9" customFormat="false" ht="15" hidden="false" customHeight="false" outlineLevel="0" collapsed="false">
      <c r="A9" s="41" t="n">
        <v>6</v>
      </c>
      <c r="B9" s="28" t="s">
        <v>253</v>
      </c>
      <c r="C9" s="8" t="s">
        <v>255</v>
      </c>
      <c r="D9" s="65" t="s">
        <v>249</v>
      </c>
      <c r="E9" s="63" t="n">
        <f aca="false">3_Calc_From_Gross!H17</f>
        <v>4535</v>
      </c>
      <c r="F9" s="60" t="n">
        <f aca="false">3_Calc_From_Gross!W17</f>
        <v>7367.256</v>
      </c>
      <c r="G9" s="60" t="n">
        <f aca="false">3_Calc_From_Gross!AL17</f>
        <v>7910.85</v>
      </c>
      <c r="H9" s="60" t="n">
        <f aca="false">3_Calc_From_Gross!BA17</f>
        <v>14624.25</v>
      </c>
      <c r="I9" s="60" t="n">
        <f aca="false">3_Calc_From_Gross!BP17</f>
        <v>9229.88</v>
      </c>
      <c r="J9" s="60" t="n">
        <f aca="false">3_Calc_From_Gross!CE17</f>
        <v>10395.6</v>
      </c>
      <c r="K9" s="60" t="n">
        <f aca="false">3_Calc_From_Gross!CT17</f>
        <v>6106.632</v>
      </c>
      <c r="L9" s="60" t="n">
        <f aca="false">3_Calc_From_Gross!DI17</f>
        <v>6991.875</v>
      </c>
      <c r="M9" s="60" t="n">
        <f aca="false">3_Calc_From_Gross!DX17</f>
        <v>3816.9925</v>
      </c>
    </row>
    <row r="10" customFormat="false" ht="15" hidden="false" customHeight="false" outlineLevel="0" collapsed="false">
      <c r="A10" s="37" t="n">
        <v>7</v>
      </c>
      <c r="B10" s="32" t="s">
        <v>253</v>
      </c>
      <c r="C10" s="5" t="s">
        <v>256</v>
      </c>
      <c r="D10" s="62" t="s">
        <v>249</v>
      </c>
      <c r="E10" s="63" t="n">
        <f aca="false">3_Calc_From_Gross!H19</f>
        <v>3285</v>
      </c>
      <c r="F10" s="57" t="n">
        <f aca="false">3_Calc_From_Gross!W19</f>
        <v>6139.38</v>
      </c>
      <c r="G10" s="57" t="n">
        <f aca="false">3_Calc_From_Gross!AL19</f>
        <v>7302.5</v>
      </c>
      <c r="H10" s="57" t="n">
        <f aca="false">3_Calc_From_Gross!BA19</f>
        <v>12265.5</v>
      </c>
      <c r="I10" s="57" t="n">
        <f aca="false">3_Calc_From_Gross!BP19</f>
        <v>8546.23</v>
      </c>
      <c r="J10" s="57" t="n">
        <f aca="false">3_Calc_From_Gross!CE19</f>
        <v>9265.2</v>
      </c>
      <c r="K10" s="57" t="n">
        <f aca="false">3_Calc_From_Gross!CT19</f>
        <v>5362.704</v>
      </c>
      <c r="L10" s="57" t="n">
        <f aca="false">3_Calc_From_Gross!DI19</f>
        <v>6292.6875</v>
      </c>
      <c r="M10" s="57" t="n">
        <f aca="false">3_Calc_From_Gross!DX19</f>
        <v>3435.6</v>
      </c>
    </row>
    <row r="11" customFormat="false" ht="15" hidden="false" customHeight="false" outlineLevel="0" collapsed="false">
      <c r="A11" s="41" t="n">
        <v>8</v>
      </c>
      <c r="B11" s="28" t="s">
        <v>253</v>
      </c>
      <c r="C11" s="8" t="s">
        <v>257</v>
      </c>
      <c r="D11" s="65" t="s">
        <v>249</v>
      </c>
      <c r="E11" s="63" t="n">
        <f aca="false">3_Calc_From_Gross!H21</f>
        <v>4485</v>
      </c>
      <c r="F11" s="60" t="n">
        <f aca="false">3_Calc_From_Gross!W21</f>
        <v>7367.256</v>
      </c>
      <c r="G11" s="60" t="n">
        <f aca="false">3_Calc_From_Gross!AL21</f>
        <v>9128.7</v>
      </c>
      <c r="H11" s="60" t="n">
        <f aca="false">3_Calc_From_Gross!BA21</f>
        <v>15096</v>
      </c>
      <c r="I11" s="60" t="n">
        <f aca="false">3_Calc_From_Gross!BP21</f>
        <v>9571.1</v>
      </c>
      <c r="J11" s="60" t="n">
        <f aca="false">3_Calc_From_Gross!CE21</f>
        <v>10735.2</v>
      </c>
      <c r="K11" s="60" t="n">
        <f aca="false">3_Calc_From_Gross!CT21</f>
        <v>6330.078</v>
      </c>
      <c r="L11" s="60" t="n">
        <f aca="false">3_Calc_From_Gross!DI21</f>
        <v>7225.7625</v>
      </c>
      <c r="M11" s="60" t="n">
        <f aca="false">3_Calc_From_Gross!DX21</f>
        <v>3816.9925</v>
      </c>
    </row>
    <row r="12" customFormat="false" ht="15" hidden="false" customHeight="false" outlineLevel="0" collapsed="false">
      <c r="A12" s="37" t="n">
        <v>9</v>
      </c>
      <c r="B12" s="32" t="s">
        <v>253</v>
      </c>
      <c r="C12" s="5" t="s">
        <v>258</v>
      </c>
      <c r="D12" s="62" t="s">
        <v>249</v>
      </c>
      <c r="E12" s="63" t="n">
        <f aca="false">3_Calc_From_Gross!H23</f>
        <v>4535</v>
      </c>
      <c r="F12" s="57" t="n">
        <f aca="false">3_Calc_From_Gross!W23</f>
        <v>7521.3424</v>
      </c>
      <c r="G12" s="57" t="n">
        <f aca="false">3_Calc_From_Gross!AL23</f>
        <v>9737.05</v>
      </c>
      <c r="H12" s="57" t="n">
        <f aca="false">3_Calc_From_Gross!BA23</f>
        <v>16039.5</v>
      </c>
      <c r="I12" s="57" t="n">
        <f aca="false">3_Calc_From_Gross!BP23</f>
        <v>10026.06</v>
      </c>
      <c r="J12" s="57" t="n">
        <f aca="false">3_Calc_From_Gross!CE23</f>
        <v>11074.8</v>
      </c>
      <c r="K12" s="57" t="n">
        <f aca="false">3_Calc_From_Gross!CT23</f>
        <v>6330.078</v>
      </c>
      <c r="L12" s="57" t="n">
        <f aca="false">3_Calc_From_Gross!DI23</f>
        <v>7691.0625</v>
      </c>
      <c r="M12" s="57" t="n">
        <f aca="false">3_Calc_From_Gross!DX23</f>
        <v>4294.5</v>
      </c>
    </row>
    <row r="13" customFormat="false" ht="15" hidden="false" customHeight="false" outlineLevel="0" collapsed="false">
      <c r="A13" s="41" t="n">
        <v>10</v>
      </c>
      <c r="B13" s="28" t="s">
        <v>259</v>
      </c>
      <c r="C13" s="8" t="s">
        <v>260</v>
      </c>
      <c r="D13" s="65" t="s">
        <v>249</v>
      </c>
      <c r="E13" s="63" t="n">
        <f aca="false">3_Calc_From_Gross!H25</f>
        <v>4035</v>
      </c>
      <c r="F13" s="60" t="n">
        <f aca="false">3_Calc_From_Gross!W25</f>
        <v>6139.38</v>
      </c>
      <c r="G13" s="60" t="n">
        <f aca="false">3_Calc_From_Gross!AL25</f>
        <v>7302.5</v>
      </c>
      <c r="H13" s="60" t="n">
        <f aca="false">3_Calc_From_Gross!BA25</f>
        <v>13209</v>
      </c>
      <c r="I13" s="60" t="n">
        <f aca="false">3_Calc_From_Gross!BP25</f>
        <v>8203.8</v>
      </c>
      <c r="J13" s="60" t="n">
        <f aca="false">3_Calc_From_Gross!CE25</f>
        <v>10170</v>
      </c>
      <c r="K13" s="60" t="n">
        <f aca="false">3_Calc_From_Gross!CT25</f>
        <v>5212.848</v>
      </c>
      <c r="L13" s="60" t="n">
        <f aca="false">3_Calc_From_Gross!DI25</f>
        <v>6409.0125</v>
      </c>
      <c r="M13" s="60" t="n">
        <f aca="false">3_Calc_From_Gross!DX25</f>
        <v>3435.6</v>
      </c>
    </row>
    <row r="14" customFormat="false" ht="15" hidden="false" customHeight="false" outlineLevel="0" collapsed="false">
      <c r="A14" s="37" t="n">
        <v>11</v>
      </c>
      <c r="B14" s="32" t="s">
        <v>259</v>
      </c>
      <c r="C14" s="5" t="s">
        <v>261</v>
      </c>
      <c r="D14" s="62" t="s">
        <v>249</v>
      </c>
      <c r="E14" s="63" t="n">
        <f aca="false">3_Calc_From_Gross!H27</f>
        <v>4785</v>
      </c>
      <c r="F14" s="57" t="n">
        <f aca="false">3_Calc_From_Gross!W27</f>
        <v>7060.287</v>
      </c>
      <c r="G14" s="57" t="n">
        <f aca="false">3_Calc_From_Gross!AL27</f>
        <v>8518.05</v>
      </c>
      <c r="H14" s="57" t="n">
        <f aca="false">3_Calc_From_Gross!BA27</f>
        <v>15096</v>
      </c>
      <c r="I14" s="57" t="n">
        <f aca="false">3_Calc_From_Gross!BP27</f>
        <v>9229.88</v>
      </c>
      <c r="J14" s="57" t="n">
        <f aca="false">3_Calc_From_Gross!CE27</f>
        <v>10735.2</v>
      </c>
      <c r="K14" s="57" t="n">
        <f aca="false">3_Calc_From_Gross!CT27</f>
        <v>6106.632</v>
      </c>
      <c r="L14" s="57" t="n">
        <f aca="false">3_Calc_From_Gross!DI27</f>
        <v>6991.875</v>
      </c>
      <c r="M14" s="57" t="n">
        <f aca="false">3_Calc_From_Gross!DX27</f>
        <v>3816.9925</v>
      </c>
    </row>
    <row r="15" customFormat="false" ht="15" hidden="false" customHeight="false" outlineLevel="0" collapsed="false">
      <c r="A15" s="41" t="n">
        <v>12</v>
      </c>
      <c r="B15" s="28" t="s">
        <v>259</v>
      </c>
      <c r="C15" s="8" t="s">
        <v>262</v>
      </c>
      <c r="D15" s="65" t="s">
        <v>249</v>
      </c>
      <c r="E15" s="63" t="n">
        <f aca="false">3_Calc_From_Gross!H29</f>
        <v>4785</v>
      </c>
      <c r="F15" s="60" t="n">
        <f aca="false">3_Calc_From_Gross!W29</f>
        <v>7060.287</v>
      </c>
      <c r="G15" s="60" t="n">
        <f aca="false">3_Calc_From_Gross!AL29</f>
        <v>8518.05</v>
      </c>
      <c r="H15" s="60" t="n">
        <f aca="false">3_Calc_From_Gross!BA29</f>
        <v>15096</v>
      </c>
      <c r="I15" s="60" t="n">
        <f aca="false">3_Calc_From_Gross!BP29</f>
        <v>9229.88</v>
      </c>
      <c r="J15" s="60" t="n">
        <f aca="false">3_Calc_From_Gross!CE29</f>
        <v>10735.2</v>
      </c>
      <c r="K15" s="60" t="n">
        <f aca="false">3_Calc_From_Gross!CT29</f>
        <v>6106.632</v>
      </c>
      <c r="L15" s="60" t="n">
        <f aca="false">3_Calc_From_Gross!DI29</f>
        <v>6991.875</v>
      </c>
      <c r="M15" s="60" t="n">
        <f aca="false">3_Calc_From_Gross!DX29</f>
        <v>3816.9925</v>
      </c>
    </row>
    <row r="16" customFormat="false" ht="15" hidden="false" customHeight="false" outlineLevel="0" collapsed="false">
      <c r="A16" s="37" t="n">
        <v>13</v>
      </c>
      <c r="B16" s="32" t="s">
        <v>259</v>
      </c>
      <c r="C16" s="5" t="s">
        <v>263</v>
      </c>
      <c r="D16" s="62" t="s">
        <v>249</v>
      </c>
      <c r="E16" s="63" t="n">
        <f aca="false">3_Calc_From_Gross!H31</f>
        <v>4035</v>
      </c>
      <c r="F16" s="57" t="n">
        <f aca="false">3_Calc_From_Gross!W31</f>
        <v>6139.38</v>
      </c>
      <c r="G16" s="57" t="n">
        <f aca="false">3_Calc_From_Gross!AL31</f>
        <v>7302.5</v>
      </c>
      <c r="H16" s="57" t="n">
        <f aca="false">3_Calc_From_Gross!BA31</f>
        <v>13209</v>
      </c>
      <c r="I16" s="57" t="n">
        <f aca="false">3_Calc_From_Gross!BP31</f>
        <v>8203.8</v>
      </c>
      <c r="J16" s="57" t="n">
        <f aca="false">3_Calc_From_Gross!CE31</f>
        <v>10170</v>
      </c>
      <c r="K16" s="57" t="n">
        <f aca="false">3_Calc_From_Gross!CT31</f>
        <v>5212.848</v>
      </c>
      <c r="L16" s="57" t="n">
        <f aca="false">3_Calc_From_Gross!DI31</f>
        <v>6409.0125</v>
      </c>
      <c r="M16" s="57" t="n">
        <f aca="false">3_Calc_From_Gross!DX31</f>
        <v>3435.6</v>
      </c>
    </row>
    <row r="17" customFormat="false" ht="15" hidden="false" customHeight="false" outlineLevel="0" collapsed="false">
      <c r="A17" s="41" t="n">
        <v>14</v>
      </c>
      <c r="B17" s="28" t="s">
        <v>264</v>
      </c>
      <c r="C17" s="8" t="s">
        <v>265</v>
      </c>
      <c r="D17" s="65" t="s">
        <v>249</v>
      </c>
      <c r="E17" s="63" t="n">
        <f aca="false">3_Calc_From_Gross!H33</f>
        <v>3285</v>
      </c>
      <c r="F17" s="60" t="n">
        <f aca="false">3_Calc_From_Gross!W33</f>
        <v>5525.442</v>
      </c>
      <c r="G17" s="60" t="n">
        <f aca="false">3_Calc_From_Gross!AL33</f>
        <v>7606.1</v>
      </c>
      <c r="H17" s="60" t="n">
        <f aca="false">3_Calc_From_Gross!BA33</f>
        <v>12265.5</v>
      </c>
      <c r="I17" s="60" t="n">
        <f aca="false">3_Calc_From_Gross!BP33</f>
        <v>7862.58</v>
      </c>
      <c r="J17" s="60" t="n">
        <f aca="false">3_Calc_From_Gross!CE33</f>
        <v>8814</v>
      </c>
      <c r="K17" s="60" t="n">
        <f aca="false">3_Calc_From_Gross!CT33</f>
        <v>4840.884</v>
      </c>
      <c r="L17" s="60" t="n">
        <f aca="false">3_Calc_From_Gross!DI33</f>
        <v>6058.8</v>
      </c>
      <c r="M17" s="60" t="n">
        <f aca="false">3_Calc_From_Gross!DX33</f>
        <v>3340.5075</v>
      </c>
    </row>
    <row r="18" customFormat="false" ht="15" hidden="false" customHeight="false" outlineLevel="0" collapsed="false">
      <c r="A18" s="37" t="n">
        <v>15</v>
      </c>
      <c r="B18" s="32" t="s">
        <v>266</v>
      </c>
      <c r="C18" s="5" t="s">
        <v>267</v>
      </c>
      <c r="D18" s="62" t="s">
        <v>249</v>
      </c>
      <c r="E18" s="63" t="n">
        <f aca="false">3_Calc_From_Gross!H35</f>
        <v>4810</v>
      </c>
      <c r="F18" s="57" t="n">
        <f aca="false">3_Calc_From_Gross!W35</f>
        <v>8288.163</v>
      </c>
      <c r="G18" s="57" t="n">
        <f aca="false">3_Calc_From_Gross!AL35</f>
        <v>10953.75</v>
      </c>
      <c r="H18" s="57" t="n">
        <f aca="false">3_Calc_From_Gross!BA35</f>
        <v>17454.75</v>
      </c>
      <c r="I18" s="57" t="n">
        <f aca="false">3_Calc_From_Gross!BP35</f>
        <v>11622.05</v>
      </c>
      <c r="J18" s="57" t="n">
        <f aca="false">3_Calc_From_Gross!CE35</f>
        <v>12430.8</v>
      </c>
      <c r="K18" s="57" t="n">
        <f aca="false">3_Calc_From_Gross!CT35</f>
        <v>6851.898</v>
      </c>
      <c r="L18" s="57" t="n">
        <f aca="false">3_Calc_From_Gross!DI35</f>
        <v>8390.25</v>
      </c>
      <c r="M18" s="57" t="n">
        <f aca="false">3_Calc_From_Gross!DX35</f>
        <v>4580.8</v>
      </c>
    </row>
    <row r="19" customFormat="false" ht="15" hidden="false" customHeight="false" outlineLevel="0" collapsed="false">
      <c r="A19" s="41" t="n">
        <v>16</v>
      </c>
      <c r="B19" s="28" t="s">
        <v>268</v>
      </c>
      <c r="C19" s="8" t="s">
        <v>269</v>
      </c>
      <c r="D19" s="65" t="s">
        <v>249</v>
      </c>
      <c r="E19" s="63" t="n">
        <f aca="false">3_Calc_From_Gross!H37</f>
        <v>3235</v>
      </c>
      <c r="F19" s="60" t="n">
        <f aca="false">3_Calc_From_Gross!W37</f>
        <v>6139.38</v>
      </c>
      <c r="G19" s="60" t="n">
        <f aca="false">3_Calc_From_Gross!AL37</f>
        <v>7910.85</v>
      </c>
      <c r="H19" s="60" t="n">
        <f aca="false">3_Calc_From_Gross!BA37</f>
        <v>14152.5</v>
      </c>
      <c r="I19" s="60" t="n">
        <f aca="false">3_Calc_From_Gross!BP37</f>
        <v>8887.45</v>
      </c>
      <c r="J19" s="60" t="n">
        <f aca="false">3_Calc_From_Gross!CE37</f>
        <v>10170</v>
      </c>
      <c r="K19" s="60" t="n">
        <f aca="false">3_Calc_From_Gross!CT37</f>
        <v>5511.222</v>
      </c>
      <c r="L19" s="60" t="n">
        <f aca="false">3_Calc_From_Gross!DI37</f>
        <v>6757.9875</v>
      </c>
      <c r="M19" s="60" t="n">
        <f aca="false">3_Calc_From_Gross!DX37</f>
        <v>3626.8075</v>
      </c>
    </row>
    <row r="20" customFormat="false" ht="15" hidden="false" customHeight="false" outlineLevel="0" collapsed="false">
      <c r="A20" s="37" t="n">
        <v>17</v>
      </c>
      <c r="B20" s="32" t="s">
        <v>270</v>
      </c>
      <c r="C20" s="5" t="s">
        <v>271</v>
      </c>
      <c r="D20" s="62" t="s">
        <v>249</v>
      </c>
      <c r="E20" s="63" t="n">
        <f aca="false">3_Calc_From_Gross!H39</f>
        <v>2785</v>
      </c>
      <c r="F20" s="57" t="n">
        <f aca="false">3_Calc_From_Gross!W39</f>
        <v>5525.442</v>
      </c>
      <c r="G20" s="57" t="n">
        <f aca="false">3_Calc_From_Gross!AL39</f>
        <v>6693</v>
      </c>
      <c r="H20" s="57" t="n">
        <f aca="false">3_Calc_From_Gross!BA39</f>
        <v>12737.25</v>
      </c>
      <c r="I20" s="57" t="n">
        <f aca="false">3_Calc_From_Gross!BP39</f>
        <v>7975.11</v>
      </c>
      <c r="J20" s="57" t="n">
        <f aca="false">3_Calc_From_Gross!CE39</f>
        <v>9379.2</v>
      </c>
      <c r="K20" s="57" t="n">
        <f aca="false">3_Calc_From_Gross!CT39</f>
        <v>4468.92</v>
      </c>
      <c r="L20" s="57" t="n">
        <f aca="false">3_Calc_From_Gross!DI39</f>
        <v>5827.3875</v>
      </c>
      <c r="M20" s="57" t="n">
        <f aca="false">3_Calc_From_Gross!DX39</f>
        <v>3149.3</v>
      </c>
    </row>
    <row r="21" customFormat="false" ht="15" hidden="false" customHeight="false" outlineLevel="0" collapsed="false">
      <c r="A21" s="41" t="n">
        <v>18</v>
      </c>
      <c r="B21" s="28" t="s">
        <v>272</v>
      </c>
      <c r="C21" s="8" t="s">
        <v>273</v>
      </c>
      <c r="D21" s="65" t="s">
        <v>249</v>
      </c>
      <c r="E21" s="63" t="n">
        <f aca="false">3_Calc_From_Gross!H41</f>
        <v>4285</v>
      </c>
      <c r="F21" s="60" t="n">
        <f aca="false">3_Calc_From_Gross!W41</f>
        <v>7367.256</v>
      </c>
      <c r="G21" s="60" t="n">
        <f aca="false">3_Calc_From_Gross!AL41</f>
        <v>9128.7</v>
      </c>
      <c r="H21" s="60" t="n">
        <f aca="false">3_Calc_From_Gross!BA41</f>
        <v>16039.5</v>
      </c>
      <c r="I21" s="60" t="n">
        <f aca="false">3_Calc_From_Gross!BP41</f>
        <v>9913.53</v>
      </c>
      <c r="J21" s="60" t="n">
        <f aca="false">3_Calc_From_Gross!CE41</f>
        <v>11300.4</v>
      </c>
      <c r="K21" s="60" t="n">
        <f aca="false">3_Calc_From_Gross!CT41</f>
        <v>6330.078</v>
      </c>
      <c r="L21" s="60" t="n">
        <f aca="false">3_Calc_From_Gross!DI41</f>
        <v>7691.0625</v>
      </c>
      <c r="M21" s="60" t="n">
        <f aca="false">3_Calc_From_Gross!DX41</f>
        <v>4294.5</v>
      </c>
    </row>
    <row r="22" customFormat="false" ht="15" hidden="false" customHeight="false" outlineLevel="0" collapsed="false">
      <c r="A22" s="37" t="n">
        <v>19</v>
      </c>
      <c r="B22" s="32" t="s">
        <v>272</v>
      </c>
      <c r="C22" s="5" t="s">
        <v>274</v>
      </c>
      <c r="D22" s="62" t="s">
        <v>249</v>
      </c>
      <c r="E22" s="63" t="n">
        <f aca="false">3_Calc_From_Gross!H43</f>
        <v>4035</v>
      </c>
      <c r="F22" s="57" t="n">
        <f aca="false">3_Calc_From_Gross!W43</f>
        <v>6446.349</v>
      </c>
      <c r="G22" s="57" t="n">
        <f aca="false">3_Calc_From_Gross!AL43</f>
        <v>7910.85</v>
      </c>
      <c r="H22" s="57" t="n">
        <f aca="false">3_Calc_From_Gross!BA43</f>
        <v>14152.5</v>
      </c>
      <c r="I22" s="57" t="n">
        <f aca="false">3_Calc_From_Gross!BP43</f>
        <v>8887.45</v>
      </c>
      <c r="J22" s="57" t="n">
        <f aca="false">3_Calc_From_Gross!CE43</f>
        <v>10170</v>
      </c>
      <c r="K22" s="57" t="n">
        <f aca="false">3_Calc_From_Gross!CT43</f>
        <v>5659.74</v>
      </c>
      <c r="L22" s="57" t="n">
        <f aca="false">3_Calc_From_Gross!DI43</f>
        <v>6991.875</v>
      </c>
      <c r="M22" s="57" t="n">
        <f aca="false">3_Calc_From_Gross!DX43</f>
        <v>3816.9925</v>
      </c>
    </row>
    <row r="23" customFormat="false" ht="15" hidden="false" customHeight="false" outlineLevel="0" collapsed="false">
      <c r="A23" s="41" t="n">
        <v>20</v>
      </c>
      <c r="B23" s="28" t="s">
        <v>272</v>
      </c>
      <c r="C23" s="8" t="s">
        <v>275</v>
      </c>
      <c r="D23" s="65" t="s">
        <v>249</v>
      </c>
      <c r="E23" s="63" t="n">
        <f aca="false">3_Calc_From_Gross!H45</f>
        <v>4285</v>
      </c>
      <c r="F23" s="60" t="n">
        <f aca="false">3_Calc_From_Gross!W45</f>
        <v>6753.318</v>
      </c>
      <c r="G23" s="60" t="n">
        <f aca="false">3_Calc_From_Gross!AL45</f>
        <v>7910.85</v>
      </c>
      <c r="H23" s="60" t="n">
        <f aca="false">3_Calc_From_Gross!BA45</f>
        <v>15096</v>
      </c>
      <c r="I23" s="60" t="n">
        <f aca="false">3_Calc_From_Gross!BP45</f>
        <v>9229.88</v>
      </c>
      <c r="J23" s="60" t="n">
        <f aca="false">3_Calc_From_Gross!CE45</f>
        <v>10170</v>
      </c>
      <c r="K23" s="60" t="n">
        <f aca="false">3_Calc_From_Gross!CT45</f>
        <v>5808.258</v>
      </c>
      <c r="L23" s="60" t="n">
        <f aca="false">3_Calc_From_Gross!DI45</f>
        <v>6991.875</v>
      </c>
      <c r="M23" s="60" t="n">
        <f aca="false">3_Calc_From_Gross!DX45</f>
        <v>3626.8075</v>
      </c>
    </row>
    <row r="24" customFormat="false" ht="15" hidden="false" customHeight="false" outlineLevel="0" collapsed="false">
      <c r="A24" s="37" t="n">
        <v>21</v>
      </c>
      <c r="B24" s="32" t="s">
        <v>276</v>
      </c>
      <c r="C24" s="5" t="s">
        <v>277</v>
      </c>
      <c r="D24" s="62" t="s">
        <v>249</v>
      </c>
      <c r="E24" s="63" t="n">
        <f aca="false">3_Calc_From_Gross!H47</f>
        <v>5535</v>
      </c>
      <c r="F24" s="57" t="n">
        <f aca="false">3_Calc_From_Gross!W47</f>
        <v>8288.163</v>
      </c>
      <c r="G24" s="57" t="n">
        <f aca="false">3_Calc_From_Gross!AL47</f>
        <v>11560.95</v>
      </c>
      <c r="H24" s="57" t="n">
        <f aca="false">3_Calc_From_Gross!BA47</f>
        <v>22172.25</v>
      </c>
      <c r="I24" s="57" t="n">
        <f aca="false">3_Calc_From_Gross!BP47</f>
        <v>11622.05</v>
      </c>
      <c r="J24" s="57" t="n">
        <f aca="false">3_Calc_From_Gross!CE47</f>
        <v>13560</v>
      </c>
      <c r="K24" s="57" t="n">
        <f aca="false">3_Calc_From_Gross!CT47</f>
        <v>7075.344</v>
      </c>
      <c r="L24" s="57" t="n">
        <f aca="false">3_Calc_From_Gross!DI47</f>
        <v>9089.4375</v>
      </c>
      <c r="M24" s="57" t="n">
        <f aca="false">3_Calc_From_Gross!DX47</f>
        <v>4962.1925</v>
      </c>
    </row>
    <row r="25" customFormat="false" ht="15" hidden="false" customHeight="false" outlineLevel="0" collapsed="false">
      <c r="A25" s="41" t="n">
        <v>22</v>
      </c>
      <c r="B25" s="28" t="s">
        <v>278</v>
      </c>
      <c r="C25" s="8" t="s">
        <v>279</v>
      </c>
      <c r="D25" s="65" t="s">
        <v>249</v>
      </c>
      <c r="E25" s="63" t="n">
        <f aca="false">3_Calc_From_Gross!H49</f>
        <v>4635</v>
      </c>
      <c r="F25" s="60" t="n">
        <f aca="false">3_Calc_From_Gross!W49</f>
        <v>7981.194</v>
      </c>
      <c r="G25" s="60" t="n">
        <f aca="false">3_Calc_From_Gross!AL49</f>
        <v>9128.7</v>
      </c>
      <c r="H25" s="60" t="n">
        <f aca="false">3_Calc_From_Gross!BA49</f>
        <v>17926.5</v>
      </c>
      <c r="I25" s="60" t="n">
        <f aca="false">3_Calc_From_Gross!BP49</f>
        <v>10254.75</v>
      </c>
      <c r="J25" s="60" t="n">
        <f aca="false">3_Calc_From_Gross!CE49</f>
        <v>11413.2</v>
      </c>
      <c r="K25" s="60" t="n">
        <f aca="false">3_Calc_From_Gross!CT49</f>
        <v>6702.042</v>
      </c>
      <c r="L25" s="60" t="n">
        <f aca="false">3_Calc_From_Gross!DI49</f>
        <v>7924.95</v>
      </c>
      <c r="M25" s="60" t="n">
        <f aca="false">3_Calc_From_Gross!DX49</f>
        <v>4580.8</v>
      </c>
    </row>
    <row r="26" customFormat="false" ht="15" hidden="false" customHeight="false" outlineLevel="0" collapsed="false">
      <c r="A26" s="37" t="n">
        <v>23</v>
      </c>
      <c r="B26" s="32" t="s">
        <v>280</v>
      </c>
      <c r="C26" s="5" t="s">
        <v>281</v>
      </c>
      <c r="D26" s="62" t="s">
        <v>249</v>
      </c>
      <c r="E26" s="63" t="n">
        <f aca="false">3_Calc_From_Gross!H51</f>
        <v>4285</v>
      </c>
      <c r="F26" s="57" t="n">
        <f aca="false">3_Calc_From_Gross!W51</f>
        <v>7674.225</v>
      </c>
      <c r="G26" s="57" t="n">
        <f aca="false">3_Calc_From_Gross!AL51</f>
        <v>9737.05</v>
      </c>
      <c r="H26" s="57" t="n">
        <f aca="false">3_Calc_From_Gross!BA51</f>
        <v>19813.5</v>
      </c>
      <c r="I26" s="57" t="n">
        <f aca="false">3_Calc_From_Gross!BP51</f>
        <v>9571.1</v>
      </c>
      <c r="J26" s="57" t="n">
        <f aca="false">3_Calc_From_Gross!CE51</f>
        <v>11300.4</v>
      </c>
      <c r="K26" s="57" t="n">
        <f aca="false">3_Calc_From_Gross!CT51</f>
        <v>6553.524</v>
      </c>
      <c r="L26" s="57" t="n">
        <f aca="false">3_Calc_From_Gross!DI51</f>
        <v>7691.0625</v>
      </c>
      <c r="M26" s="57" t="n">
        <f aca="false">3_Calc_From_Gross!DX51</f>
        <v>4389.5925</v>
      </c>
    </row>
    <row r="27" customFormat="false" ht="18" hidden="false" customHeight="true" outlineLevel="0" collapsed="false">
      <c r="A27" s="98" t="s">
        <v>955</v>
      </c>
      <c r="B27" s="98"/>
      <c r="C27" s="98"/>
      <c r="D27" s="98"/>
      <c r="E27" s="99" t="n">
        <f aca="false">AVERAGE(E4:E26)</f>
        <v>4307.82608695652</v>
      </c>
      <c r="F27" s="99" t="n">
        <f aca="false">AVERAGE(F4:F26)</f>
        <v>7093.67936521739</v>
      </c>
      <c r="G27" s="99" t="n">
        <f aca="false">AVERAGE(G4:G26)</f>
        <v>8691.4</v>
      </c>
      <c r="H27" s="99" t="n">
        <f aca="false">AVERAGE(H4:H26)</f>
        <v>15424.1739130435</v>
      </c>
      <c r="I27" s="99" t="n">
        <f aca="false">AVERAGE(I4:I26)</f>
        <v>9452.36217391304</v>
      </c>
      <c r="J27" s="99" t="n">
        <f aca="false">AVERAGE(J4:J26)</f>
        <v>10774.4869565217</v>
      </c>
      <c r="K27" s="99" t="n">
        <f aca="false">AVERAGE(K4:K26)</f>
        <v>6058.11495652174</v>
      </c>
      <c r="L27" s="99" t="n">
        <f aca="false">AVERAGE(L4:L26)</f>
        <v>7235.12445652174</v>
      </c>
      <c r="M27" s="99" t="n">
        <f aca="false">AVERAGE(M4:M26)</f>
        <v>3974.94652173913</v>
      </c>
    </row>
  </sheetData>
  <mergeCells count="3">
    <mergeCell ref="A1:M1"/>
    <mergeCell ref="A2:M2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"/>
    <col collapsed="false" customWidth="true" hidden="false" outlineLevel="0" max="3" min="3" style="1" width="18"/>
    <col collapsed="false" customWidth="true" hidden="false" outlineLevel="0" max="4" min="4" style="1" width="9"/>
    <col collapsed="false" customWidth="true" hidden="false" outlineLevel="0" max="13" min="5" style="1" width="13"/>
  </cols>
  <sheetData>
    <row r="1" customFormat="false" ht="25.5" hidden="false" customHeight="true" outlineLevel="0" collapsed="false">
      <c r="A1" s="35" t="s">
        <v>986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customFormat="false" ht="15" hidden="false" customHeight="true" outlineLevel="0" collapsed="false">
      <c r="A2" s="44" t="s">
        <v>987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customFormat="false" ht="31.5" hidden="false" customHeight="true" outlineLevel="0" collapsed="false">
      <c r="A3" s="14" t="s">
        <v>233</v>
      </c>
      <c r="B3" s="14" t="s">
        <v>284</v>
      </c>
      <c r="C3" s="14" t="s">
        <v>235</v>
      </c>
      <c r="D3" s="14" t="s">
        <v>236</v>
      </c>
      <c r="E3" s="49" t="s">
        <v>946</v>
      </c>
      <c r="F3" s="45" t="s">
        <v>947</v>
      </c>
      <c r="G3" s="45" t="s">
        <v>948</v>
      </c>
      <c r="H3" s="45" t="s">
        <v>949</v>
      </c>
      <c r="I3" s="45" t="s">
        <v>950</v>
      </c>
      <c r="J3" s="45" t="s">
        <v>951</v>
      </c>
      <c r="K3" s="45" t="s">
        <v>952</v>
      </c>
      <c r="L3" s="45" t="s">
        <v>953</v>
      </c>
      <c r="M3" s="45" t="s">
        <v>954</v>
      </c>
    </row>
    <row r="4" customFormat="false" ht="15" hidden="false" customHeight="false" outlineLevel="0" collapsed="false">
      <c r="A4" s="37" t="n">
        <v>1</v>
      </c>
      <c r="B4" s="32" t="s">
        <v>246</v>
      </c>
      <c r="C4" s="32" t="s">
        <v>247</v>
      </c>
      <c r="D4" s="62" t="s">
        <v>248</v>
      </c>
      <c r="E4" s="63" t="n">
        <f aca="false">3_Calc_From_Gross!H6</f>
        <v>1535</v>
      </c>
      <c r="F4" s="57" t="n">
        <f aca="false">3_Calc_From_Gross!W6</f>
        <v>4604.535</v>
      </c>
      <c r="G4" s="57" t="n">
        <f aca="false">3_Calc_From_Gross!AL6</f>
        <v>6085.8</v>
      </c>
      <c r="H4" s="57" t="n">
        <f aca="false">3_Calc_From_Gross!BA6</f>
        <v>12210</v>
      </c>
      <c r="I4" s="57" t="n">
        <f aca="false">3_Calc_From_Gross!BP6</f>
        <v>6928.46</v>
      </c>
      <c r="J4" s="57" t="n">
        <f aca="false">3_Calc_From_Gross!CE6</f>
        <v>7684.8</v>
      </c>
      <c r="K4" s="57" t="n">
        <f aca="false">3_Calc_From_Gross!CT6</f>
        <v>4141.11</v>
      </c>
      <c r="L4" s="57" t="n">
        <f aca="false">3_Calc_From_Gross!DI6</f>
        <v>4894.3125</v>
      </c>
      <c r="M4" s="57" t="n">
        <f aca="false">3_Calc_From_Gross!DX6</f>
        <v>2556.25</v>
      </c>
    </row>
    <row r="5" customFormat="false" ht="15" hidden="false" customHeight="false" outlineLevel="0" collapsed="false">
      <c r="A5" s="41" t="n">
        <v>2</v>
      </c>
      <c r="B5" s="28" t="s">
        <v>246</v>
      </c>
      <c r="C5" s="8" t="s">
        <v>247</v>
      </c>
      <c r="D5" s="65" t="s">
        <v>249</v>
      </c>
      <c r="E5" s="63" t="n">
        <f aca="false">3_Calc_From_Gross!H7</f>
        <v>4785</v>
      </c>
      <c r="F5" s="60" t="n">
        <f aca="false">3_Calc_From_Gross!W7</f>
        <v>7674.225</v>
      </c>
      <c r="G5" s="60" t="n">
        <f aca="false">3_Calc_From_Gross!AL7</f>
        <v>9128.7</v>
      </c>
      <c r="H5" s="60" t="n">
        <f aca="false">3_Calc_From_Gross!BA7</f>
        <v>15567.75</v>
      </c>
      <c r="I5" s="60" t="n">
        <f aca="false">3_Calc_From_Gross!BP7</f>
        <v>9913.53</v>
      </c>
      <c r="J5" s="60" t="n">
        <f aca="false">3_Calc_From_Gross!CE7</f>
        <v>11300.4</v>
      </c>
      <c r="K5" s="60" t="n">
        <f aca="false">3_Calc_From_Gross!CT7</f>
        <v>6702.042</v>
      </c>
      <c r="L5" s="60" t="n">
        <f aca="false">3_Calc_From_Gross!DI7</f>
        <v>7691.0625</v>
      </c>
      <c r="M5" s="60" t="n">
        <f aca="false">3_Calc_From_Gross!DX7</f>
        <v>4294.5</v>
      </c>
    </row>
    <row r="6" customFormat="false" ht="15" hidden="false" customHeight="false" outlineLevel="0" collapsed="false">
      <c r="A6" s="37" t="n">
        <v>3</v>
      </c>
      <c r="B6" s="32" t="s">
        <v>253</v>
      </c>
      <c r="C6" s="32" t="s">
        <v>255</v>
      </c>
      <c r="D6" s="62" t="s">
        <v>248</v>
      </c>
      <c r="E6" s="63" t="n">
        <f aca="false">3_Calc_From_Gross!H16</f>
        <v>1635</v>
      </c>
      <c r="F6" s="57" t="n">
        <f aca="false">3_Calc_From_Gross!W16</f>
        <v>4297.566</v>
      </c>
      <c r="G6" s="57" t="n">
        <f aca="false">3_Calc_From_Gross!AL16</f>
        <v>5477.45</v>
      </c>
      <c r="H6" s="57" t="n">
        <f aca="false">3_Calc_From_Gross!BA16</f>
        <v>12210</v>
      </c>
      <c r="I6" s="57" t="n">
        <f aca="false">3_Calc_From_Gross!BP16</f>
        <v>6722.76</v>
      </c>
      <c r="J6" s="57" t="n">
        <f aca="false">3_Calc_From_Gross!CE16</f>
        <v>7345.2</v>
      </c>
      <c r="K6" s="57" t="n">
        <f aca="false">3_Calc_From_Gross!CT16</f>
        <v>3854.778</v>
      </c>
      <c r="L6" s="57" t="n">
        <f aca="false">3_Calc_From_Gross!DI16</f>
        <v>4660.425</v>
      </c>
      <c r="M6" s="57" t="n">
        <f aca="false">3_Calc_From_Gross!DX16</f>
        <v>2385.4925</v>
      </c>
    </row>
    <row r="7" customFormat="false" ht="15" hidden="false" customHeight="false" outlineLevel="0" collapsed="false">
      <c r="A7" s="41" t="n">
        <v>4</v>
      </c>
      <c r="B7" s="28" t="s">
        <v>253</v>
      </c>
      <c r="C7" s="8" t="s">
        <v>255</v>
      </c>
      <c r="D7" s="65" t="s">
        <v>249</v>
      </c>
      <c r="E7" s="63" t="n">
        <f aca="false">3_Calc_From_Gross!H17</f>
        <v>4535</v>
      </c>
      <c r="F7" s="60" t="n">
        <f aca="false">3_Calc_From_Gross!W17</f>
        <v>7367.256</v>
      </c>
      <c r="G7" s="60" t="n">
        <f aca="false">3_Calc_From_Gross!AL17</f>
        <v>7910.85</v>
      </c>
      <c r="H7" s="60" t="n">
        <f aca="false">3_Calc_From_Gross!BA17</f>
        <v>14624.25</v>
      </c>
      <c r="I7" s="60" t="n">
        <f aca="false">3_Calc_From_Gross!BP17</f>
        <v>9229.88</v>
      </c>
      <c r="J7" s="60" t="n">
        <f aca="false">3_Calc_From_Gross!CE17</f>
        <v>10395.6</v>
      </c>
      <c r="K7" s="60" t="n">
        <f aca="false">3_Calc_From_Gross!CT17</f>
        <v>6106.632</v>
      </c>
      <c r="L7" s="60" t="n">
        <f aca="false">3_Calc_From_Gross!DI17</f>
        <v>6991.875</v>
      </c>
      <c r="M7" s="60" t="n">
        <f aca="false">3_Calc_From_Gross!DX17</f>
        <v>3816.9925</v>
      </c>
    </row>
    <row r="8" customFormat="false" ht="15" hidden="false" customHeight="false" outlineLevel="0" collapsed="false">
      <c r="A8" s="37" t="n">
        <v>5</v>
      </c>
      <c r="B8" s="32" t="s">
        <v>264</v>
      </c>
      <c r="C8" s="32" t="s">
        <v>265</v>
      </c>
      <c r="D8" s="62" t="s">
        <v>248</v>
      </c>
      <c r="E8" s="63" t="n">
        <f aca="false">3_Calc_From_Gross!H32</f>
        <v>1385</v>
      </c>
      <c r="F8" s="57" t="n">
        <f aca="false">3_Calc_From_Gross!W32</f>
        <v>3530.7454</v>
      </c>
      <c r="G8" s="57" t="n">
        <f aca="false">3_Calc_From_Gross!AL32</f>
        <v>4867.95</v>
      </c>
      <c r="H8" s="57" t="n">
        <f aca="false">3_Calc_From_Gross!BA32</f>
        <v>9990</v>
      </c>
      <c r="I8" s="57" t="n">
        <f aca="false">3_Calc_From_Gross!BP32</f>
        <v>5469.2</v>
      </c>
      <c r="J8" s="57" t="n">
        <f aca="false">3_Calc_From_Gross!CE32</f>
        <v>6214.8</v>
      </c>
      <c r="K8" s="57" t="n">
        <f aca="false">3_Calc_From_Gross!CT32</f>
        <v>3141.624</v>
      </c>
      <c r="L8" s="57" t="n">
        <f aca="false">3_Calc_From_Gross!DI32</f>
        <v>4078.8</v>
      </c>
      <c r="M8" s="57" t="n">
        <f aca="false">3_Calc_From_Gross!DX32</f>
        <v>1960.1325</v>
      </c>
    </row>
    <row r="9" customFormat="false" ht="15" hidden="false" customHeight="false" outlineLevel="0" collapsed="false">
      <c r="A9" s="41" t="n">
        <v>6</v>
      </c>
      <c r="B9" s="28" t="s">
        <v>264</v>
      </c>
      <c r="C9" s="8" t="s">
        <v>265</v>
      </c>
      <c r="D9" s="65" t="s">
        <v>249</v>
      </c>
      <c r="E9" s="63" t="n">
        <f aca="false">3_Calc_From_Gross!H33</f>
        <v>3285</v>
      </c>
      <c r="F9" s="60" t="n">
        <f aca="false">3_Calc_From_Gross!W33</f>
        <v>5525.442</v>
      </c>
      <c r="G9" s="60" t="n">
        <f aca="false">3_Calc_From_Gross!AL33</f>
        <v>7606.1</v>
      </c>
      <c r="H9" s="60" t="n">
        <f aca="false">3_Calc_From_Gross!BA33</f>
        <v>12265.5</v>
      </c>
      <c r="I9" s="60" t="n">
        <f aca="false">3_Calc_From_Gross!BP33</f>
        <v>7862.58</v>
      </c>
      <c r="J9" s="60" t="n">
        <f aca="false">3_Calc_From_Gross!CE33</f>
        <v>8814</v>
      </c>
      <c r="K9" s="60" t="n">
        <f aca="false">3_Calc_From_Gross!CT33</f>
        <v>4840.884</v>
      </c>
      <c r="L9" s="60" t="n">
        <f aca="false">3_Calc_From_Gross!DI33</f>
        <v>6058.8</v>
      </c>
      <c r="M9" s="60" t="n">
        <f aca="false">3_Calc_From_Gross!DX33</f>
        <v>3340.5075</v>
      </c>
    </row>
    <row r="10" customFormat="false" ht="15" hidden="false" customHeight="false" outlineLevel="0" collapsed="false">
      <c r="A10" s="37" t="n">
        <v>7</v>
      </c>
      <c r="B10" s="32" t="s">
        <v>266</v>
      </c>
      <c r="C10" s="32" t="s">
        <v>267</v>
      </c>
      <c r="D10" s="62" t="s">
        <v>248</v>
      </c>
      <c r="E10" s="63" t="n">
        <f aca="false">3_Calc_From_Gross!H34</f>
        <v>1885</v>
      </c>
      <c r="F10" s="57" t="n">
        <f aca="false">3_Calc_From_Gross!W34</f>
        <v>5218.473</v>
      </c>
      <c r="G10" s="57" t="n">
        <f aca="false">3_Calc_From_Gross!AL34</f>
        <v>7302.5</v>
      </c>
      <c r="H10" s="57" t="n">
        <f aca="false">3_Calc_From_Gross!BA34</f>
        <v>15628.8</v>
      </c>
      <c r="I10" s="57" t="n">
        <f aca="false">3_Calc_From_Gross!BP34</f>
        <v>8090.06</v>
      </c>
      <c r="J10" s="57" t="n">
        <f aca="false">3_Calc_From_Gross!CE34</f>
        <v>8587.2</v>
      </c>
      <c r="K10" s="57" t="n">
        <f aca="false">3_Calc_From_Gross!CT34</f>
        <v>4284.276</v>
      </c>
      <c r="L10" s="57" t="n">
        <f aca="false">3_Calc_From_Gross!DI34</f>
        <v>5593.5</v>
      </c>
      <c r="M10" s="57" t="n">
        <f aca="false">3_Calc_From_Gross!DX34</f>
        <v>2811.875</v>
      </c>
    </row>
    <row r="11" customFormat="false" ht="15" hidden="false" customHeight="false" outlineLevel="0" collapsed="false">
      <c r="A11" s="41" t="n">
        <v>8</v>
      </c>
      <c r="B11" s="28" t="s">
        <v>266</v>
      </c>
      <c r="C11" s="8" t="s">
        <v>267</v>
      </c>
      <c r="D11" s="65" t="s">
        <v>249</v>
      </c>
      <c r="E11" s="63" t="n">
        <f aca="false">3_Calc_From_Gross!H35</f>
        <v>4810</v>
      </c>
      <c r="F11" s="60" t="n">
        <f aca="false">3_Calc_From_Gross!W35</f>
        <v>8288.163</v>
      </c>
      <c r="G11" s="60" t="n">
        <f aca="false">3_Calc_From_Gross!AL35</f>
        <v>10953.75</v>
      </c>
      <c r="H11" s="60" t="n">
        <f aca="false">3_Calc_From_Gross!BA35</f>
        <v>17454.75</v>
      </c>
      <c r="I11" s="60" t="n">
        <f aca="false">3_Calc_From_Gross!BP35</f>
        <v>11622.05</v>
      </c>
      <c r="J11" s="60" t="n">
        <f aca="false">3_Calc_From_Gross!CE35</f>
        <v>12430.8</v>
      </c>
      <c r="K11" s="60" t="n">
        <f aca="false">3_Calc_From_Gross!CT35</f>
        <v>6851.898</v>
      </c>
      <c r="L11" s="60" t="n">
        <f aca="false">3_Calc_From_Gross!DI35</f>
        <v>8390.25</v>
      </c>
      <c r="M11" s="60" t="n">
        <f aca="false">3_Calc_From_Gross!DX35</f>
        <v>4580.8</v>
      </c>
    </row>
    <row r="12" customFormat="false" ht="18" hidden="false" customHeight="true" outlineLevel="0" collapsed="false">
      <c r="A12" s="98" t="s">
        <v>955</v>
      </c>
      <c r="B12" s="98"/>
      <c r="C12" s="98"/>
      <c r="D12" s="98"/>
      <c r="E12" s="99" t="n">
        <f aca="false">AVERAGE(E4:E11)</f>
        <v>2981.875</v>
      </c>
      <c r="F12" s="99" t="n">
        <f aca="false">AVERAGE(F4:F11)</f>
        <v>5813.300675</v>
      </c>
      <c r="G12" s="99" t="n">
        <f aca="false">AVERAGE(G4:G11)</f>
        <v>7416.6375</v>
      </c>
      <c r="H12" s="99" t="n">
        <f aca="false">AVERAGE(H4:H11)</f>
        <v>13743.88125</v>
      </c>
      <c r="I12" s="99" t="n">
        <f aca="false">AVERAGE(I4:I11)</f>
        <v>8229.815</v>
      </c>
      <c r="J12" s="99" t="n">
        <f aca="false">AVERAGE(J4:J11)</f>
        <v>9096.6</v>
      </c>
      <c r="K12" s="99" t="n">
        <f aca="false">AVERAGE(K4:K11)</f>
        <v>4990.4055</v>
      </c>
      <c r="L12" s="99" t="n">
        <f aca="false">AVERAGE(L4:L11)</f>
        <v>6044.878125</v>
      </c>
      <c r="M12" s="99" t="n">
        <f aca="false">AVERAGE(M4:M11)</f>
        <v>3218.31875</v>
      </c>
    </row>
  </sheetData>
  <mergeCells count="3">
    <mergeCell ref="A1:M1"/>
    <mergeCell ref="A2:M2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"/>
    <col collapsed="false" customWidth="true" hidden="false" outlineLevel="0" max="3" min="3" style="1" width="18"/>
    <col collapsed="false" customWidth="true" hidden="false" outlineLevel="0" max="4" min="4" style="1" width="9"/>
    <col collapsed="false" customWidth="true" hidden="false" outlineLevel="0" max="13" min="5" style="1" width="13"/>
  </cols>
  <sheetData>
    <row r="1" customFormat="false" ht="25.5" hidden="false" customHeight="true" outlineLevel="0" collapsed="false">
      <c r="A1" s="35" t="s">
        <v>988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customFormat="false" ht="15" hidden="false" customHeight="true" outlineLevel="0" collapsed="false">
      <c r="A2" s="44" t="s">
        <v>989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customFormat="false" ht="31.5" hidden="false" customHeight="true" outlineLevel="0" collapsed="false">
      <c r="A3" s="14" t="s">
        <v>233</v>
      </c>
      <c r="B3" s="14" t="s">
        <v>284</v>
      </c>
      <c r="C3" s="14" t="s">
        <v>235</v>
      </c>
      <c r="D3" s="14" t="s">
        <v>236</v>
      </c>
      <c r="E3" s="49" t="s">
        <v>946</v>
      </c>
      <c r="F3" s="45" t="s">
        <v>962</v>
      </c>
      <c r="G3" s="45" t="s">
        <v>963</v>
      </c>
      <c r="H3" s="45" t="s">
        <v>964</v>
      </c>
      <c r="I3" s="45" t="s">
        <v>965</v>
      </c>
      <c r="J3" s="45" t="s">
        <v>966</v>
      </c>
      <c r="K3" s="45" t="s">
        <v>967</v>
      </c>
      <c r="L3" s="45" t="s">
        <v>968</v>
      </c>
      <c r="M3" s="45" t="s">
        <v>969</v>
      </c>
    </row>
    <row r="4" customFormat="false" ht="15" hidden="false" customHeight="false" outlineLevel="0" collapsed="false">
      <c r="A4" s="37" t="n">
        <v>1</v>
      </c>
      <c r="B4" s="32" t="s">
        <v>246</v>
      </c>
      <c r="C4" s="32" t="s">
        <v>247</v>
      </c>
      <c r="D4" s="62" t="s">
        <v>248</v>
      </c>
      <c r="E4" s="63" t="n">
        <f aca="false">3_Calc_From_Gross!F6</f>
        <v>1402.5</v>
      </c>
      <c r="F4" s="57" t="n">
        <f aca="false">3_Calc_From_Gross!Z6</f>
        <v>3366</v>
      </c>
      <c r="G4" s="57" t="n">
        <f aca="false">3_Calc_From_Gross!AO6</f>
        <v>4286.52</v>
      </c>
      <c r="H4" s="57" t="n">
        <f aca="false">3_Calc_From_Gross!BD6</f>
        <v>6897</v>
      </c>
      <c r="I4" s="57" t="n">
        <f aca="false">3_Calc_From_Gross!BS6</f>
        <v>4294.5</v>
      </c>
      <c r="J4" s="57" t="n">
        <f aca="false">3_Calc_From_Gross!CH6</f>
        <v>4036.4412</v>
      </c>
      <c r="K4" s="57" t="n">
        <f aca="false">3_Calc_From_Gross!CW6</f>
        <v>2630.75</v>
      </c>
      <c r="L4" s="57" t="n">
        <f aca="false">3_Calc_From_Gross!DL6</f>
        <v>3164</v>
      </c>
      <c r="M4" s="57" t="n">
        <f aca="false">3_Calc_From_Gross!EA6</f>
        <v>2475</v>
      </c>
    </row>
    <row r="5" customFormat="false" ht="15" hidden="false" customHeight="false" outlineLevel="0" collapsed="false">
      <c r="A5" s="41" t="n">
        <v>2</v>
      </c>
      <c r="B5" s="28" t="s">
        <v>246</v>
      </c>
      <c r="C5" s="8" t="s">
        <v>247</v>
      </c>
      <c r="D5" s="65" t="s">
        <v>249</v>
      </c>
      <c r="E5" s="63" t="n">
        <f aca="false">3_Calc_From_Gross!F7</f>
        <v>4441.25</v>
      </c>
      <c r="F5" s="60" t="n">
        <f aca="false">3_Calc_From_Gross!Z7</f>
        <v>5610</v>
      </c>
      <c r="G5" s="60" t="n">
        <f aca="false">3_Calc_From_Gross!AO7</f>
        <v>6429.78</v>
      </c>
      <c r="H5" s="60" t="n">
        <f aca="false">3_Calc_From_Gross!BD7</f>
        <v>8793.675</v>
      </c>
      <c r="I5" s="60" t="n">
        <f aca="false">3_Calc_From_Gross!BS7</f>
        <v>6144.75</v>
      </c>
      <c r="J5" s="60" t="n">
        <f aca="false">3_Calc_From_Gross!CH7</f>
        <v>5935.5351</v>
      </c>
      <c r="K5" s="60" t="n">
        <f aca="false">3_Calc_From_Gross!CW7</f>
        <v>4257.65</v>
      </c>
      <c r="L5" s="60" t="n">
        <f aca="false">3_Calc_From_Gross!DL7</f>
        <v>4972</v>
      </c>
      <c r="M5" s="60" t="n">
        <f aca="false">3_Calc_From_Gross!EA7</f>
        <v>4158</v>
      </c>
    </row>
    <row r="6" customFormat="false" ht="15" hidden="false" customHeight="false" outlineLevel="0" collapsed="false">
      <c r="A6" s="37" t="n">
        <v>3</v>
      </c>
      <c r="B6" s="32" t="s">
        <v>246</v>
      </c>
      <c r="C6" s="32" t="s">
        <v>250</v>
      </c>
      <c r="D6" s="62" t="s">
        <v>248</v>
      </c>
      <c r="E6" s="63" t="n">
        <f aca="false">3_Calc_From_Gross!F8</f>
        <v>1496</v>
      </c>
      <c r="F6" s="57" t="n">
        <f aca="false">3_Calc_From_Gross!Z8</f>
        <v>3366</v>
      </c>
      <c r="G6" s="57" t="n">
        <f aca="false">3_Calc_From_Gross!AO8</f>
        <v>4286.52</v>
      </c>
      <c r="H6" s="57" t="n">
        <f aca="false">3_Calc_From_Gross!BD8</f>
        <v>6897</v>
      </c>
      <c r="I6" s="57" t="n">
        <f aca="false">3_Calc_From_Gross!BS8</f>
        <v>4237.5</v>
      </c>
      <c r="J6" s="57" t="n">
        <f aca="false">3_Calc_From_Gross!CH8</f>
        <v>3858.0663</v>
      </c>
      <c r="K6" s="57" t="n">
        <f aca="false">3_Calc_From_Gross!CW8</f>
        <v>2494.75</v>
      </c>
      <c r="L6" s="57" t="n">
        <f aca="false">3_Calc_From_Gross!DL8</f>
        <v>3012.8</v>
      </c>
      <c r="M6" s="57" t="n">
        <f aca="false">3_Calc_From_Gross!EA8</f>
        <v>2475</v>
      </c>
    </row>
    <row r="7" customFormat="false" ht="15" hidden="false" customHeight="false" outlineLevel="0" collapsed="false">
      <c r="A7" s="41" t="n">
        <v>4</v>
      </c>
      <c r="B7" s="28" t="s">
        <v>246</v>
      </c>
      <c r="C7" s="8" t="s">
        <v>250</v>
      </c>
      <c r="D7" s="65" t="s">
        <v>249</v>
      </c>
      <c r="E7" s="63" t="n">
        <f aca="false">3_Calc_From_Gross!F9</f>
        <v>4207.5</v>
      </c>
      <c r="F7" s="60" t="n">
        <f aca="false">3_Calc_From_Gross!Z9</f>
        <v>5610</v>
      </c>
      <c r="G7" s="60" t="n">
        <f aca="false">3_Calc_From_Gross!AO9</f>
        <v>5999.67</v>
      </c>
      <c r="H7" s="60" t="n">
        <f aca="false">3_Calc_From_Gross!BD9</f>
        <v>8527.2</v>
      </c>
      <c r="I7" s="60" t="n">
        <f aca="false">3_Calc_From_Gross!BS9</f>
        <v>5932.5</v>
      </c>
      <c r="J7" s="60" t="n">
        <f aca="false">3_Calc_From_Gross!CH9</f>
        <v>5697.912</v>
      </c>
      <c r="K7" s="60" t="n">
        <f aca="false">3_Calc_From_Gross!CW9</f>
        <v>4021.35</v>
      </c>
      <c r="L7" s="60" t="n">
        <f aca="false">3_Calc_From_Gross!DL9</f>
        <v>4671.2</v>
      </c>
      <c r="M7" s="60" t="n">
        <f aca="false">3_Calc_From_Gross!EA9</f>
        <v>3880.8</v>
      </c>
    </row>
    <row r="8" customFormat="false" ht="15" hidden="false" customHeight="false" outlineLevel="0" collapsed="false">
      <c r="A8" s="37" t="n">
        <v>5</v>
      </c>
      <c r="B8" s="32" t="s">
        <v>246</v>
      </c>
      <c r="C8" s="32" t="s">
        <v>251</v>
      </c>
      <c r="D8" s="62" t="s">
        <v>248</v>
      </c>
      <c r="E8" s="63" t="n">
        <f aca="false">3_Calc_From_Gross!F10</f>
        <v>1391.28</v>
      </c>
      <c r="F8" s="57" t="n">
        <f aca="false">3_Calc_From_Gross!Z10</f>
        <v>3366</v>
      </c>
      <c r="G8" s="57" t="n">
        <f aca="false">3_Calc_From_Gross!AO10</f>
        <v>4714.2</v>
      </c>
      <c r="H8" s="57" t="n">
        <f aca="false">3_Calc_From_Gross!BD10</f>
        <v>7210.5</v>
      </c>
      <c r="I8" s="57" t="n">
        <f aca="false">3_Calc_From_Gross!BS10</f>
        <v>4308</v>
      </c>
      <c r="J8" s="57" t="n">
        <f aca="false">3_Calc_From_Gross!CH10</f>
        <v>3917.3145</v>
      </c>
      <c r="K8" s="57" t="n">
        <f aca="false">3_Calc_From_Gross!CW10</f>
        <v>2539.8</v>
      </c>
      <c r="L8" s="57" t="n">
        <f aca="false">3_Calc_From_Gross!DL10</f>
        <v>3164</v>
      </c>
      <c r="M8" s="57" t="n">
        <f aca="false">3_Calc_From_Gross!EA10</f>
        <v>2475</v>
      </c>
    </row>
    <row r="9" customFormat="false" ht="15" hidden="false" customHeight="false" outlineLevel="0" collapsed="false">
      <c r="A9" s="41" t="n">
        <v>6</v>
      </c>
      <c r="B9" s="28" t="s">
        <v>246</v>
      </c>
      <c r="C9" s="8" t="s">
        <v>251</v>
      </c>
      <c r="D9" s="65" t="s">
        <v>249</v>
      </c>
      <c r="E9" s="63" t="n">
        <f aca="false">3_Calc_From_Gross!F11</f>
        <v>4207.5</v>
      </c>
      <c r="F9" s="60" t="n">
        <f aca="false">3_Calc_From_Gross!Z11</f>
        <v>5610</v>
      </c>
      <c r="G9" s="60" t="n">
        <f aca="false">3_Calc_From_Gross!AO11</f>
        <v>6858.27</v>
      </c>
      <c r="H9" s="60" t="n">
        <f aca="false">3_Calc_From_Gross!BD11</f>
        <v>9060.15</v>
      </c>
      <c r="I9" s="60" t="n">
        <f aca="false">3_Calc_From_Gross!BS11</f>
        <v>6214.5</v>
      </c>
      <c r="J9" s="60" t="n">
        <f aca="false">3_Calc_From_Gross!CH11</f>
        <v>5817.0387</v>
      </c>
      <c r="K9" s="60" t="n">
        <f aca="false">3_Calc_From_Gross!CW11</f>
        <v>4021.35</v>
      </c>
      <c r="L9" s="60" t="n">
        <f aca="false">3_Calc_From_Gross!DL11</f>
        <v>4972</v>
      </c>
      <c r="M9" s="60" t="n">
        <f aca="false">3_Calc_From_Gross!EA11</f>
        <v>4158</v>
      </c>
    </row>
    <row r="10" customFormat="false" ht="15" hidden="false" customHeight="false" outlineLevel="0" collapsed="false">
      <c r="A10" s="37" t="n">
        <v>7</v>
      </c>
      <c r="B10" s="32" t="s">
        <v>246</v>
      </c>
      <c r="C10" s="32" t="s">
        <v>252</v>
      </c>
      <c r="D10" s="62" t="s">
        <v>248</v>
      </c>
      <c r="E10" s="63" t="n">
        <f aca="false">3_Calc_From_Gross!F12</f>
        <v>1402.5</v>
      </c>
      <c r="F10" s="57" t="n">
        <f aca="false">3_Calc_From_Gross!Z12</f>
        <v>3366</v>
      </c>
      <c r="G10" s="57" t="n">
        <f aca="false">3_Calc_From_Gross!AO12</f>
        <v>4286.52</v>
      </c>
      <c r="H10" s="57" t="n">
        <f aca="false">3_Calc_From_Gross!BD12</f>
        <v>6897</v>
      </c>
      <c r="I10" s="57" t="n">
        <f aca="false">3_Calc_From_Gross!BS12</f>
        <v>4294.5</v>
      </c>
      <c r="J10" s="57" t="n">
        <f aca="false">3_Calc_From_Gross!CH12</f>
        <v>4036.4412</v>
      </c>
      <c r="K10" s="57" t="n">
        <f aca="false">3_Calc_From_Gross!CW12</f>
        <v>2630.75</v>
      </c>
      <c r="L10" s="57" t="n">
        <f aca="false">3_Calc_From_Gross!DL12</f>
        <v>3164</v>
      </c>
      <c r="M10" s="57" t="n">
        <f aca="false">3_Calc_From_Gross!EA12</f>
        <v>2475</v>
      </c>
    </row>
    <row r="11" customFormat="false" ht="15" hidden="false" customHeight="false" outlineLevel="0" collapsed="false">
      <c r="A11" s="41" t="n">
        <v>8</v>
      </c>
      <c r="B11" s="28" t="s">
        <v>246</v>
      </c>
      <c r="C11" s="8" t="s">
        <v>252</v>
      </c>
      <c r="D11" s="65" t="s">
        <v>249</v>
      </c>
      <c r="E11" s="63" t="n">
        <f aca="false">3_Calc_From_Gross!F13</f>
        <v>4441.25</v>
      </c>
      <c r="F11" s="60" t="n">
        <f aca="false">3_Calc_From_Gross!Z13</f>
        <v>5610</v>
      </c>
      <c r="G11" s="60" t="n">
        <f aca="false">3_Calc_From_Gross!AO13</f>
        <v>6429.78</v>
      </c>
      <c r="H11" s="60" t="n">
        <f aca="false">3_Calc_From_Gross!BD13</f>
        <v>8793.675</v>
      </c>
      <c r="I11" s="60" t="n">
        <f aca="false">3_Calc_From_Gross!BS13</f>
        <v>6144.75</v>
      </c>
      <c r="J11" s="60" t="n">
        <f aca="false">3_Calc_From_Gross!CH13</f>
        <v>5935.5351</v>
      </c>
      <c r="K11" s="60" t="n">
        <f aca="false">3_Calc_From_Gross!CW13</f>
        <v>4257.65</v>
      </c>
      <c r="L11" s="60" t="n">
        <f aca="false">3_Calc_From_Gross!DL13</f>
        <v>4972</v>
      </c>
      <c r="M11" s="60" t="n">
        <f aca="false">3_Calc_From_Gross!EA13</f>
        <v>4158</v>
      </c>
    </row>
    <row r="12" customFormat="false" ht="15" hidden="false" customHeight="false" outlineLevel="0" collapsed="false">
      <c r="A12" s="37" t="n">
        <v>9</v>
      </c>
      <c r="B12" s="32" t="s">
        <v>253</v>
      </c>
      <c r="C12" s="32" t="s">
        <v>254</v>
      </c>
      <c r="D12" s="62" t="s">
        <v>248</v>
      </c>
      <c r="E12" s="63" t="n">
        <f aca="false">3_Calc_From_Gross!F14</f>
        <v>1402.5</v>
      </c>
      <c r="F12" s="57" t="n">
        <f aca="false">3_Calc_From_Gross!Z14</f>
        <v>3366</v>
      </c>
      <c r="G12" s="57" t="n">
        <f aca="false">3_Calc_From_Gross!AO14</f>
        <v>4286.52</v>
      </c>
      <c r="H12" s="57" t="n">
        <f aca="false">3_Calc_From_Gross!BD14</f>
        <v>7210.5</v>
      </c>
      <c r="I12" s="57" t="n">
        <f aca="false">3_Calc_From_Gross!BS14</f>
        <v>4294.5</v>
      </c>
      <c r="J12" s="57" t="n">
        <f aca="false">3_Calc_From_Gross!CH14</f>
        <v>4036.4412</v>
      </c>
      <c r="K12" s="57" t="n">
        <f aca="false">3_Calc_From_Gross!CW14</f>
        <v>2630.75</v>
      </c>
      <c r="L12" s="57" t="n">
        <f aca="false">3_Calc_From_Gross!DL14</f>
        <v>3164</v>
      </c>
      <c r="M12" s="57" t="n">
        <f aca="false">3_Calc_From_Gross!EA14</f>
        <v>2475</v>
      </c>
    </row>
    <row r="13" customFormat="false" ht="15" hidden="false" customHeight="false" outlineLevel="0" collapsed="false">
      <c r="A13" s="41" t="n">
        <v>10</v>
      </c>
      <c r="B13" s="28" t="s">
        <v>253</v>
      </c>
      <c r="C13" s="8" t="s">
        <v>254</v>
      </c>
      <c r="D13" s="65" t="s">
        <v>249</v>
      </c>
      <c r="E13" s="63" t="n">
        <f aca="false">3_Calc_From_Gross!F15</f>
        <v>4441.25</v>
      </c>
      <c r="F13" s="60" t="n">
        <f aca="false">3_Calc_From_Gross!Z15</f>
        <v>5610</v>
      </c>
      <c r="G13" s="60" t="n">
        <f aca="false">3_Calc_From_Gross!AO15</f>
        <v>6429.78</v>
      </c>
      <c r="H13" s="60" t="n">
        <f aca="false">3_Calc_From_Gross!BD15</f>
        <v>9060.15</v>
      </c>
      <c r="I13" s="60" t="n">
        <f aca="false">3_Calc_From_Gross!BS15</f>
        <v>6144.75</v>
      </c>
      <c r="J13" s="60" t="n">
        <f aca="false">3_Calc_From_Gross!CH15</f>
        <v>5935.5351</v>
      </c>
      <c r="K13" s="60" t="n">
        <f aca="false">3_Calc_From_Gross!CW15</f>
        <v>4257.65</v>
      </c>
      <c r="L13" s="60" t="n">
        <f aca="false">3_Calc_From_Gross!DL15</f>
        <v>4972</v>
      </c>
      <c r="M13" s="60" t="n">
        <f aca="false">3_Calc_From_Gross!EA15</f>
        <v>4158</v>
      </c>
    </row>
    <row r="14" customFormat="false" ht="15" hidden="false" customHeight="false" outlineLevel="0" collapsed="false">
      <c r="A14" s="37" t="n">
        <v>11</v>
      </c>
      <c r="B14" s="32" t="s">
        <v>253</v>
      </c>
      <c r="C14" s="32" t="s">
        <v>255</v>
      </c>
      <c r="D14" s="62" t="s">
        <v>248</v>
      </c>
      <c r="E14" s="63" t="n">
        <f aca="false">3_Calc_From_Gross!F16</f>
        <v>1496</v>
      </c>
      <c r="F14" s="57" t="n">
        <f aca="false">3_Calc_From_Gross!Z16</f>
        <v>3141.6</v>
      </c>
      <c r="G14" s="57" t="n">
        <f aca="false">3_Calc_From_Gross!AO16</f>
        <v>3858.03</v>
      </c>
      <c r="H14" s="57" t="n">
        <f aca="false">3_Calc_From_Gross!BD16</f>
        <v>6897</v>
      </c>
      <c r="I14" s="57" t="n">
        <f aca="false">3_Calc_From_Gross!BS16</f>
        <v>4167</v>
      </c>
      <c r="J14" s="57" t="n">
        <f aca="false">3_Calc_From_Gross!CH16</f>
        <v>3858.0663</v>
      </c>
      <c r="K14" s="57" t="n">
        <f aca="false">3_Calc_From_Gross!CW16</f>
        <v>2448.85</v>
      </c>
      <c r="L14" s="57" t="n">
        <f aca="false">3_Calc_From_Gross!DL16</f>
        <v>3012.8</v>
      </c>
      <c r="M14" s="57" t="n">
        <f aca="false">3_Calc_From_Gross!EA16</f>
        <v>2309.67</v>
      </c>
    </row>
    <row r="15" customFormat="false" ht="15" hidden="false" customHeight="false" outlineLevel="0" collapsed="false">
      <c r="A15" s="41" t="n">
        <v>12</v>
      </c>
      <c r="B15" s="28" t="s">
        <v>253</v>
      </c>
      <c r="C15" s="8" t="s">
        <v>255</v>
      </c>
      <c r="D15" s="65" t="s">
        <v>249</v>
      </c>
      <c r="E15" s="63" t="n">
        <f aca="false">3_Calc_From_Gross!F17</f>
        <v>4207.5</v>
      </c>
      <c r="F15" s="60" t="n">
        <f aca="false">3_Calc_From_Gross!Z17</f>
        <v>5385.6</v>
      </c>
      <c r="G15" s="60" t="n">
        <f aca="false">3_Calc_From_Gross!AO17</f>
        <v>5571.99</v>
      </c>
      <c r="H15" s="60" t="n">
        <f aca="false">3_Calc_From_Gross!BD17</f>
        <v>8260.725</v>
      </c>
      <c r="I15" s="60" t="n">
        <f aca="false">3_Calc_From_Gross!BS17</f>
        <v>5721</v>
      </c>
      <c r="J15" s="60" t="n">
        <f aca="false">3_Calc_From_Gross!CH17</f>
        <v>5460.2889</v>
      </c>
      <c r="K15" s="60" t="n">
        <f aca="false">3_Calc_From_Gross!CW17</f>
        <v>3879.4</v>
      </c>
      <c r="L15" s="60" t="n">
        <f aca="false">3_Calc_From_Gross!DL17</f>
        <v>4520</v>
      </c>
      <c r="M15" s="60" t="n">
        <f aca="false">3_Calc_From_Gross!EA17</f>
        <v>3695.67</v>
      </c>
    </row>
    <row r="16" customFormat="false" ht="15" hidden="false" customHeight="false" outlineLevel="0" collapsed="false">
      <c r="A16" s="37" t="n">
        <v>13</v>
      </c>
      <c r="B16" s="32" t="s">
        <v>253</v>
      </c>
      <c r="C16" s="32" t="s">
        <v>256</v>
      </c>
      <c r="D16" s="62" t="s">
        <v>248</v>
      </c>
      <c r="E16" s="63" t="n">
        <f aca="false">3_Calc_From_Gross!F18</f>
        <v>1168.75</v>
      </c>
      <c r="F16" s="57" t="n">
        <f aca="false">3_Calc_From_Gross!Z18</f>
        <v>2917.2</v>
      </c>
      <c r="G16" s="57" t="n">
        <f aca="false">3_Calc_From_Gross!AO18</f>
        <v>3643.38</v>
      </c>
      <c r="H16" s="57" t="n">
        <f aca="false">3_Calc_From_Gross!BD18</f>
        <v>5643</v>
      </c>
      <c r="I16" s="57" t="n">
        <f aca="false">3_Calc_From_Gross!BS18</f>
        <v>3743.25</v>
      </c>
      <c r="J16" s="57" t="n">
        <f aca="false">3_Calc_From_Gross!CH18</f>
        <v>3442.0683</v>
      </c>
      <c r="K16" s="57" t="n">
        <f aca="false">3_Calc_From_Gross!CW18</f>
        <v>2176.85</v>
      </c>
      <c r="L16" s="57" t="n">
        <f aca="false">3_Calc_From_Gross!DL18</f>
        <v>2712</v>
      </c>
      <c r="M16" s="57" t="n">
        <f aca="false">3_Calc_From_Gross!EA18</f>
        <v>2062.17</v>
      </c>
    </row>
    <row r="17" customFormat="false" ht="15" hidden="false" customHeight="false" outlineLevel="0" collapsed="false">
      <c r="A17" s="41" t="n">
        <v>14</v>
      </c>
      <c r="B17" s="28" t="s">
        <v>253</v>
      </c>
      <c r="C17" s="8" t="s">
        <v>256</v>
      </c>
      <c r="D17" s="65" t="s">
        <v>249</v>
      </c>
      <c r="E17" s="63" t="n">
        <f aca="false">3_Calc_From_Gross!F19</f>
        <v>3038.75</v>
      </c>
      <c r="F17" s="60" t="n">
        <f aca="false">3_Calc_From_Gross!Z19</f>
        <v>4488</v>
      </c>
      <c r="G17" s="60" t="n">
        <f aca="false">3_Calc_From_Gross!AO19</f>
        <v>5143.5</v>
      </c>
      <c r="H17" s="60" t="n">
        <f aca="false">3_Calc_From_Gross!BD19</f>
        <v>6928.35</v>
      </c>
      <c r="I17" s="60" t="n">
        <f aca="false">3_Calc_From_Gross!BS19</f>
        <v>5297.25</v>
      </c>
      <c r="J17" s="60" t="n">
        <f aca="false">3_Calc_From_Gross!CH19</f>
        <v>4866.5463</v>
      </c>
      <c r="K17" s="60" t="n">
        <f aca="false">3_Calc_From_Gross!CW19</f>
        <v>3406.8</v>
      </c>
      <c r="L17" s="60" t="n">
        <f aca="false">3_Calc_From_Gross!DL19</f>
        <v>4068</v>
      </c>
      <c r="M17" s="60" t="n">
        <f aca="false">3_Calc_From_Gross!EA19</f>
        <v>3326.4</v>
      </c>
    </row>
    <row r="18" customFormat="false" ht="15" hidden="false" customHeight="false" outlineLevel="0" collapsed="false">
      <c r="A18" s="37" t="n">
        <v>15</v>
      </c>
      <c r="B18" s="32" t="s">
        <v>253</v>
      </c>
      <c r="C18" s="32" t="s">
        <v>257</v>
      </c>
      <c r="D18" s="62" t="s">
        <v>248</v>
      </c>
      <c r="E18" s="63" t="n">
        <f aca="false">3_Calc_From_Gross!F20</f>
        <v>1355.75</v>
      </c>
      <c r="F18" s="57" t="n">
        <f aca="false">3_Calc_From_Gross!Z20</f>
        <v>3254.24</v>
      </c>
      <c r="G18" s="57" t="n">
        <f aca="false">3_Calc_From_Gross!AO20</f>
        <v>4286.52</v>
      </c>
      <c r="H18" s="57" t="n">
        <f aca="false">3_Calc_From_Gross!BD20</f>
        <v>6897</v>
      </c>
      <c r="I18" s="57" t="n">
        <f aca="false">3_Calc_From_Gross!BS20</f>
        <v>4167</v>
      </c>
      <c r="J18" s="57" t="n">
        <f aca="false">3_Calc_From_Gross!CH20</f>
        <v>3798.1878</v>
      </c>
      <c r="K18" s="57" t="n">
        <f aca="false">3_Calc_From_Gross!CW20</f>
        <v>2494.75</v>
      </c>
      <c r="L18" s="57" t="n">
        <f aca="false">3_Calc_From_Gross!DL20</f>
        <v>3012.8</v>
      </c>
      <c r="M18" s="57" t="n">
        <f aca="false">3_Calc_From_Gross!EA20</f>
        <v>2309.67</v>
      </c>
    </row>
    <row r="19" customFormat="false" ht="15" hidden="false" customHeight="false" outlineLevel="0" collapsed="false">
      <c r="A19" s="41" t="n">
        <v>16</v>
      </c>
      <c r="B19" s="28" t="s">
        <v>253</v>
      </c>
      <c r="C19" s="8" t="s">
        <v>257</v>
      </c>
      <c r="D19" s="65" t="s">
        <v>249</v>
      </c>
      <c r="E19" s="63" t="n">
        <f aca="false">3_Calc_From_Gross!F21</f>
        <v>4160.75</v>
      </c>
      <c r="F19" s="60" t="n">
        <f aca="false">3_Calc_From_Gross!Z21</f>
        <v>5385.6</v>
      </c>
      <c r="G19" s="60" t="n">
        <f aca="false">3_Calc_From_Gross!AO21</f>
        <v>6429.78</v>
      </c>
      <c r="H19" s="60" t="n">
        <f aca="false">3_Calc_From_Gross!BD21</f>
        <v>8527.2</v>
      </c>
      <c r="I19" s="60" t="n">
        <f aca="false">3_Calc_From_Gross!BS21</f>
        <v>5932.5</v>
      </c>
      <c r="J19" s="60" t="n">
        <f aca="false">3_Calc_From_Gross!CH21</f>
        <v>5638.6638</v>
      </c>
      <c r="K19" s="60" t="n">
        <f aca="false">3_Calc_From_Gross!CW21</f>
        <v>4021.35</v>
      </c>
      <c r="L19" s="60" t="n">
        <f aca="false">3_Calc_From_Gross!DL21</f>
        <v>4671.2</v>
      </c>
      <c r="M19" s="60" t="n">
        <f aca="false">3_Calc_From_Gross!EA21</f>
        <v>3695.67</v>
      </c>
    </row>
    <row r="20" customFormat="false" ht="15" hidden="false" customHeight="false" outlineLevel="0" collapsed="false">
      <c r="A20" s="37" t="n">
        <v>17</v>
      </c>
      <c r="B20" s="32" t="s">
        <v>253</v>
      </c>
      <c r="C20" s="32" t="s">
        <v>258</v>
      </c>
      <c r="D20" s="62" t="s">
        <v>248</v>
      </c>
      <c r="E20" s="63" t="n">
        <f aca="false">3_Calc_From_Gross!F22</f>
        <v>1391.28</v>
      </c>
      <c r="F20" s="57" t="n">
        <f aca="false">3_Calc_From_Gross!Z22</f>
        <v>3254.24</v>
      </c>
      <c r="G20" s="57" t="n">
        <f aca="false">3_Calc_From_Gross!AO22</f>
        <v>4714.2</v>
      </c>
      <c r="H20" s="57" t="n">
        <f aca="false">3_Calc_From_Gross!BD22</f>
        <v>7210.5</v>
      </c>
      <c r="I20" s="57" t="n">
        <f aca="false">3_Calc_From_Gross!BS22</f>
        <v>4308</v>
      </c>
      <c r="J20" s="57" t="n">
        <f aca="false">3_Calc_From_Gross!CH22</f>
        <v>3917.3145</v>
      </c>
      <c r="K20" s="57" t="n">
        <f aca="false">3_Calc_From_Gross!CW22</f>
        <v>2539.8</v>
      </c>
      <c r="L20" s="57" t="n">
        <f aca="false">3_Calc_From_Gross!DL22</f>
        <v>3164</v>
      </c>
      <c r="M20" s="57" t="n">
        <f aca="false">3_Calc_From_Gross!EA22</f>
        <v>2475</v>
      </c>
    </row>
    <row r="21" customFormat="false" ht="15" hidden="false" customHeight="false" outlineLevel="0" collapsed="false">
      <c r="A21" s="41" t="n">
        <v>18</v>
      </c>
      <c r="B21" s="28" t="s">
        <v>253</v>
      </c>
      <c r="C21" s="8" t="s">
        <v>258</v>
      </c>
      <c r="D21" s="65" t="s">
        <v>249</v>
      </c>
      <c r="E21" s="63" t="n">
        <f aca="false">3_Calc_From_Gross!F23</f>
        <v>4207.5</v>
      </c>
      <c r="F21" s="60" t="n">
        <f aca="false">3_Calc_From_Gross!Z23</f>
        <v>5498.24</v>
      </c>
      <c r="G21" s="60" t="n">
        <f aca="false">3_Calc_From_Gross!AO23</f>
        <v>6858.27</v>
      </c>
      <c r="H21" s="60" t="n">
        <f aca="false">3_Calc_From_Gross!BD23</f>
        <v>9060.15</v>
      </c>
      <c r="I21" s="60" t="n">
        <f aca="false">3_Calc_From_Gross!BS23</f>
        <v>6214.5</v>
      </c>
      <c r="J21" s="60" t="n">
        <f aca="false">3_Calc_From_Gross!CH23</f>
        <v>5817.0387</v>
      </c>
      <c r="K21" s="60" t="n">
        <f aca="false">3_Calc_From_Gross!CW23</f>
        <v>4021.35</v>
      </c>
      <c r="L21" s="60" t="n">
        <f aca="false">3_Calc_From_Gross!DL23</f>
        <v>4972</v>
      </c>
      <c r="M21" s="60" t="n">
        <f aca="false">3_Calc_From_Gross!EA23</f>
        <v>4158</v>
      </c>
    </row>
    <row r="22" customFormat="false" ht="15" hidden="false" customHeight="false" outlineLevel="0" collapsed="false">
      <c r="A22" s="37" t="n">
        <v>19</v>
      </c>
      <c r="B22" s="32" t="s">
        <v>259</v>
      </c>
      <c r="C22" s="32" t="s">
        <v>260</v>
      </c>
      <c r="D22" s="62" t="s">
        <v>248</v>
      </c>
      <c r="E22" s="63" t="n">
        <f aca="false">3_Calc_From_Gross!F24</f>
        <v>1150.985</v>
      </c>
      <c r="F22" s="57" t="n">
        <f aca="false">3_Calc_From_Gross!Z24</f>
        <v>2805.44</v>
      </c>
      <c r="G22" s="57" t="n">
        <f aca="false">3_Calc_From_Gross!AO24</f>
        <v>3428.73</v>
      </c>
      <c r="H22" s="57" t="n">
        <f aca="false">3_Calc_From_Gross!BD24</f>
        <v>5956.5</v>
      </c>
      <c r="I22" s="57" t="n">
        <f aca="false">3_Calc_From_Gross!BS24</f>
        <v>3602.25</v>
      </c>
      <c r="J22" s="57" t="n">
        <f aca="false">3_Calc_From_Gross!CH24</f>
        <v>3561.195</v>
      </c>
      <c r="K22" s="57" t="n">
        <f aca="false">3_Calc_From_Gross!CW24</f>
        <v>2176.85</v>
      </c>
      <c r="L22" s="57" t="n">
        <f aca="false">3_Calc_From_Gross!DL24</f>
        <v>2712</v>
      </c>
      <c r="M22" s="57" t="n">
        <f aca="false">3_Calc_From_Gross!EA24</f>
        <v>2062.17</v>
      </c>
    </row>
    <row r="23" customFormat="false" ht="15" hidden="false" customHeight="false" outlineLevel="0" collapsed="false">
      <c r="A23" s="41" t="n">
        <v>20</v>
      </c>
      <c r="B23" s="28" t="s">
        <v>259</v>
      </c>
      <c r="C23" s="8" t="s">
        <v>260</v>
      </c>
      <c r="D23" s="65" t="s">
        <v>249</v>
      </c>
      <c r="E23" s="63" t="n">
        <f aca="false">3_Calc_From_Gross!F25</f>
        <v>3740</v>
      </c>
      <c r="F23" s="60" t="n">
        <f aca="false">3_Calc_From_Gross!Z25</f>
        <v>4488</v>
      </c>
      <c r="G23" s="60" t="n">
        <f aca="false">3_Calc_From_Gross!AO25</f>
        <v>5143.5</v>
      </c>
      <c r="H23" s="60" t="n">
        <f aca="false">3_Calc_From_Gross!BD25</f>
        <v>7461.3</v>
      </c>
      <c r="I23" s="60" t="n">
        <f aca="false">3_Calc_From_Gross!BS25</f>
        <v>5085</v>
      </c>
      <c r="J23" s="60" t="n">
        <f aca="false">3_Calc_From_Gross!CH25</f>
        <v>5341.7925</v>
      </c>
      <c r="K23" s="60" t="n">
        <f aca="false">3_Calc_From_Gross!CW25</f>
        <v>3311.6</v>
      </c>
      <c r="L23" s="60" t="n">
        <f aca="false">3_Calc_From_Gross!DL25</f>
        <v>4143.2</v>
      </c>
      <c r="M23" s="60" t="n">
        <f aca="false">3_Calc_From_Gross!EA25</f>
        <v>3326.4</v>
      </c>
    </row>
    <row r="24" customFormat="false" ht="15" hidden="false" customHeight="false" outlineLevel="0" collapsed="false">
      <c r="A24" s="37" t="n">
        <v>21</v>
      </c>
      <c r="B24" s="32" t="s">
        <v>259</v>
      </c>
      <c r="C24" s="32" t="s">
        <v>261</v>
      </c>
      <c r="D24" s="62" t="s">
        <v>248</v>
      </c>
      <c r="E24" s="63" t="n">
        <f aca="false">3_Calc_From_Gross!F26</f>
        <v>1402.5</v>
      </c>
      <c r="F24" s="57" t="n">
        <f aca="false">3_Calc_From_Gross!Z26</f>
        <v>3141.6</v>
      </c>
      <c r="G24" s="57" t="n">
        <f aca="false">3_Calc_From_Gross!AO26</f>
        <v>3858.03</v>
      </c>
      <c r="H24" s="57" t="n">
        <f aca="false">3_Calc_From_Gross!BD26</f>
        <v>6897</v>
      </c>
      <c r="I24" s="57" t="n">
        <f aca="false">3_Calc_From_Gross!BS26</f>
        <v>4167</v>
      </c>
      <c r="J24" s="57" t="n">
        <f aca="false">3_Calc_From_Gross!CH26</f>
        <v>3798.1878</v>
      </c>
      <c r="K24" s="57" t="n">
        <f aca="false">3_Calc_From_Gross!CW26</f>
        <v>2448.85</v>
      </c>
      <c r="L24" s="57" t="n">
        <f aca="false">3_Calc_From_Gross!DL26</f>
        <v>3012.8</v>
      </c>
      <c r="M24" s="57" t="n">
        <f aca="false">3_Calc_From_Gross!EA26</f>
        <v>2309.67</v>
      </c>
    </row>
    <row r="25" customFormat="false" ht="15" hidden="false" customHeight="false" outlineLevel="0" collapsed="false">
      <c r="A25" s="41" t="n">
        <v>22</v>
      </c>
      <c r="B25" s="28" t="s">
        <v>259</v>
      </c>
      <c r="C25" s="8" t="s">
        <v>261</v>
      </c>
      <c r="D25" s="65" t="s">
        <v>249</v>
      </c>
      <c r="E25" s="63" t="n">
        <f aca="false">3_Calc_From_Gross!F27</f>
        <v>4441.25</v>
      </c>
      <c r="F25" s="60" t="n">
        <f aca="false">3_Calc_From_Gross!Z27</f>
        <v>5161.2</v>
      </c>
      <c r="G25" s="60" t="n">
        <f aca="false">3_Calc_From_Gross!AO27</f>
        <v>5999.67</v>
      </c>
      <c r="H25" s="60" t="n">
        <f aca="false">3_Calc_From_Gross!BD27</f>
        <v>8527.2</v>
      </c>
      <c r="I25" s="60" t="n">
        <f aca="false">3_Calc_From_Gross!BS27</f>
        <v>5721</v>
      </c>
      <c r="J25" s="60" t="n">
        <f aca="false">3_Calc_From_Gross!CH27</f>
        <v>5638.6638</v>
      </c>
      <c r="K25" s="60" t="n">
        <f aca="false">3_Calc_From_Gross!CW27</f>
        <v>3879.4</v>
      </c>
      <c r="L25" s="60" t="n">
        <f aca="false">3_Calc_From_Gross!DL27</f>
        <v>4520</v>
      </c>
      <c r="M25" s="60" t="n">
        <f aca="false">3_Calc_From_Gross!EA27</f>
        <v>3695.67</v>
      </c>
    </row>
    <row r="26" customFormat="false" ht="15" hidden="false" customHeight="false" outlineLevel="0" collapsed="false">
      <c r="A26" s="37" t="n">
        <v>23</v>
      </c>
      <c r="B26" s="32" t="s">
        <v>259</v>
      </c>
      <c r="C26" s="32" t="s">
        <v>262</v>
      </c>
      <c r="D26" s="62" t="s">
        <v>248</v>
      </c>
      <c r="E26" s="63" t="n">
        <f aca="false">3_Calc_From_Gross!F28</f>
        <v>1402.5</v>
      </c>
      <c r="F26" s="57" t="n">
        <f aca="false">3_Calc_From_Gross!Z28</f>
        <v>3141.6</v>
      </c>
      <c r="G26" s="57" t="n">
        <f aca="false">3_Calc_From_Gross!AO28</f>
        <v>3858.03</v>
      </c>
      <c r="H26" s="57" t="n">
        <f aca="false">3_Calc_From_Gross!BD28</f>
        <v>6897</v>
      </c>
      <c r="I26" s="57" t="n">
        <f aca="false">3_Calc_From_Gross!BS28</f>
        <v>4167</v>
      </c>
      <c r="J26" s="57" t="n">
        <f aca="false">3_Calc_From_Gross!CH28</f>
        <v>3798.1878</v>
      </c>
      <c r="K26" s="57" t="n">
        <f aca="false">3_Calc_From_Gross!CW28</f>
        <v>2448.85</v>
      </c>
      <c r="L26" s="57" t="n">
        <f aca="false">3_Calc_From_Gross!DL28</f>
        <v>3012.8</v>
      </c>
      <c r="M26" s="57" t="n">
        <f aca="false">3_Calc_From_Gross!EA28</f>
        <v>2309.67</v>
      </c>
    </row>
    <row r="27" customFormat="false" ht="15" hidden="false" customHeight="false" outlineLevel="0" collapsed="false">
      <c r="A27" s="41" t="n">
        <v>24</v>
      </c>
      <c r="B27" s="28" t="s">
        <v>259</v>
      </c>
      <c r="C27" s="8" t="s">
        <v>262</v>
      </c>
      <c r="D27" s="65" t="s">
        <v>249</v>
      </c>
      <c r="E27" s="63" t="n">
        <f aca="false">3_Calc_From_Gross!F29</f>
        <v>4441.25</v>
      </c>
      <c r="F27" s="60" t="n">
        <f aca="false">3_Calc_From_Gross!Z29</f>
        <v>5161.2</v>
      </c>
      <c r="G27" s="60" t="n">
        <f aca="false">3_Calc_From_Gross!AO29</f>
        <v>5999.67</v>
      </c>
      <c r="H27" s="60" t="n">
        <f aca="false">3_Calc_From_Gross!BD29</f>
        <v>8527.2</v>
      </c>
      <c r="I27" s="60" t="n">
        <f aca="false">3_Calc_From_Gross!BS29</f>
        <v>5721</v>
      </c>
      <c r="J27" s="60" t="n">
        <f aca="false">3_Calc_From_Gross!CH29</f>
        <v>5638.6638</v>
      </c>
      <c r="K27" s="60" t="n">
        <f aca="false">3_Calc_From_Gross!CW29</f>
        <v>3879.4</v>
      </c>
      <c r="L27" s="60" t="n">
        <f aca="false">3_Calc_From_Gross!DL29</f>
        <v>4520</v>
      </c>
      <c r="M27" s="60" t="n">
        <f aca="false">3_Calc_From_Gross!EA29</f>
        <v>3695.67</v>
      </c>
    </row>
    <row r="28" customFormat="false" ht="15" hidden="false" customHeight="false" outlineLevel="0" collapsed="false">
      <c r="A28" s="37" t="n">
        <v>25</v>
      </c>
      <c r="B28" s="32" t="s">
        <v>259</v>
      </c>
      <c r="C28" s="32" t="s">
        <v>263</v>
      </c>
      <c r="D28" s="62" t="s">
        <v>248</v>
      </c>
      <c r="E28" s="63" t="n">
        <f aca="false">3_Calc_From_Gross!F30</f>
        <v>1150.985</v>
      </c>
      <c r="F28" s="57" t="n">
        <f aca="false">3_Calc_From_Gross!Z30</f>
        <v>2805.44</v>
      </c>
      <c r="G28" s="57" t="n">
        <f aca="false">3_Calc_From_Gross!AO30</f>
        <v>3428.73</v>
      </c>
      <c r="H28" s="57" t="n">
        <f aca="false">3_Calc_From_Gross!BD30</f>
        <v>5956.5</v>
      </c>
      <c r="I28" s="57" t="n">
        <f aca="false">3_Calc_From_Gross!BS30</f>
        <v>3602.25</v>
      </c>
      <c r="J28" s="57" t="n">
        <f aca="false">3_Calc_From_Gross!CH30</f>
        <v>3561.195</v>
      </c>
      <c r="K28" s="57" t="n">
        <f aca="false">3_Calc_From_Gross!CW30</f>
        <v>2176.85</v>
      </c>
      <c r="L28" s="57" t="n">
        <f aca="false">3_Calc_From_Gross!DL30</f>
        <v>2712</v>
      </c>
      <c r="M28" s="57" t="n">
        <f aca="false">3_Calc_From_Gross!EA30</f>
        <v>2062.17</v>
      </c>
    </row>
    <row r="29" customFormat="false" ht="15" hidden="false" customHeight="false" outlineLevel="0" collapsed="false">
      <c r="A29" s="41" t="n">
        <v>26</v>
      </c>
      <c r="B29" s="28" t="s">
        <v>259</v>
      </c>
      <c r="C29" s="8" t="s">
        <v>263</v>
      </c>
      <c r="D29" s="65" t="s">
        <v>249</v>
      </c>
      <c r="E29" s="63" t="n">
        <f aca="false">3_Calc_From_Gross!F31</f>
        <v>3740</v>
      </c>
      <c r="F29" s="60" t="n">
        <f aca="false">3_Calc_From_Gross!Z31</f>
        <v>4488</v>
      </c>
      <c r="G29" s="60" t="n">
        <f aca="false">3_Calc_From_Gross!AO31</f>
        <v>5143.5</v>
      </c>
      <c r="H29" s="60" t="n">
        <f aca="false">3_Calc_From_Gross!BD31</f>
        <v>7461.3</v>
      </c>
      <c r="I29" s="60" t="n">
        <f aca="false">3_Calc_From_Gross!BS31</f>
        <v>5085</v>
      </c>
      <c r="J29" s="60" t="n">
        <f aca="false">3_Calc_From_Gross!CH31</f>
        <v>5341.7925</v>
      </c>
      <c r="K29" s="60" t="n">
        <f aca="false">3_Calc_From_Gross!CW31</f>
        <v>3311.6</v>
      </c>
      <c r="L29" s="60" t="n">
        <f aca="false">3_Calc_From_Gross!DL31</f>
        <v>4143.2</v>
      </c>
      <c r="M29" s="60" t="n">
        <f aca="false">3_Calc_From_Gross!EA31</f>
        <v>3326.4</v>
      </c>
    </row>
    <row r="30" customFormat="false" ht="15" hidden="false" customHeight="false" outlineLevel="0" collapsed="false">
      <c r="A30" s="37" t="n">
        <v>27</v>
      </c>
      <c r="B30" s="32" t="s">
        <v>264</v>
      </c>
      <c r="C30" s="32" t="s">
        <v>265</v>
      </c>
      <c r="D30" s="62" t="s">
        <v>248</v>
      </c>
      <c r="E30" s="63" t="n">
        <f aca="false">3_Calc_From_Gross!F32</f>
        <v>1262.25</v>
      </c>
      <c r="F30" s="57" t="n">
        <f aca="false">3_Calc_From_Gross!Z32</f>
        <v>2581.04</v>
      </c>
      <c r="G30" s="57" t="n">
        <f aca="false">3_Calc_From_Gross!AO32</f>
        <v>3428.73</v>
      </c>
      <c r="H30" s="57" t="n">
        <f aca="false">3_Calc_From_Gross!BD32</f>
        <v>5643</v>
      </c>
      <c r="I30" s="57" t="n">
        <f aca="false">3_Calc_From_Gross!BS32</f>
        <v>3390</v>
      </c>
      <c r="J30" s="57" t="n">
        <f aca="false">3_Calc_From_Gross!CH32</f>
        <v>3264.3237</v>
      </c>
      <c r="K30" s="57" t="n">
        <f aca="false">3_Calc_From_Gross!CW32</f>
        <v>1995.8</v>
      </c>
      <c r="L30" s="57" t="n">
        <f aca="false">3_Calc_From_Gross!DL32</f>
        <v>2636.8</v>
      </c>
      <c r="M30" s="57" t="n">
        <f aca="false">3_Calc_From_Gross!EA32</f>
        <v>1897.83</v>
      </c>
    </row>
    <row r="31" customFormat="false" ht="15" hidden="false" customHeight="false" outlineLevel="0" collapsed="false">
      <c r="A31" s="41" t="n">
        <v>28</v>
      </c>
      <c r="B31" s="28" t="s">
        <v>264</v>
      </c>
      <c r="C31" s="8" t="s">
        <v>265</v>
      </c>
      <c r="D31" s="65" t="s">
        <v>249</v>
      </c>
      <c r="E31" s="63" t="n">
        <f aca="false">3_Calc_From_Gross!F33</f>
        <v>3038.75</v>
      </c>
      <c r="F31" s="60" t="n">
        <f aca="false">3_Calc_From_Gross!Z33</f>
        <v>4039.2</v>
      </c>
      <c r="G31" s="60" t="n">
        <f aca="false">3_Calc_From_Gross!AO33</f>
        <v>5357.34</v>
      </c>
      <c r="H31" s="60" t="n">
        <f aca="false">3_Calc_From_Gross!BD33</f>
        <v>6928.35</v>
      </c>
      <c r="I31" s="60" t="n">
        <f aca="false">3_Calc_From_Gross!BS33</f>
        <v>4873.5</v>
      </c>
      <c r="J31" s="60" t="n">
        <f aca="false">3_Calc_From_Gross!CH33</f>
        <v>4629.5535</v>
      </c>
      <c r="K31" s="60" t="n">
        <f aca="false">3_Calc_From_Gross!CW33</f>
        <v>3075.3</v>
      </c>
      <c r="L31" s="60" t="n">
        <f aca="false">3_Calc_From_Gross!DL33</f>
        <v>3916.8</v>
      </c>
      <c r="M31" s="60" t="n">
        <f aca="false">3_Calc_From_Gross!EA33</f>
        <v>3234.33</v>
      </c>
    </row>
    <row r="32" customFormat="false" ht="15" hidden="false" customHeight="false" outlineLevel="0" collapsed="false">
      <c r="A32" s="37" t="n">
        <v>29</v>
      </c>
      <c r="B32" s="32" t="s">
        <v>266</v>
      </c>
      <c r="C32" s="32" t="s">
        <v>267</v>
      </c>
      <c r="D32" s="62" t="s">
        <v>248</v>
      </c>
      <c r="E32" s="63" t="n">
        <f aca="false">3_Calc_From_Gross!F34</f>
        <v>1729.75</v>
      </c>
      <c r="F32" s="57" t="n">
        <f aca="false">3_Calc_From_Gross!Z34</f>
        <v>3814.8</v>
      </c>
      <c r="G32" s="57" t="n">
        <f aca="false">3_Calc_From_Gross!AO34</f>
        <v>5143.5</v>
      </c>
      <c r="H32" s="57" t="n">
        <f aca="false">3_Calc_From_Gross!BD34</f>
        <v>8828.16</v>
      </c>
      <c r="I32" s="57" t="n">
        <f aca="false">3_Calc_From_Gross!BS34</f>
        <v>5014.5</v>
      </c>
      <c r="J32" s="57" t="n">
        <f aca="false">3_Calc_From_Gross!CH34</f>
        <v>4510.4268</v>
      </c>
      <c r="K32" s="57" t="n">
        <f aca="false">3_Calc_From_Gross!CW34</f>
        <v>2721.7</v>
      </c>
      <c r="L32" s="57" t="n">
        <f aca="false">3_Calc_From_Gross!DL34</f>
        <v>3616</v>
      </c>
      <c r="M32" s="57" t="n">
        <f aca="false">3_Calc_From_Gross!EA34</f>
        <v>2722.5</v>
      </c>
    </row>
    <row r="33" customFormat="false" ht="15" hidden="false" customHeight="false" outlineLevel="0" collapsed="false">
      <c r="A33" s="41" t="n">
        <v>30</v>
      </c>
      <c r="B33" s="28" t="s">
        <v>266</v>
      </c>
      <c r="C33" s="8" t="s">
        <v>267</v>
      </c>
      <c r="D33" s="65" t="s">
        <v>249</v>
      </c>
      <c r="E33" s="63" t="n">
        <f aca="false">3_Calc_From_Gross!F35</f>
        <v>4464.625</v>
      </c>
      <c r="F33" s="60" t="n">
        <f aca="false">3_Calc_From_Gross!Z35</f>
        <v>6058.8</v>
      </c>
      <c r="G33" s="60" t="n">
        <f aca="false">3_Calc_From_Gross!AO35</f>
        <v>7715.25</v>
      </c>
      <c r="H33" s="60" t="n">
        <f aca="false">3_Calc_From_Gross!BD35</f>
        <v>9859.575</v>
      </c>
      <c r="I33" s="60" t="n">
        <f aca="false">3_Calc_From_Gross!BS35</f>
        <v>7203.75</v>
      </c>
      <c r="J33" s="60" t="n">
        <f aca="false">3_Calc_From_Gross!CH35</f>
        <v>6529.2777</v>
      </c>
      <c r="K33" s="60" t="n">
        <f aca="false">3_Calc_From_Gross!CW35</f>
        <v>4352.85</v>
      </c>
      <c r="L33" s="60" t="n">
        <f aca="false">3_Calc_From_Gross!DL35</f>
        <v>5424</v>
      </c>
      <c r="M33" s="60" t="n">
        <f aca="false">3_Calc_From_Gross!EA35</f>
        <v>4435.2</v>
      </c>
    </row>
    <row r="34" customFormat="false" ht="15" hidden="false" customHeight="false" outlineLevel="0" collapsed="false">
      <c r="A34" s="37" t="n">
        <v>31</v>
      </c>
      <c r="B34" s="32" t="s">
        <v>268</v>
      </c>
      <c r="C34" s="32" t="s">
        <v>269</v>
      </c>
      <c r="D34" s="62" t="s">
        <v>248</v>
      </c>
      <c r="E34" s="63" t="n">
        <f aca="false">3_Calc_From_Gross!F36</f>
        <v>1309</v>
      </c>
      <c r="F34" s="57" t="n">
        <f aca="false">3_Calc_From_Gross!Z36</f>
        <v>3141.6</v>
      </c>
      <c r="G34" s="57" t="n">
        <f aca="false">3_Calc_From_Gross!AO36</f>
        <v>3858.03</v>
      </c>
      <c r="H34" s="57" t="n">
        <f aca="false">3_Calc_From_Gross!BD36</f>
        <v>6897</v>
      </c>
      <c r="I34" s="57" t="n">
        <f aca="false">3_Calc_From_Gross!BS36</f>
        <v>3955.5</v>
      </c>
      <c r="J34" s="57" t="n">
        <f aca="false">3_Calc_From_Gross!CH36</f>
        <v>3858.0663</v>
      </c>
      <c r="K34" s="57" t="n">
        <f aca="false">3_Calc_From_Gross!CW36</f>
        <v>2267.8</v>
      </c>
      <c r="L34" s="57" t="n">
        <f aca="false">3_Calc_From_Gross!DL36</f>
        <v>2863.2</v>
      </c>
      <c r="M34" s="57" t="n">
        <f aca="false">3_Calc_From_Gross!EA36</f>
        <v>2145.33</v>
      </c>
    </row>
    <row r="35" customFormat="false" ht="15" hidden="false" customHeight="false" outlineLevel="0" collapsed="false">
      <c r="A35" s="41" t="n">
        <v>32</v>
      </c>
      <c r="B35" s="28" t="s">
        <v>268</v>
      </c>
      <c r="C35" s="8" t="s">
        <v>269</v>
      </c>
      <c r="D35" s="65" t="s">
        <v>249</v>
      </c>
      <c r="E35" s="63" t="n">
        <f aca="false">3_Calc_From_Gross!F37</f>
        <v>2992</v>
      </c>
      <c r="F35" s="60" t="n">
        <f aca="false">3_Calc_From_Gross!Z37</f>
        <v>4488</v>
      </c>
      <c r="G35" s="60" t="n">
        <f aca="false">3_Calc_From_Gross!AO37</f>
        <v>5571.99</v>
      </c>
      <c r="H35" s="60" t="n">
        <f aca="false">3_Calc_From_Gross!BD37</f>
        <v>7994.25</v>
      </c>
      <c r="I35" s="60" t="n">
        <f aca="false">3_Calc_From_Gross!BS37</f>
        <v>5508.75</v>
      </c>
      <c r="J35" s="60" t="n">
        <f aca="false">3_Calc_From_Gross!CH37</f>
        <v>5341.7925</v>
      </c>
      <c r="K35" s="60" t="n">
        <f aca="false">3_Calc_From_Gross!CW37</f>
        <v>3501.15</v>
      </c>
      <c r="L35" s="60" t="n">
        <f aca="false">3_Calc_From_Gross!DL37</f>
        <v>4368.8</v>
      </c>
      <c r="M35" s="60" t="n">
        <f aca="false">3_Calc_From_Gross!EA37</f>
        <v>3511.53</v>
      </c>
    </row>
    <row r="36" customFormat="false" ht="15" hidden="false" customHeight="false" outlineLevel="0" collapsed="false">
      <c r="A36" s="37" t="n">
        <v>33</v>
      </c>
      <c r="B36" s="32" t="s">
        <v>270</v>
      </c>
      <c r="C36" s="32" t="s">
        <v>271</v>
      </c>
      <c r="D36" s="62" t="s">
        <v>248</v>
      </c>
      <c r="E36" s="63" t="n">
        <f aca="false">3_Calc_From_Gross!F38</f>
        <v>1075.25</v>
      </c>
      <c r="F36" s="57" t="n">
        <f aca="false">3_Calc_From_Gross!Z38</f>
        <v>2692.8</v>
      </c>
      <c r="G36" s="57" t="n">
        <f aca="false">3_Calc_From_Gross!AO38</f>
        <v>3428.73</v>
      </c>
      <c r="H36" s="57" t="n">
        <f aca="false">3_Calc_From_Gross!BD38</f>
        <v>6270</v>
      </c>
      <c r="I36" s="57" t="n">
        <f aca="false">3_Calc_From_Gross!BS38</f>
        <v>3531.75</v>
      </c>
      <c r="J36" s="57" t="n">
        <f aca="false">3_Calc_From_Gross!CH38</f>
        <v>3501.9468</v>
      </c>
      <c r="K36" s="57" t="n">
        <f aca="false">3_Calc_From_Gross!CW38</f>
        <v>1904.85</v>
      </c>
      <c r="L36" s="57" t="n">
        <f aca="false">3_Calc_From_Gross!DL38</f>
        <v>2636.8</v>
      </c>
      <c r="M36" s="57" t="n">
        <f aca="false">3_Calc_From_Gross!EA38</f>
        <v>1814.67</v>
      </c>
    </row>
    <row r="37" customFormat="false" ht="15" hidden="false" customHeight="false" outlineLevel="0" collapsed="false">
      <c r="A37" s="41" t="n">
        <v>34</v>
      </c>
      <c r="B37" s="28" t="s">
        <v>270</v>
      </c>
      <c r="C37" s="8" t="s">
        <v>271</v>
      </c>
      <c r="D37" s="65" t="s">
        <v>249</v>
      </c>
      <c r="E37" s="63" t="n">
        <f aca="false">3_Calc_From_Gross!F39</f>
        <v>2571.25</v>
      </c>
      <c r="F37" s="60" t="n">
        <f aca="false">3_Calc_From_Gross!Z39</f>
        <v>4039.2</v>
      </c>
      <c r="G37" s="60" t="n">
        <f aca="false">3_Calc_From_Gross!AO39</f>
        <v>4714.2</v>
      </c>
      <c r="H37" s="60" t="n">
        <f aca="false">3_Calc_From_Gross!BD39</f>
        <v>7194.825</v>
      </c>
      <c r="I37" s="60" t="n">
        <f aca="false">3_Calc_From_Gross!BS39</f>
        <v>4943.25</v>
      </c>
      <c r="J37" s="60" t="n">
        <f aca="false">3_Calc_From_Gross!CH39</f>
        <v>4926.4248</v>
      </c>
      <c r="K37" s="60" t="n">
        <f aca="false">3_Calc_From_Gross!CW39</f>
        <v>2839</v>
      </c>
      <c r="L37" s="60" t="n">
        <f aca="false">3_Calc_From_Gross!DL39</f>
        <v>3767.2</v>
      </c>
      <c r="M37" s="60" t="n">
        <f aca="false">3_Calc_From_Gross!EA39</f>
        <v>3049.2</v>
      </c>
    </row>
    <row r="38" customFormat="false" ht="15" hidden="false" customHeight="false" outlineLevel="0" collapsed="false">
      <c r="A38" s="37" t="n">
        <v>35</v>
      </c>
      <c r="B38" s="32" t="s">
        <v>272</v>
      </c>
      <c r="C38" s="32" t="s">
        <v>273</v>
      </c>
      <c r="D38" s="62" t="s">
        <v>248</v>
      </c>
      <c r="E38" s="63" t="n">
        <f aca="false">3_Calc_From_Gross!F40</f>
        <v>1402.5</v>
      </c>
      <c r="F38" s="57" t="n">
        <f aca="false">3_Calc_From_Gross!Z40</f>
        <v>3254.24</v>
      </c>
      <c r="G38" s="57" t="n">
        <f aca="false">3_Calc_From_Gross!AO40</f>
        <v>4286.52</v>
      </c>
      <c r="H38" s="57" t="n">
        <f aca="false">3_Calc_From_Gross!BD40</f>
        <v>8464.5</v>
      </c>
      <c r="I38" s="57" t="n">
        <f aca="false">3_Calc_From_Gross!BS40</f>
        <v>4237.5</v>
      </c>
      <c r="J38" s="57" t="n">
        <f aca="false">3_Calc_From_Gross!CH40</f>
        <v>4154.3073</v>
      </c>
      <c r="K38" s="57" t="n">
        <f aca="false">3_Calc_From_Gross!CW40</f>
        <v>2539.8</v>
      </c>
      <c r="L38" s="57" t="n">
        <f aca="false">3_Calc_From_Gross!DL40</f>
        <v>3164</v>
      </c>
      <c r="M38" s="57" t="n">
        <f aca="false">3_Calc_From_Gross!EA40</f>
        <v>2475</v>
      </c>
    </row>
    <row r="39" customFormat="false" ht="15" hidden="false" customHeight="false" outlineLevel="0" collapsed="false">
      <c r="A39" s="41" t="n">
        <v>36</v>
      </c>
      <c r="B39" s="28" t="s">
        <v>272</v>
      </c>
      <c r="C39" s="8" t="s">
        <v>273</v>
      </c>
      <c r="D39" s="65" t="s">
        <v>249</v>
      </c>
      <c r="E39" s="63" t="n">
        <f aca="false">3_Calc_From_Gross!F41</f>
        <v>3973.75</v>
      </c>
      <c r="F39" s="60" t="n">
        <f aca="false">3_Calc_From_Gross!Z41</f>
        <v>5385.6</v>
      </c>
      <c r="G39" s="60" t="n">
        <f aca="false">3_Calc_From_Gross!AO41</f>
        <v>6429.78</v>
      </c>
      <c r="H39" s="60" t="n">
        <f aca="false">3_Calc_From_Gross!BD41</f>
        <v>9060.15</v>
      </c>
      <c r="I39" s="60" t="n">
        <f aca="false">3_Calc_From_Gross!BS41</f>
        <v>6144.75</v>
      </c>
      <c r="J39" s="60" t="n">
        <f aca="false">3_Calc_From_Gross!CH41</f>
        <v>5935.5351</v>
      </c>
      <c r="K39" s="60" t="n">
        <f aca="false">3_Calc_From_Gross!CW41</f>
        <v>4021.35</v>
      </c>
      <c r="L39" s="60" t="n">
        <f aca="false">3_Calc_From_Gross!DL41</f>
        <v>4972</v>
      </c>
      <c r="M39" s="60" t="n">
        <f aca="false">3_Calc_From_Gross!EA41</f>
        <v>4158</v>
      </c>
    </row>
    <row r="40" customFormat="false" ht="15" hidden="false" customHeight="false" outlineLevel="0" collapsed="false">
      <c r="A40" s="37" t="n">
        <v>37</v>
      </c>
      <c r="B40" s="32" t="s">
        <v>272</v>
      </c>
      <c r="C40" s="32" t="s">
        <v>274</v>
      </c>
      <c r="D40" s="62" t="s">
        <v>248</v>
      </c>
      <c r="E40" s="63" t="n">
        <f aca="false">3_Calc_From_Gross!F42</f>
        <v>1168.75</v>
      </c>
      <c r="F40" s="57" t="n">
        <f aca="false">3_Calc_From_Gross!Z42</f>
        <v>3029.84</v>
      </c>
      <c r="G40" s="57" t="n">
        <f aca="false">3_Calc_From_Gross!AO42</f>
        <v>3858.03</v>
      </c>
      <c r="H40" s="57" t="n">
        <f aca="false">3_Calc_From_Gross!BD42</f>
        <v>6897</v>
      </c>
      <c r="I40" s="57" t="n">
        <f aca="false">3_Calc_From_Gross!BS42</f>
        <v>3884.25</v>
      </c>
      <c r="J40" s="57" t="n">
        <f aca="false">3_Calc_From_Gross!CH42</f>
        <v>3858.0663</v>
      </c>
      <c r="K40" s="57" t="n">
        <f aca="false">3_Calc_From_Gross!CW42</f>
        <v>2267.8</v>
      </c>
      <c r="L40" s="57" t="n">
        <f aca="false">3_Calc_From_Gross!DL42</f>
        <v>2863.2</v>
      </c>
      <c r="M40" s="57" t="n">
        <f aca="false">3_Calc_From_Gross!EA42</f>
        <v>2309.67</v>
      </c>
    </row>
    <row r="41" customFormat="false" ht="15" hidden="false" customHeight="false" outlineLevel="0" collapsed="false">
      <c r="A41" s="41" t="n">
        <v>38</v>
      </c>
      <c r="B41" s="28" t="s">
        <v>272</v>
      </c>
      <c r="C41" s="8" t="s">
        <v>274</v>
      </c>
      <c r="D41" s="65" t="s">
        <v>249</v>
      </c>
      <c r="E41" s="63" t="n">
        <f aca="false">3_Calc_From_Gross!F43</f>
        <v>3740</v>
      </c>
      <c r="F41" s="60" t="n">
        <f aca="false">3_Calc_From_Gross!Z43</f>
        <v>4712.4</v>
      </c>
      <c r="G41" s="60" t="n">
        <f aca="false">3_Calc_From_Gross!AO43</f>
        <v>5571.99</v>
      </c>
      <c r="H41" s="60" t="n">
        <f aca="false">3_Calc_From_Gross!BD43</f>
        <v>7994.25</v>
      </c>
      <c r="I41" s="60" t="n">
        <f aca="false">3_Calc_From_Gross!BS43</f>
        <v>5508.75</v>
      </c>
      <c r="J41" s="60" t="n">
        <f aca="false">3_Calc_From_Gross!CH43</f>
        <v>5341.7925</v>
      </c>
      <c r="K41" s="60" t="n">
        <f aca="false">3_Calc_From_Gross!CW43</f>
        <v>3595.5</v>
      </c>
      <c r="L41" s="60" t="n">
        <f aca="false">3_Calc_From_Gross!DL43</f>
        <v>4520</v>
      </c>
      <c r="M41" s="60" t="n">
        <f aca="false">3_Calc_From_Gross!EA43</f>
        <v>3695.67</v>
      </c>
    </row>
    <row r="42" customFormat="false" ht="15" hidden="false" customHeight="false" outlineLevel="0" collapsed="false">
      <c r="A42" s="37" t="n">
        <v>39</v>
      </c>
      <c r="B42" s="32" t="s">
        <v>272</v>
      </c>
      <c r="C42" s="32" t="s">
        <v>275</v>
      </c>
      <c r="D42" s="62" t="s">
        <v>248</v>
      </c>
      <c r="E42" s="63" t="n">
        <f aca="false">3_Calc_From_Gross!F44</f>
        <v>1168.75</v>
      </c>
      <c r="F42" s="57" t="n">
        <f aca="false">3_Calc_From_Gross!Z44</f>
        <v>2917.2</v>
      </c>
      <c r="G42" s="57" t="n">
        <f aca="false">3_Calc_From_Gross!AO44</f>
        <v>3858.03</v>
      </c>
      <c r="H42" s="57" t="n">
        <f aca="false">3_Calc_From_Gross!BD44</f>
        <v>7524</v>
      </c>
      <c r="I42" s="57" t="n">
        <f aca="false">3_Calc_From_Gross!BS44</f>
        <v>3813.75</v>
      </c>
      <c r="J42" s="57" t="n">
        <f aca="false">3_Calc_From_Gross!CH44</f>
        <v>3561.195</v>
      </c>
      <c r="K42" s="57" t="n">
        <f aca="false">3_Calc_From_Gross!CW44</f>
        <v>2176.85</v>
      </c>
      <c r="L42" s="57" t="n">
        <f aca="false">3_Calc_From_Gross!DL44</f>
        <v>2712</v>
      </c>
      <c r="M42" s="57" t="n">
        <f aca="false">3_Calc_From_Gross!EA44</f>
        <v>2145.33</v>
      </c>
    </row>
    <row r="43" customFormat="false" ht="15" hidden="false" customHeight="false" outlineLevel="0" collapsed="false">
      <c r="A43" s="41" t="n">
        <v>40</v>
      </c>
      <c r="B43" s="28" t="s">
        <v>272</v>
      </c>
      <c r="C43" s="8" t="s">
        <v>275</v>
      </c>
      <c r="D43" s="65" t="s">
        <v>249</v>
      </c>
      <c r="E43" s="63" t="n">
        <f aca="false">3_Calc_From_Gross!F45</f>
        <v>3973.75</v>
      </c>
      <c r="F43" s="60" t="n">
        <f aca="false">3_Calc_From_Gross!Z45</f>
        <v>4936.8</v>
      </c>
      <c r="G43" s="60" t="n">
        <f aca="false">3_Calc_From_Gross!AO45</f>
        <v>5571.99</v>
      </c>
      <c r="H43" s="60" t="n">
        <f aca="false">3_Calc_From_Gross!BD45</f>
        <v>8527.2</v>
      </c>
      <c r="I43" s="60" t="n">
        <f aca="false">3_Calc_From_Gross!BS45</f>
        <v>5721</v>
      </c>
      <c r="J43" s="60" t="n">
        <f aca="false">3_Calc_From_Gross!CH45</f>
        <v>5341.7925</v>
      </c>
      <c r="K43" s="60" t="n">
        <f aca="false">3_Calc_From_Gross!CW45</f>
        <v>3689.85</v>
      </c>
      <c r="L43" s="60" t="n">
        <f aca="false">3_Calc_From_Gross!DL45</f>
        <v>4520</v>
      </c>
      <c r="M43" s="60" t="n">
        <f aca="false">3_Calc_From_Gross!EA45</f>
        <v>3511.53</v>
      </c>
    </row>
    <row r="44" customFormat="false" ht="15" hidden="false" customHeight="false" outlineLevel="0" collapsed="false">
      <c r="A44" s="37" t="n">
        <v>41</v>
      </c>
      <c r="B44" s="32" t="s">
        <v>276</v>
      </c>
      <c r="C44" s="32" t="s">
        <v>277</v>
      </c>
      <c r="D44" s="62" t="s">
        <v>248</v>
      </c>
      <c r="E44" s="63" t="n">
        <f aca="false">3_Calc_From_Gross!F46</f>
        <v>1870</v>
      </c>
      <c r="F44" s="57" t="n">
        <f aca="false">3_Calc_From_Gross!Z46</f>
        <v>3814.8</v>
      </c>
      <c r="G44" s="57" t="n">
        <f aca="false">3_Calc_From_Gross!AO46</f>
        <v>5143.5</v>
      </c>
      <c r="H44" s="57" t="n">
        <f aca="false">3_Calc_From_Gross!BD46</f>
        <v>10032</v>
      </c>
      <c r="I44" s="57" t="n">
        <f aca="false">3_Calc_From_Gross!BS46</f>
        <v>4943.25</v>
      </c>
      <c r="J44" s="57" t="n">
        <f aca="false">3_Calc_From_Gross!CH46</f>
        <v>4688.8017</v>
      </c>
      <c r="K44" s="57" t="n">
        <f aca="false">3_Calc_From_Gross!CW46</f>
        <v>2811.8</v>
      </c>
      <c r="L44" s="57" t="n">
        <f aca="false">3_Calc_From_Gross!DL46</f>
        <v>3767.2</v>
      </c>
      <c r="M44" s="57" t="n">
        <f aca="false">3_Calc_From_Gross!EA46</f>
        <v>2887.83</v>
      </c>
    </row>
    <row r="45" customFormat="false" ht="15" hidden="false" customHeight="false" outlineLevel="0" collapsed="false">
      <c r="A45" s="41" t="n">
        <v>42</v>
      </c>
      <c r="B45" s="28" t="s">
        <v>276</v>
      </c>
      <c r="C45" s="8" t="s">
        <v>277</v>
      </c>
      <c r="D45" s="65" t="s">
        <v>249</v>
      </c>
      <c r="E45" s="63" t="n">
        <f aca="false">3_Calc_From_Gross!F47</f>
        <v>5142.5</v>
      </c>
      <c r="F45" s="60" t="n">
        <f aca="false">3_Calc_From_Gross!Z47</f>
        <v>6058.8</v>
      </c>
      <c r="G45" s="60" t="n">
        <f aca="false">3_Calc_From_Gross!AO47</f>
        <v>8142.93</v>
      </c>
      <c r="H45" s="60" t="n">
        <f aca="false">3_Calc_From_Gross!BD47</f>
        <v>12524.325</v>
      </c>
      <c r="I45" s="60" t="n">
        <f aca="false">3_Calc_From_Gross!BS47</f>
        <v>7203.75</v>
      </c>
      <c r="J45" s="60" t="n">
        <f aca="false">3_Calc_From_Gross!CH47</f>
        <v>7122.39</v>
      </c>
      <c r="K45" s="60" t="n">
        <f aca="false">3_Calc_From_Gross!CW47</f>
        <v>4494.8</v>
      </c>
      <c r="L45" s="60" t="n">
        <f aca="false">3_Calc_From_Gross!DL47</f>
        <v>5876</v>
      </c>
      <c r="M45" s="60" t="n">
        <f aca="false">3_Calc_From_Gross!EA47</f>
        <v>4804.47</v>
      </c>
    </row>
    <row r="46" customFormat="false" ht="15" hidden="false" customHeight="false" outlineLevel="0" collapsed="false">
      <c r="A46" s="37" t="n">
        <v>43</v>
      </c>
      <c r="B46" s="32" t="s">
        <v>278</v>
      </c>
      <c r="C46" s="32" t="s">
        <v>279</v>
      </c>
      <c r="D46" s="62" t="s">
        <v>248</v>
      </c>
      <c r="E46" s="63" t="n">
        <f aca="false">3_Calc_From_Gross!F48</f>
        <v>1753.125</v>
      </c>
      <c r="F46" s="57" t="n">
        <f aca="false">3_Calc_From_Gross!Z48</f>
        <v>3590.4</v>
      </c>
      <c r="G46" s="57" t="n">
        <f aca="false">3_Calc_From_Gross!AO48</f>
        <v>4286.52</v>
      </c>
      <c r="H46" s="57" t="n">
        <f aca="false">3_Calc_From_Gross!BD48</f>
        <v>8778</v>
      </c>
      <c r="I46" s="57" t="n">
        <f aca="false">3_Calc_From_Gross!BS48</f>
        <v>4590.75</v>
      </c>
      <c r="J46" s="57" t="n">
        <f aca="false">3_Calc_From_Gross!CH48</f>
        <v>4154.3073</v>
      </c>
      <c r="K46" s="57" t="n">
        <f aca="false">3_Calc_From_Gross!CW48</f>
        <v>2721.7</v>
      </c>
      <c r="L46" s="57" t="n">
        <f aca="false">3_Calc_From_Gross!DL48</f>
        <v>3315.2</v>
      </c>
      <c r="M46" s="57" t="n">
        <f aca="false">3_Calc_From_Gross!EA48</f>
        <v>2722.5</v>
      </c>
    </row>
    <row r="47" customFormat="false" ht="15" hidden="false" customHeight="false" outlineLevel="0" collapsed="false">
      <c r="A47" s="41" t="n">
        <v>44</v>
      </c>
      <c r="B47" s="28" t="s">
        <v>278</v>
      </c>
      <c r="C47" s="8" t="s">
        <v>279</v>
      </c>
      <c r="D47" s="65" t="s">
        <v>249</v>
      </c>
      <c r="E47" s="63" t="n">
        <f aca="false">3_Calc_From_Gross!F49</f>
        <v>4301</v>
      </c>
      <c r="F47" s="60" t="n">
        <f aca="false">3_Calc_From_Gross!Z49</f>
        <v>5834.4</v>
      </c>
      <c r="G47" s="60" t="n">
        <f aca="false">3_Calc_From_Gross!AO49</f>
        <v>6429.78</v>
      </c>
      <c r="H47" s="60" t="n">
        <f aca="false">3_Calc_From_Gross!BD49</f>
        <v>10126.05</v>
      </c>
      <c r="I47" s="60" t="n">
        <f aca="false">3_Calc_From_Gross!BS49</f>
        <v>6356.25</v>
      </c>
      <c r="J47" s="60" t="n">
        <f aca="false">3_Calc_From_Gross!CH49</f>
        <v>5994.7833</v>
      </c>
      <c r="K47" s="60" t="n">
        <f aca="false">3_Calc_From_Gross!CW49</f>
        <v>4257.65</v>
      </c>
      <c r="L47" s="60" t="n">
        <f aca="false">3_Calc_From_Gross!DL49</f>
        <v>5123.2</v>
      </c>
      <c r="M47" s="60" t="n">
        <f aca="false">3_Calc_From_Gross!EA49</f>
        <v>4435.2</v>
      </c>
    </row>
    <row r="48" customFormat="false" ht="15" hidden="false" customHeight="false" outlineLevel="0" collapsed="false">
      <c r="A48" s="37" t="n">
        <v>45</v>
      </c>
      <c r="B48" s="32" t="s">
        <v>280</v>
      </c>
      <c r="C48" s="32" t="s">
        <v>281</v>
      </c>
      <c r="D48" s="62" t="s">
        <v>248</v>
      </c>
      <c r="E48" s="63" t="n">
        <f aca="false">3_Calc_From_Gross!F50</f>
        <v>1612.875</v>
      </c>
      <c r="F48" s="57" t="n">
        <f aca="false">3_Calc_From_Gross!Z50</f>
        <v>3366</v>
      </c>
      <c r="G48" s="57" t="n">
        <f aca="false">3_Calc_From_Gross!AO50</f>
        <v>4714.2</v>
      </c>
      <c r="H48" s="57" t="n">
        <f aca="false">3_Calc_From_Gross!BD50</f>
        <v>9405</v>
      </c>
      <c r="I48" s="57" t="n">
        <f aca="false">3_Calc_From_Gross!BS50</f>
        <v>4308</v>
      </c>
      <c r="J48" s="57" t="n">
        <f aca="false">3_Calc_From_Gross!CH50</f>
        <v>4036.4412</v>
      </c>
      <c r="K48" s="57" t="n">
        <f aca="false">3_Calc_From_Gross!CW50</f>
        <v>2630.75</v>
      </c>
      <c r="L48" s="57" t="n">
        <f aca="false">3_Calc_From_Gross!DL50</f>
        <v>3164</v>
      </c>
      <c r="M48" s="57" t="n">
        <f aca="false">3_Calc_From_Gross!EA50</f>
        <v>2557.17</v>
      </c>
    </row>
    <row r="49" customFormat="false" ht="15" hidden="false" customHeight="false" outlineLevel="0" collapsed="false">
      <c r="A49" s="41" t="n">
        <v>46</v>
      </c>
      <c r="B49" s="28" t="s">
        <v>280</v>
      </c>
      <c r="C49" s="8" t="s">
        <v>281</v>
      </c>
      <c r="D49" s="65" t="s">
        <v>249</v>
      </c>
      <c r="E49" s="63" t="n">
        <f aca="false">3_Calc_From_Gross!F51</f>
        <v>3973.75</v>
      </c>
      <c r="F49" s="60" t="n">
        <f aca="false">3_Calc_From_Gross!Z51</f>
        <v>5610</v>
      </c>
      <c r="G49" s="60" t="n">
        <f aca="false">3_Calc_From_Gross!AO51</f>
        <v>6858.27</v>
      </c>
      <c r="H49" s="60" t="n">
        <f aca="false">3_Calc_From_Gross!BD51</f>
        <v>11191.95</v>
      </c>
      <c r="I49" s="60" t="n">
        <f aca="false">3_Calc_From_Gross!BS51</f>
        <v>5932.5</v>
      </c>
      <c r="J49" s="60" t="n">
        <f aca="false">3_Calc_From_Gross!CH51</f>
        <v>5935.5351</v>
      </c>
      <c r="K49" s="60" t="n">
        <f aca="false">3_Calc_From_Gross!CW51</f>
        <v>4163.3</v>
      </c>
      <c r="L49" s="60" t="n">
        <f aca="false">3_Calc_From_Gross!DL51</f>
        <v>4972</v>
      </c>
      <c r="M49" s="60" t="n">
        <f aca="false">3_Calc_From_Gross!EA51</f>
        <v>4250.07</v>
      </c>
    </row>
    <row r="50" customFormat="false" ht="18" hidden="false" customHeight="true" outlineLevel="0" collapsed="false">
      <c r="A50" s="98" t="s">
        <v>955</v>
      </c>
      <c r="B50" s="98"/>
      <c r="C50" s="98"/>
      <c r="D50" s="98"/>
      <c r="E50" s="99" t="n">
        <f aca="false">AVERAGE(E4:E49)</f>
        <v>2692.45445652174</v>
      </c>
      <c r="F50" s="99" t="n">
        <f aca="false">AVERAGE(F4:F49)</f>
        <v>4190.50260869565</v>
      </c>
      <c r="G50" s="99" t="n">
        <f aca="false">AVERAGE(G4:G49)</f>
        <v>5124.8347826087</v>
      </c>
      <c r="H50" s="99" t="n">
        <f aca="false">AVERAGE(H4:H49)</f>
        <v>7969.44260869565</v>
      </c>
      <c r="I50" s="99" t="n">
        <f aca="false">AVERAGE(I4:I49)</f>
        <v>4995.14673913044</v>
      </c>
      <c r="J50" s="99" t="n">
        <f aca="false">AVERAGE(J4:J49)</f>
        <v>4768.93201304348</v>
      </c>
      <c r="K50" s="99" t="n">
        <f aca="false">AVERAGE(K4:K49)</f>
        <v>3139.01304347826</v>
      </c>
      <c r="L50" s="99" t="n">
        <f aca="false">AVERAGE(L4:L49)</f>
        <v>3855.11304347826</v>
      </c>
      <c r="M50" s="99" t="n">
        <f aca="false">AVERAGE(M4:M49)</f>
        <v>3097.19347826087</v>
      </c>
    </row>
  </sheetData>
  <mergeCells count="3">
    <mergeCell ref="A1:M1"/>
    <mergeCell ref="A2:M2"/>
    <mergeCell ref="A50:D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2026-05-18T15:11:54Z</dcterms:created>
  <dc:creator>openpyxl</dc:creator>
  <dc:description/>
  <dc:language>uk-UA</dc:language>
  <cp:lastModifiedBy/>
  <dcterms:modified xsi:type="dcterms:W3CDTF">2026-05-20T10:38:32Z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